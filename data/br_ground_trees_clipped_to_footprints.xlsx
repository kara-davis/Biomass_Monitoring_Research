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visk10\OneDrive - Cal Poly\Tree Biomass Estimation Research - Documents\GitHub_Repository\Biomass_Monitoring_Research\data\"/>
    </mc:Choice>
  </mc:AlternateContent>
  <bookViews>
    <workbookView xWindow="-28920" yWindow="-120" windowWidth="29040" windowHeight="15720" activeTab="1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BG2" i="1"/>
  <c r="BG15" i="1"/>
  <c r="BG28" i="1"/>
  <c r="BG42" i="1"/>
  <c r="BG56" i="1"/>
  <c r="BG71" i="1"/>
  <c r="BG84" i="1"/>
  <c r="BG99" i="1"/>
  <c r="BG107" i="1"/>
  <c r="BG121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BD15" i="1" s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BD28" i="1" s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BD42" i="1" s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BD56" i="1" s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BD71" i="1" s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BD84" i="1" s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BD99" i="1" s="1"/>
  <c r="AU105" i="1"/>
  <c r="AU106" i="1"/>
  <c r="AU107" i="1"/>
  <c r="AU108" i="1"/>
  <c r="BD107" i="1" s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BD121" i="1" s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2" i="1"/>
  <c r="BD2" i="1" s="1"/>
  <c r="AY2" i="1"/>
  <c r="AX2" i="1"/>
  <c r="AW2" i="1"/>
  <c r="AV2" i="1"/>
  <c r="AT135" i="1"/>
  <c r="AS135" i="1"/>
  <c r="AT134" i="1"/>
  <c r="AS134" i="1"/>
  <c r="AT133" i="1"/>
  <c r="AS133" i="1"/>
  <c r="AT132" i="1"/>
  <c r="AS132" i="1"/>
  <c r="AT131" i="1"/>
  <c r="AS131" i="1"/>
  <c r="AT130" i="1"/>
  <c r="AS130" i="1"/>
  <c r="AT129" i="1"/>
  <c r="AS129" i="1"/>
  <c r="AT128" i="1"/>
  <c r="AS128" i="1"/>
  <c r="AT127" i="1"/>
  <c r="AS127" i="1"/>
  <c r="AT126" i="1"/>
  <c r="AS126" i="1"/>
  <c r="AT125" i="1"/>
  <c r="AS125" i="1"/>
  <c r="AT124" i="1"/>
  <c r="AS124" i="1"/>
  <c r="AT123" i="1"/>
  <c r="AS123" i="1"/>
  <c r="AT122" i="1"/>
  <c r="AS122" i="1"/>
  <c r="AY121" i="1"/>
  <c r="AX121" i="1"/>
  <c r="AW121" i="1"/>
  <c r="AV121" i="1"/>
  <c r="AT121" i="1"/>
  <c r="AS121" i="1"/>
  <c r="AT120" i="1"/>
  <c r="AS120" i="1"/>
  <c r="AT119" i="1"/>
  <c r="AS119" i="1"/>
  <c r="AT118" i="1"/>
  <c r="AS118" i="1"/>
  <c r="AT117" i="1"/>
  <c r="AS117" i="1"/>
  <c r="AT116" i="1"/>
  <c r="AS116" i="1"/>
  <c r="AT115" i="1"/>
  <c r="AS115" i="1"/>
  <c r="AT114" i="1"/>
  <c r="AS114" i="1"/>
  <c r="AT113" i="1"/>
  <c r="AS113" i="1"/>
  <c r="AT112" i="1"/>
  <c r="AS112" i="1"/>
  <c r="AT111" i="1"/>
  <c r="AS111" i="1"/>
  <c r="AT110" i="1"/>
  <c r="AS110" i="1"/>
  <c r="AT109" i="1"/>
  <c r="AS109" i="1"/>
  <c r="AT108" i="1"/>
  <c r="AS108" i="1"/>
  <c r="AY107" i="1"/>
  <c r="AX107" i="1"/>
  <c r="AW107" i="1"/>
  <c r="AV107" i="1"/>
  <c r="AT107" i="1"/>
  <c r="AS107" i="1"/>
  <c r="AT106" i="1"/>
  <c r="AS106" i="1"/>
  <c r="AT105" i="1"/>
  <c r="AS105" i="1"/>
  <c r="AT104" i="1"/>
  <c r="AS104" i="1"/>
  <c r="AT103" i="1"/>
  <c r="AS103" i="1"/>
  <c r="AT102" i="1"/>
  <c r="AS102" i="1"/>
  <c r="AT101" i="1"/>
  <c r="AS101" i="1"/>
  <c r="AT100" i="1"/>
  <c r="AS100" i="1"/>
  <c r="AY99" i="1"/>
  <c r="AX99" i="1"/>
  <c r="AW99" i="1"/>
  <c r="AV99" i="1"/>
  <c r="AT99" i="1"/>
  <c r="AS99" i="1"/>
  <c r="AT98" i="1"/>
  <c r="AS98" i="1"/>
  <c r="AT97" i="1"/>
  <c r="AS97" i="1"/>
  <c r="AT96" i="1"/>
  <c r="AS96" i="1"/>
  <c r="AT95" i="1"/>
  <c r="AS95" i="1"/>
  <c r="AT94" i="1"/>
  <c r="AS94" i="1"/>
  <c r="AT93" i="1"/>
  <c r="AS93" i="1"/>
  <c r="AT92" i="1"/>
  <c r="AS92" i="1"/>
  <c r="AT91" i="1"/>
  <c r="AS91" i="1"/>
  <c r="AT90" i="1"/>
  <c r="AS90" i="1"/>
  <c r="AT89" i="1"/>
  <c r="AS89" i="1"/>
  <c r="AT88" i="1"/>
  <c r="AS88" i="1"/>
  <c r="AT87" i="1"/>
  <c r="AS87" i="1"/>
  <c r="AT86" i="1"/>
  <c r="AS86" i="1"/>
  <c r="AT85" i="1"/>
  <c r="AS85" i="1"/>
  <c r="AY84" i="1"/>
  <c r="AX84" i="1"/>
  <c r="AW84" i="1"/>
  <c r="AV84" i="1"/>
  <c r="AT84" i="1"/>
  <c r="AS84" i="1"/>
  <c r="AT83" i="1"/>
  <c r="AS83" i="1"/>
  <c r="AT82" i="1"/>
  <c r="AS82" i="1"/>
  <c r="AT81" i="1"/>
  <c r="AS81" i="1"/>
  <c r="AT80" i="1"/>
  <c r="AS80" i="1"/>
  <c r="AT79" i="1"/>
  <c r="AS79" i="1"/>
  <c r="AT78" i="1"/>
  <c r="AS78" i="1"/>
  <c r="AT77" i="1"/>
  <c r="AS77" i="1"/>
  <c r="AT76" i="1"/>
  <c r="AS76" i="1"/>
  <c r="AT75" i="1"/>
  <c r="AS75" i="1"/>
  <c r="AT74" i="1"/>
  <c r="AS74" i="1"/>
  <c r="AT73" i="1"/>
  <c r="AS73" i="1"/>
  <c r="AT72" i="1"/>
  <c r="AS72" i="1"/>
  <c r="AY71" i="1"/>
  <c r="AX71" i="1"/>
  <c r="AW71" i="1"/>
  <c r="AV71" i="1"/>
  <c r="AT71" i="1"/>
  <c r="AS71" i="1"/>
  <c r="AT70" i="1"/>
  <c r="AS70" i="1"/>
  <c r="AT69" i="1"/>
  <c r="AS69" i="1"/>
  <c r="AT68" i="1"/>
  <c r="AS68" i="1"/>
  <c r="AT67" i="1"/>
  <c r="AS67" i="1"/>
  <c r="AT66" i="1"/>
  <c r="AS66" i="1"/>
  <c r="AT65" i="1"/>
  <c r="AS65" i="1"/>
  <c r="AT64" i="1"/>
  <c r="AS64" i="1"/>
  <c r="AT63" i="1"/>
  <c r="AS63" i="1"/>
  <c r="AT62" i="1"/>
  <c r="AS62" i="1"/>
  <c r="AT61" i="1"/>
  <c r="AS61" i="1"/>
  <c r="AT60" i="1"/>
  <c r="AS60" i="1"/>
  <c r="AT59" i="1"/>
  <c r="AS59" i="1"/>
  <c r="AT58" i="1"/>
  <c r="AS58" i="1"/>
  <c r="AT57" i="1"/>
  <c r="AS57" i="1"/>
  <c r="AY56" i="1"/>
  <c r="AX56" i="1"/>
  <c r="AW56" i="1"/>
  <c r="AV56" i="1"/>
  <c r="AT56" i="1"/>
  <c r="AS56" i="1"/>
  <c r="AT55" i="1"/>
  <c r="AS55" i="1"/>
  <c r="AT54" i="1"/>
  <c r="AS54" i="1"/>
  <c r="AT53" i="1"/>
  <c r="AS53" i="1"/>
  <c r="AT52" i="1"/>
  <c r="AS52" i="1"/>
  <c r="AT51" i="1"/>
  <c r="AS51" i="1"/>
  <c r="AT50" i="1"/>
  <c r="AS50" i="1"/>
  <c r="AT49" i="1"/>
  <c r="AS49" i="1"/>
  <c r="AT48" i="1"/>
  <c r="AS48" i="1"/>
  <c r="AT47" i="1"/>
  <c r="AS47" i="1"/>
  <c r="AT46" i="1"/>
  <c r="AS46" i="1"/>
  <c r="AT45" i="1"/>
  <c r="AS45" i="1"/>
  <c r="AT44" i="1"/>
  <c r="AS44" i="1"/>
  <c r="AT43" i="1"/>
  <c r="AS43" i="1"/>
  <c r="AY42" i="1"/>
  <c r="AX42" i="1"/>
  <c r="AW42" i="1"/>
  <c r="AV42" i="1"/>
  <c r="AT42" i="1"/>
  <c r="AS42" i="1"/>
  <c r="AT41" i="1"/>
  <c r="AS41" i="1"/>
  <c r="AT40" i="1"/>
  <c r="AS40" i="1"/>
  <c r="AT39" i="1"/>
  <c r="AS39" i="1"/>
  <c r="AT38" i="1"/>
  <c r="AS38" i="1"/>
  <c r="AT37" i="1"/>
  <c r="AS37" i="1"/>
  <c r="AT36" i="1"/>
  <c r="AS36" i="1"/>
  <c r="AT35" i="1"/>
  <c r="AS35" i="1"/>
  <c r="AT34" i="1"/>
  <c r="AS34" i="1"/>
  <c r="AT33" i="1"/>
  <c r="AS33" i="1"/>
  <c r="AT32" i="1"/>
  <c r="AS32" i="1"/>
  <c r="AT31" i="1"/>
  <c r="AS31" i="1"/>
  <c r="AT30" i="1"/>
  <c r="AS30" i="1"/>
  <c r="AT29" i="1"/>
  <c r="AS29" i="1"/>
  <c r="AY28" i="1"/>
  <c r="AX28" i="1"/>
  <c r="AW28" i="1"/>
  <c r="AV28" i="1"/>
  <c r="AT28" i="1"/>
  <c r="AS28" i="1"/>
  <c r="AT27" i="1"/>
  <c r="AS27" i="1"/>
  <c r="AT26" i="1"/>
  <c r="AS26" i="1"/>
  <c r="AT25" i="1"/>
  <c r="AS25" i="1"/>
  <c r="AT24" i="1"/>
  <c r="AS24" i="1"/>
  <c r="AT23" i="1"/>
  <c r="AS23" i="1"/>
  <c r="AT22" i="1"/>
  <c r="AS22" i="1"/>
  <c r="AT21" i="1"/>
  <c r="AS21" i="1"/>
  <c r="AT20" i="1"/>
  <c r="AS20" i="1"/>
  <c r="AT19" i="1"/>
  <c r="AS19" i="1"/>
  <c r="AT18" i="1"/>
  <c r="AS18" i="1"/>
  <c r="AT17" i="1"/>
  <c r="AS17" i="1"/>
  <c r="AT16" i="1"/>
  <c r="AS16" i="1"/>
  <c r="AY15" i="1"/>
  <c r="AX15" i="1"/>
  <c r="AW15" i="1"/>
  <c r="AV15" i="1"/>
  <c r="AT15" i="1"/>
  <c r="AS15" i="1"/>
  <c r="AT14" i="1"/>
  <c r="AS14" i="1"/>
  <c r="AT13" i="1"/>
  <c r="AS13" i="1"/>
  <c r="AT12" i="1"/>
  <c r="AS12" i="1"/>
  <c r="AT11" i="1"/>
  <c r="AS11" i="1"/>
  <c r="AT10" i="1"/>
  <c r="AS10" i="1"/>
  <c r="AT9" i="1"/>
  <c r="AS9" i="1"/>
  <c r="AT8" i="1"/>
  <c r="AS8" i="1"/>
  <c r="AT7" i="1"/>
  <c r="AS7" i="1"/>
  <c r="AT6" i="1"/>
  <c r="AS6" i="1"/>
  <c r="AT5" i="1"/>
  <c r="AS5" i="1"/>
  <c r="AT4" i="1"/>
  <c r="AS4" i="1"/>
  <c r="AT3" i="1"/>
  <c r="AS3" i="1"/>
  <c r="AT2" i="1"/>
  <c r="AS2" i="1"/>
  <c r="AZ107" i="1" l="1"/>
  <c r="AZ121" i="1"/>
  <c r="BC28" i="1"/>
  <c r="BF42" i="1"/>
  <c r="D10" i="2" s="1"/>
  <c r="BC56" i="1"/>
  <c r="BC84" i="1"/>
  <c r="AZ71" i="1"/>
  <c r="BE99" i="1"/>
  <c r="C12" i="2" s="1"/>
  <c r="BC99" i="1"/>
  <c r="BA107" i="1"/>
  <c r="BA121" i="1"/>
  <c r="BC15" i="1"/>
  <c r="BC71" i="1"/>
  <c r="BA99" i="1"/>
  <c r="BE2" i="1"/>
  <c r="C7" i="2" s="1"/>
  <c r="BE42" i="1"/>
  <c r="C10" i="2" s="1"/>
  <c r="BA15" i="1"/>
  <c r="BC2" i="1"/>
  <c r="BF2" i="1"/>
  <c r="D7" i="2" s="1"/>
  <c r="BA56" i="1"/>
  <c r="BB107" i="1"/>
  <c r="BF15" i="1"/>
  <c r="D8" i="2" s="1"/>
  <c r="BA71" i="1"/>
  <c r="BE121" i="1"/>
  <c r="C14" i="2" s="1"/>
  <c r="BF71" i="1"/>
  <c r="D6" i="2" s="1"/>
  <c r="BE28" i="1"/>
  <c r="C9" i="2" s="1"/>
  <c r="BB42" i="1"/>
  <c r="AZ56" i="1"/>
  <c r="BE84" i="1"/>
  <c r="C11" i="2" s="1"/>
  <c r="BF121" i="1"/>
  <c r="D14" i="2" s="1"/>
  <c r="BA84" i="1"/>
  <c r="BA28" i="1"/>
  <c r="AZ15" i="1"/>
  <c r="BA2" i="1"/>
  <c r="BF56" i="1"/>
  <c r="D5" i="2" s="1"/>
  <c r="BF99" i="1"/>
  <c r="D12" i="2" s="1"/>
  <c r="AZ42" i="1"/>
  <c r="BB56" i="1"/>
  <c r="BB71" i="1"/>
  <c r="BE107" i="1"/>
  <c r="C13" i="2" s="1"/>
  <c r="BF28" i="1"/>
  <c r="D9" i="2" s="1"/>
  <c r="BC107" i="1"/>
  <c r="BB15" i="1"/>
  <c r="BA42" i="1"/>
  <c r="BF107" i="1"/>
  <c r="D13" i="2" s="1"/>
  <c r="BF84" i="1"/>
  <c r="D11" i="2" s="1"/>
  <c r="AZ2" i="1"/>
  <c r="BE15" i="1"/>
  <c r="C8" i="2" s="1"/>
  <c r="AZ28" i="1"/>
  <c r="BE56" i="1"/>
  <c r="C5" i="2" s="1"/>
  <c r="BE71" i="1"/>
  <c r="C6" i="2" s="1"/>
  <c r="AZ84" i="1"/>
  <c r="AZ99" i="1"/>
  <c r="BB121" i="1"/>
  <c r="BC42" i="1"/>
  <c r="BB84" i="1"/>
  <c r="BB99" i="1"/>
  <c r="BC121" i="1"/>
  <c r="BB2" i="1"/>
  <c r="BB28" i="1"/>
</calcChain>
</file>

<file path=xl/sharedStrings.xml><?xml version="1.0" encoding="utf-8"?>
<sst xmlns="http://schemas.openxmlformats.org/spreadsheetml/2006/main" count="1300" uniqueCount="645">
  <si>
    <t>fid</t>
  </si>
  <si>
    <t>OBJECTID</t>
  </si>
  <si>
    <t>esrignss_speed</t>
  </si>
  <si>
    <t>esrignss_direction</t>
  </si>
  <si>
    <t>esrisnsr_azimuth</t>
  </si>
  <si>
    <t>esrignss_positionsourcetype</t>
  </si>
  <si>
    <t>esrignss_receiver</t>
  </si>
  <si>
    <t>esrignss_h_rms</t>
  </si>
  <si>
    <t>esrignss_v_rms</t>
  </si>
  <si>
    <t>esrignss_latitude</t>
  </si>
  <si>
    <t>esrignss_longitude</t>
  </si>
  <si>
    <t>esrignss_altitude</t>
  </si>
  <si>
    <t>esrignss_fixdatetime</t>
  </si>
  <si>
    <t>GlobalID</t>
  </si>
  <si>
    <t>Tree_Label</t>
  </si>
  <si>
    <t>GT_Height</t>
  </si>
  <si>
    <t>GT_DBH</t>
  </si>
  <si>
    <t>comon_name</t>
  </si>
  <si>
    <t>notes</t>
  </si>
  <si>
    <t>n_stems</t>
  </si>
  <si>
    <t>esrignss_pdop</t>
  </si>
  <si>
    <t>esrignss_hdop</t>
  </si>
  <si>
    <t>esrignss_vdop</t>
  </si>
  <si>
    <t>esrignss_fixtype</t>
  </si>
  <si>
    <t>esrignss_correctionage</t>
  </si>
  <si>
    <t>esrignss_stationid</t>
  </si>
  <si>
    <t>esrignss_numsats</t>
  </si>
  <si>
    <t>esrignss_avg_h_rms</t>
  </si>
  <si>
    <t>esrignss_avg_v_rms</t>
  </si>
  <si>
    <t>esrignss_avg_positions</t>
  </si>
  <si>
    <t>esrignss_h_stddev</t>
  </si>
  <si>
    <t>CreationDate</t>
  </si>
  <si>
    <t>Creator</t>
  </si>
  <si>
    <t>EditDate</t>
  </si>
  <si>
    <t>Editor</t>
  </si>
  <si>
    <t>arrow_dbh ground truth</t>
  </si>
  <si>
    <t>GT Dt</t>
  </si>
  <si>
    <t>APP EQ Dt</t>
  </si>
  <si>
    <t>ground_ground truth height</t>
  </si>
  <si>
    <t>GT HEIGHT</t>
  </si>
  <si>
    <t>APP HEIGHT</t>
  </si>
  <si>
    <t>app_tree_label</t>
  </si>
  <si>
    <t>GT BIOMASS</t>
  </si>
  <si>
    <t>APP BIOMASS</t>
  </si>
  <si>
    <t>AVG GT Dt</t>
  </si>
  <si>
    <t>AVG App Dt</t>
  </si>
  <si>
    <t>AVG GT H</t>
  </si>
  <si>
    <t>AVG App H</t>
  </si>
  <si>
    <t>AVG GT Bio</t>
  </si>
  <si>
    <t>AVG App Bio</t>
  </si>
  <si>
    <t>SUM GT Bio</t>
  </si>
  <si>
    <t>SUM App Bio</t>
  </si>
  <si>
    <t>GT Bio kg/m^2</t>
  </si>
  <si>
    <t>App Bio kg/m^2</t>
  </si>
  <si>
    <t>drone_lidar_height_m</t>
  </si>
  <si>
    <t>crown_diam_m</t>
  </si>
  <si>
    <t>iPhone 16e</t>
  </si>
  <si>
    <t>2026/08/21 16:09:15.072</t>
  </si>
  <si>
    <t>92f93645-7744-4fcc-8470-322cdcf51664</t>
  </si>
  <si>
    <t>8.2</t>
  </si>
  <si>
    <t>2026/08/21 16:11:41.618</t>
  </si>
  <si>
    <t>hosteen@calpoly.edu_CalPoly</t>
  </si>
  <si>
    <t>2026/08/21 16:12:27.072</t>
  </si>
  <si>
    <t>73641b55-a6d3-4057-9c92-56524b048e94</t>
  </si>
  <si>
    <t>8.3</t>
  </si>
  <si>
    <t>2026/08/21 16:15:18.595</t>
  </si>
  <si>
    <t>2026/08/21 16:16:41.062</t>
  </si>
  <si>
    <t>5043a958-f15e-450b-897e-fa5eb1b2a3b4</t>
  </si>
  <si>
    <t>8.4</t>
  </si>
  <si>
    <t>2026/08/21 16:17:45.300</t>
  </si>
  <si>
    <t>2026/08/21 16:20:20.234</t>
  </si>
  <si>
    <t>2026/08/21 16:22:01.069</t>
  </si>
  <si>
    <t>7de0d8b8-5da3-42f3-bc27-d7203512a4aa</t>
  </si>
  <si>
    <t>8.5</t>
  </si>
  <si>
    <t>2026/08/21 16:23:10.553</t>
  </si>
  <si>
    <t>2026/08/21 16:23:39.748</t>
  </si>
  <si>
    <t>2026/08/21 16:27:14.067</t>
  </si>
  <si>
    <t>47f46abe-7ae2-49c2-84f8-e53071ead6e0</t>
  </si>
  <si>
    <t>8.7</t>
  </si>
  <si>
    <t>2026/08/21 16:28:59.181</t>
  </si>
  <si>
    <t>2026/08/21 16:29:24.073</t>
  </si>
  <si>
    <t>1c68bc34-d03b-4704-84d2-9a600afa5a27</t>
  </si>
  <si>
    <t>8.8</t>
  </si>
  <si>
    <t>2026/08/21 16:31:35.688</t>
  </si>
  <si>
    <t>2026/08/21 16:31:59.072</t>
  </si>
  <si>
    <t>ad7861a4-701f-42f3-9e3a-5fb57434c3a2</t>
  </si>
  <si>
    <t>8.9</t>
  </si>
  <si>
    <t>2026/08/21 16:33:37.418</t>
  </si>
  <si>
    <t>2026/08/21 16:35:07.076</t>
  </si>
  <si>
    <t>04d12d77-2d9f-40c8-9b03-449954bb0220</t>
  </si>
  <si>
    <t>8.10</t>
  </si>
  <si>
    <t>2026/08/21 16:35:27.956</t>
  </si>
  <si>
    <t>2026/08/21 16:39:39.159</t>
  </si>
  <si>
    <t>2026/08/21 16:42:46.075</t>
  </si>
  <si>
    <t>8884e29c-7d77-474a-8b96-530a4e20c9c8</t>
  </si>
  <si>
    <t>8.12</t>
  </si>
  <si>
    <t>2026/08/21 16:44:44.988</t>
  </si>
  <si>
    <t>2026/08/21 16:45:06.058</t>
  </si>
  <si>
    <t>21a01b4e-2e56-4d70-be40-754514b716fc</t>
  </si>
  <si>
    <t>8.13</t>
  </si>
  <si>
    <t>2026/08/21 16:46:51.455</t>
  </si>
  <si>
    <t>2026/08/21 16:47:32.074</t>
  </si>
  <si>
    <t>f0a7cab6-6cc5-4047-a1b8-0244eac58b73</t>
  </si>
  <si>
    <t>8.14</t>
  </si>
  <si>
    <t>2026/08/21 16:51:26.124</t>
  </si>
  <si>
    <t>2026/10/04 12:11:13.072</t>
  </si>
  <si>
    <t>b51aaea7-aab1-4a71-9cbf-d3072b1c063a</t>
  </si>
  <si>
    <t>8.e</t>
  </si>
  <si>
    <t>2026/10/04 12:13:11.891</t>
  </si>
  <si>
    <t>2026/08/21 16:53:19.074</t>
  </si>
  <si>
    <t>7e4c6374-c1f2-4af9-94eb-6574487ea3d2</t>
  </si>
  <si>
    <t>8.15</t>
  </si>
  <si>
    <t>2026/08/21 16:57:08.387</t>
  </si>
  <si>
    <t>2026/10/05 13:22:08.515</t>
  </si>
  <si>
    <t>kdavis99@calpoly.edu_CalPoly</t>
  </si>
  <si>
    <t>2026/08/21 15:09:24.079</t>
  </si>
  <si>
    <t>7d2d4c66-8e15-4669-8b30-66ea334b08d3</t>
  </si>
  <si>
    <t>7.2</t>
  </si>
  <si>
    <t>2026/08/21 15:10:58.169</t>
  </si>
  <si>
    <t>2026/08/21 15:11:18.063</t>
  </si>
  <si>
    <t>ba6a38bd-8a32-4c42-8b51-9ff8524b5f9e</t>
  </si>
  <si>
    <t>7.3</t>
  </si>
  <si>
    <t>2026/08/21 15:14:35.453</t>
  </si>
  <si>
    <t>2026/08/21 15:14:56.075</t>
  </si>
  <si>
    <t>d0edea7f-13d0-433d-aa0d-6412089639b3</t>
  </si>
  <si>
    <t>7.4</t>
  </si>
  <si>
    <t>2026/08/21 15:16:40.002</t>
  </si>
  <si>
    <t>2026/08/21 15:17:02.083</t>
  </si>
  <si>
    <t>301be4c2-213b-4fe2-8f28-cabacc5f739d</t>
  </si>
  <si>
    <t>7.5</t>
  </si>
  <si>
    <t>2026/08/21 15:19:02.144</t>
  </si>
  <si>
    <t>2026/08/21 15:24:07.063</t>
  </si>
  <si>
    <t>d036f44a-c49e-4482-af79-01e8408bf89c</t>
  </si>
  <si>
    <t>7.7</t>
  </si>
  <si>
    <t>2026/08/21 15:26:00.258</t>
  </si>
  <si>
    <t>2026/08/21 15:26:09.080</t>
  </si>
  <si>
    <t>555a7683-56ea-4ad3-bbca-9c6f6bff816d</t>
  </si>
  <si>
    <t>7.8</t>
  </si>
  <si>
    <t>2026/08/21 15:29:14.724</t>
  </si>
  <si>
    <t>2026/08/21 15:29:58.080</t>
  </si>
  <si>
    <t>7a3d4fe6-fb90-4e4f-849c-a1469226a436</t>
  </si>
  <si>
    <t>7.9</t>
  </si>
  <si>
    <t>2026/08/21 15:31:56.191</t>
  </si>
  <si>
    <t>2026/08/21 15:32:06.075</t>
  </si>
  <si>
    <t>e36dc07f-5732-409e-a961-576167bf947f</t>
  </si>
  <si>
    <t>7.10</t>
  </si>
  <si>
    <t>2026/08/21 15:34:11.750</t>
  </si>
  <si>
    <t>2026/08/21 15:41:11.075</t>
  </si>
  <si>
    <t>406b1d17-6d0a-4a4b-9d33-b4058e709f87</t>
  </si>
  <si>
    <t>7.13</t>
  </si>
  <si>
    <t>2026/08/21 15:45:25.924</t>
  </si>
  <si>
    <t>2026/08/21 15:47:21.074</t>
  </si>
  <si>
    <t>ff5ab09b-70e2-4e53-ba7a-5b4ae111482f</t>
  </si>
  <si>
    <t>7.14</t>
  </si>
  <si>
    <t>2026/08/21 15:49:17.157</t>
  </si>
  <si>
    <t>2026/10/04 12:15:28.076</t>
  </si>
  <si>
    <t>56b59432-4605-479b-9515-67ba28210328</t>
  </si>
  <si>
    <t>7.b</t>
  </si>
  <si>
    <t>2026/10/04 12:17:42.971</t>
  </si>
  <si>
    <t>2026/10/04 12:18:26.077</t>
  </si>
  <si>
    <t>bf177a57-350e-42e2-bd91-0da437fba051</t>
  </si>
  <si>
    <t>7.a</t>
  </si>
  <si>
    <t>2026/10/04 12:20:05.379</t>
  </si>
  <si>
    <t>2026/10/04 12:21:05.059</t>
  </si>
  <si>
    <t>5fd53596-fcf2-4478-9a68-2d8cda271598</t>
  </si>
  <si>
    <t>7.c</t>
  </si>
  <si>
    <t>2026/10/04 12:22:46.070</t>
  </si>
  <si>
    <t>2026/08/21 14:14:39.073</t>
  </si>
  <si>
    <t>63ac34da-b2ed-4e3f-bae9-f54e3e43c31a</t>
  </si>
  <si>
    <t>6.3</t>
  </si>
  <si>
    <t>2026/08/21 14:16:38.990</t>
  </si>
  <si>
    <t>2026/08/21 14:21:01.058</t>
  </si>
  <si>
    <t>d03a3ee0-c162-4d31-b49f-c13b54387060</t>
  </si>
  <si>
    <t>6.5</t>
  </si>
  <si>
    <t>2026/08/21 14:23:07.882</t>
  </si>
  <si>
    <t>2026/08/21 14:23:35.073</t>
  </si>
  <si>
    <t>00e9ab9b-aecd-4dc1-93c0-73d83c0a29ca</t>
  </si>
  <si>
    <t>6.6</t>
  </si>
  <si>
    <t>2026/08/21 14:25:17.727</t>
  </si>
  <si>
    <t>2026/08/21 14:25:50.065</t>
  </si>
  <si>
    <t>fb2ec35d-761e-4f07-91f5-c0c9b322a18d</t>
  </si>
  <si>
    <t>6.7</t>
  </si>
  <si>
    <t>2026/08/21 14:27:23.851</t>
  </si>
  <si>
    <t>2026/08/21 14:28:37.082</t>
  </si>
  <si>
    <t>23037928-c450-43a9-8dad-efa22f453830</t>
  </si>
  <si>
    <t>6.8</t>
  </si>
  <si>
    <t>2026/08/21 14:29:52.090</t>
  </si>
  <si>
    <t>2026/08/21 14:37:53.070</t>
  </si>
  <si>
    <t>353b7d79-2a06-4f2e-83d6-47f592913e94</t>
  </si>
  <si>
    <t>6.11</t>
  </si>
  <si>
    <t>2026/08/21 14:38:01.734</t>
  </si>
  <si>
    <t>2026/08/21 14:39:39.959</t>
  </si>
  <si>
    <t>2026/08/21 14:41:05.072</t>
  </si>
  <si>
    <t>d3ecc0cc-2f4c-4ca7-9a85-f9bd86db15bb</t>
  </si>
  <si>
    <t>6.10</t>
  </si>
  <si>
    <t>2026/08/21 14:41:22.716</t>
  </si>
  <si>
    <t>2026/08/21 14:43:18.105</t>
  </si>
  <si>
    <t>3cbb2558-4394-4ade-a387-3686a60296f3</t>
  </si>
  <si>
    <t>6.12</t>
  </si>
  <si>
    <t>2026/08/21 14:43:47.572</t>
  </si>
  <si>
    <t>2026/08/21 14:45:28.076</t>
  </si>
  <si>
    <t>6430207c-b0f6-45f9-af7d-b4046fd6c51c</t>
  </si>
  <si>
    <t>6.13</t>
  </si>
  <si>
    <t>2026/08/21 14:46:59.978</t>
  </si>
  <si>
    <t>2026/08/21 14:57:43.082</t>
  </si>
  <si>
    <t>f4bc578e-79e8-43e9-812a-4c6e26d1093f</t>
  </si>
  <si>
    <t>6.16</t>
  </si>
  <si>
    <t>2026/08/21 14:58:41.198</t>
  </si>
  <si>
    <t>2026/08/21 15:00:25.072</t>
  </si>
  <si>
    <t>41ea2dce-369d-4e54-8e57-840f2ccdf760</t>
  </si>
  <si>
    <t>6.17</t>
  </si>
  <si>
    <t>2026/08/21 15:01:18.190</t>
  </si>
  <si>
    <t>2026/10/04 10:08:32.058</t>
  </si>
  <si>
    <t>dc6ccdd4-0e50-4c57-850f-1e084edf8623</t>
  </si>
  <si>
    <t>6.a</t>
  </si>
  <si>
    <t>2026/10/04 10:10:27.519</t>
  </si>
  <si>
    <t>2026/10/04 10:12:26.073</t>
  </si>
  <si>
    <t>62ed4a29-4fd8-4b65-b78c-7b31965e62b5</t>
  </si>
  <si>
    <t>6.b</t>
  </si>
  <si>
    <t>2026/10/04 10:14:16.240</t>
  </si>
  <si>
    <t>2026/10/04 10:39:59.065</t>
  </si>
  <si>
    <t>1c1a44c4-1c69-4386-86f7-a1ce508a788e</t>
  </si>
  <si>
    <t>6.d</t>
  </si>
  <si>
    <t>2026/10/04 10:42:01.856</t>
  </si>
  <si>
    <t>2026/08/20 16:04:57.983</t>
  </si>
  <si>
    <t>294d2c70-2f31-4d6f-8185-d3ab7b808947</t>
  </si>
  <si>
    <t>5.2</t>
  </si>
  <si>
    <t>2026/08/20 16:05:25.889</t>
  </si>
  <si>
    <t>2026/08/20 16:07:28.997</t>
  </si>
  <si>
    <t>46383dd4-38bd-4054-92eb-93d6f456e0b6</t>
  </si>
  <si>
    <t>5.3</t>
  </si>
  <si>
    <t>2026/08/20 16:09:28.921</t>
  </si>
  <si>
    <t>2026/08/20 16:16:17.081</t>
  </si>
  <si>
    <t>907108ce-0aab-458e-a8fb-929f2b844bbf</t>
  </si>
  <si>
    <t>5.5</t>
  </si>
  <si>
    <t>2026/08/20 16:17:11.892</t>
  </si>
  <si>
    <t>2026/08/20 16:19:24.088</t>
  </si>
  <si>
    <t>ad948b3f-774d-4978-8dc0-ce2d7ba3eff6</t>
  </si>
  <si>
    <t>5.6</t>
  </si>
  <si>
    <t>2026/08/20 16:20:16.567</t>
  </si>
  <si>
    <t>2026/08/20 16:21:21.076</t>
  </si>
  <si>
    <t>a8817471-9c2f-4482-bb58-32c5758b69e2</t>
  </si>
  <si>
    <t>5.7</t>
  </si>
  <si>
    <t>2026/08/20 16:21:24.823</t>
  </si>
  <si>
    <t>2026/08/20 16:23:55.383</t>
  </si>
  <si>
    <t>2026/08/20 16:29:13.100</t>
  </si>
  <si>
    <t>5a9ea382-ea10-44f6-a01c-fd4607b2cbb4</t>
  </si>
  <si>
    <t>5.9</t>
  </si>
  <si>
    <t>2026/08/20 16:30:25.673</t>
  </si>
  <si>
    <t>2026/08/20 16:32:35.094</t>
  </si>
  <si>
    <t>e854813b-a666-4d58-85c8-ed2b4039f318</t>
  </si>
  <si>
    <t>5.10</t>
  </si>
  <si>
    <t>2026/08/20 16:34:02.110</t>
  </si>
  <si>
    <t>2026/08/20 16:35:54.103</t>
  </si>
  <si>
    <t>1fa2f9b2-7e0e-4946-aec5-2e903cd37d28</t>
  </si>
  <si>
    <t>5.11</t>
  </si>
  <si>
    <t>2026/08/20 16:38:05.874</t>
  </si>
  <si>
    <t>2026/08/20 16:39:43.072</t>
  </si>
  <si>
    <t>1e4539ba-012b-4157-aa85-642268cba860</t>
  </si>
  <si>
    <t>5.12</t>
  </si>
  <si>
    <t>2026/08/20 16:41:27.628</t>
  </si>
  <si>
    <t>2026/08/20 16:57:47.068</t>
  </si>
  <si>
    <t>68480064-d1a5-493f-b673-421909d2a9f5</t>
  </si>
  <si>
    <t>5.15</t>
  </si>
  <si>
    <t>2026/08/20 16:59:20.846</t>
  </si>
  <si>
    <t>2026/08/20 16:45:10.093</t>
  </si>
  <si>
    <t>3e5bf6f5-0ebf-430c-a0a0-9c545fc27b62</t>
  </si>
  <si>
    <t>5.16</t>
  </si>
  <si>
    <t>2026/08/20 16:46:05.473</t>
  </si>
  <si>
    <t>2026/08/20 16:59:36.557</t>
  </si>
  <si>
    <t>2026/10/04 09:43:45.097</t>
  </si>
  <si>
    <t>fe38fc8d-30ba-42b6-8254-f80def577f39</t>
  </si>
  <si>
    <t>5.a</t>
  </si>
  <si>
    <t>2026/10/04 09:45:52.734</t>
  </si>
  <si>
    <t>2026/10/04 09:50:20.076</t>
  </si>
  <si>
    <t>8ac2c6ab-a7fc-4c8b-b3fb-98f30b24cc76</t>
  </si>
  <si>
    <t>5.c</t>
  </si>
  <si>
    <t>2026/10/04 09:52:21.245</t>
  </si>
  <si>
    <t>2026/10/04 09:54:00.060</t>
  </si>
  <si>
    <t>46c561c8-a21e-494a-8060-7f8546784af5</t>
  </si>
  <si>
    <t>5.d</t>
  </si>
  <si>
    <t>2026/10/04 09:58:35.794</t>
  </si>
  <si>
    <t>2026/09/01 08:55:22.091</t>
  </si>
  <si>
    <t>4a6ec111-26b1-4427-8564-1ef9f3a4b9c6</t>
  </si>
  <si>
    <t>9.3</t>
  </si>
  <si>
    <t>2026/09/01 08:56:09.862</t>
  </si>
  <si>
    <t>2026/09/01 08:46:25.078</t>
  </si>
  <si>
    <t>61d613e8-6660-4ae5-a67d-e90e8c3c67d2</t>
  </si>
  <si>
    <t>9.2</t>
  </si>
  <si>
    <t>No WT collection available</t>
  </si>
  <si>
    <t>2026/09/01 08:46:59.942</t>
  </si>
  <si>
    <t>2026/09/01 09:00:16.341</t>
  </si>
  <si>
    <t>2026/09/01 09:03:16.072</t>
  </si>
  <si>
    <t>f84a6a73-25bc-4eed-9656-be30fe1c5eed</t>
  </si>
  <si>
    <t>9.4</t>
  </si>
  <si>
    <t>2026/09/01 09:05:06.178</t>
  </si>
  <si>
    <t>2026/09/01 09:10:14.068</t>
  </si>
  <si>
    <t>50a6fd53-a47d-4399-bc05-7dbd00d89262</t>
  </si>
  <si>
    <t>9.6</t>
  </si>
  <si>
    <t>2026/09/01 09:12:18.621</t>
  </si>
  <si>
    <t>2026/09/01 09:13:06.083</t>
  </si>
  <si>
    <t>446b3378-c70f-4f92-a510-c6db45231fc6</t>
  </si>
  <si>
    <t>9.7</t>
  </si>
  <si>
    <t>2026/09/01 09:15:39.087</t>
  </si>
  <si>
    <t>2026/09/01 09:17:03.059</t>
  </si>
  <si>
    <t>c0aa4d08-33b1-42c5-b8b4-e536599f3110</t>
  </si>
  <si>
    <t>9.8</t>
  </si>
  <si>
    <t>2026/09/01 09:25:27.301</t>
  </si>
  <si>
    <t>2026/09/01 09:26:35.056</t>
  </si>
  <si>
    <t>59a160ac-b51e-44d3-9480-e6a8c23e8101</t>
  </si>
  <si>
    <t>9.9</t>
  </si>
  <si>
    <t>2026/09/01 09:28:18.543</t>
  </si>
  <si>
    <t>2026/09/01 09:35:13.050</t>
  </si>
  <si>
    <t>e1e229dd-819f-4174-9c0d-27a4d40668b9</t>
  </si>
  <si>
    <t>9.11</t>
  </si>
  <si>
    <t>2026/09/01 09:35:22.992</t>
  </si>
  <si>
    <t>b92a6bc6-d37a-4e82-ba8f-ee09aa15eea4</t>
  </si>
  <si>
    <t>9.12</t>
  </si>
  <si>
    <t>2026/09/01 09:39:06.440</t>
  </si>
  <si>
    <t>2026/09/01 09:39:53.065</t>
  </si>
  <si>
    <t>8be55285-3409-4759-b821-5401761a4ae9</t>
  </si>
  <si>
    <t>9.13</t>
  </si>
  <si>
    <t>2026/09/01 09:42:10.375</t>
  </si>
  <si>
    <t>3a87584b-9fcd-4bbb-b838-12408b3e11ba</t>
  </si>
  <si>
    <t>9.14</t>
  </si>
  <si>
    <t>2026/09/01 09:45:39.085</t>
  </si>
  <si>
    <t>2026/09/01 09:53:25.075</t>
  </si>
  <si>
    <t>c3679963-9819-4248-9515-6ee7fd2ecb46</t>
  </si>
  <si>
    <t>9.16</t>
  </si>
  <si>
    <t>2026/09/01 09:54:21.096</t>
  </si>
  <si>
    <t>2026/10/04 11:01:07.059</t>
  </si>
  <si>
    <t>1e5e40b0-f321-456c-90d5-e95e368b39a6</t>
  </si>
  <si>
    <t>9.b</t>
  </si>
  <si>
    <t>2026/10/04 11:04:03.001</t>
  </si>
  <si>
    <t>2026/10/04 11:05:14.098</t>
  </si>
  <si>
    <t>6284079f-201b-4ad5-bdda-04ca0c788f7d</t>
  </si>
  <si>
    <t>9.c</t>
  </si>
  <si>
    <t>2026/10/04 11:06:36.782</t>
  </si>
  <si>
    <t>2026/10/04 11:07:16.092</t>
  </si>
  <si>
    <t>2edf239e-f3d7-4499-87ee-c1e2b478f02c</t>
  </si>
  <si>
    <t>9.d</t>
  </si>
  <si>
    <t>2026/10/04 11:08:58.048</t>
  </si>
  <si>
    <t>2026/09/01 10:10:08.049</t>
  </si>
  <si>
    <t>b8d2002b-9ad0-4c72-8e49-a4be478f008a</t>
  </si>
  <si>
    <t>10.2</t>
  </si>
  <si>
    <t>2026/09/01 10:11:01.124</t>
  </si>
  <si>
    <t>2026/09/01 10:12:09.064</t>
  </si>
  <si>
    <t>4ab4ec7a-85e8-4faf-9357-a3da30f7a100</t>
  </si>
  <si>
    <t>10.3</t>
  </si>
  <si>
    <t>2026/09/01 10:14:05.511</t>
  </si>
  <si>
    <t>2026/09/01 10:19:36.067</t>
  </si>
  <si>
    <t>9e9dff6b-eec1-43ef-b2a6-1effd64232a8</t>
  </si>
  <si>
    <t>10.5</t>
  </si>
  <si>
    <t>2026/09/01 10:20:16.572</t>
  </si>
  <si>
    <t>2026/09/01 10:21:57.061</t>
  </si>
  <si>
    <t>dd4ba236-92d8-4a73-8efa-5d829c2e0ced</t>
  </si>
  <si>
    <t>10.6</t>
  </si>
  <si>
    <t>2026/09/01 10:22:45.344</t>
  </si>
  <si>
    <t>2026/09/01 10:24:47.073</t>
  </si>
  <si>
    <t>6fbbc9b5-8e77-49d7-879b-c5f1067969d1</t>
  </si>
  <si>
    <t>10.7</t>
  </si>
  <si>
    <t>2026/09/01 10:26:15.742</t>
  </si>
  <si>
    <t>2026/09/01 10:27:14.063</t>
  </si>
  <si>
    <t>9e738b11-65d8-463d-95ba-2b72f5063051</t>
  </si>
  <si>
    <t>10.8</t>
  </si>
  <si>
    <t>2026/09/01 10:28:59.012</t>
  </si>
  <si>
    <t>2026/09/01 10:33:17.074</t>
  </si>
  <si>
    <t>43ec5e2c-4f23-467f-ae73-395994867cb0</t>
  </si>
  <si>
    <t>10.10</t>
  </si>
  <si>
    <t>2026/09/01 10:35:53.025</t>
  </si>
  <si>
    <t>2026/09/01 10:38:45.067</t>
  </si>
  <si>
    <t>4bd7b422-a642-4937-b884-fb0f2b46317c</t>
  </si>
  <si>
    <t>10.11</t>
  </si>
  <si>
    <t>2026/09/01 10:39:31.182</t>
  </si>
  <si>
    <t>2026/09/01 10:41:30.063</t>
  </si>
  <si>
    <t>78753782-dc55-4148-bf80-8e6249d051ee</t>
  </si>
  <si>
    <t>10.12</t>
  </si>
  <si>
    <t>2026/09/01 10:43:22.616</t>
  </si>
  <si>
    <t>2026/09/01 10:44:18.096</t>
  </si>
  <si>
    <t>a153c28c-f133-43e8-bedb-e5e682c9befe</t>
  </si>
  <si>
    <t>10.13</t>
  </si>
  <si>
    <t>2026/09/01 10:45:32.548</t>
  </si>
  <si>
    <t>2026/10/04 10:46:46.064</t>
  </si>
  <si>
    <t>ddc1274a-80f2-4aab-8887-d652025dfbc1</t>
  </si>
  <si>
    <t>10.a</t>
  </si>
  <si>
    <t>2026/10/04 10:48:29.159</t>
  </si>
  <si>
    <t>2026/10/04 10:49:24.088</t>
  </si>
  <si>
    <t>a998821d-2a53-4471-ac86-3c805d3334ec</t>
  </si>
  <si>
    <t>10.b</t>
  </si>
  <si>
    <t>2026/10/04 10:51:09.634</t>
  </si>
  <si>
    <t>2026/10/04 10:51:46.132</t>
  </si>
  <si>
    <t>246dbb55-8a1e-4e7f-ae31-f0f51b9e7562</t>
  </si>
  <si>
    <t>10.c</t>
  </si>
  <si>
    <t>2026/10/04 10:54:18.328</t>
  </si>
  <si>
    <t>2026/10/04 13:24:00.085</t>
  </si>
  <si>
    <t>3c549049-3a23-4556-942d-2d727c5800a8</t>
  </si>
  <si>
    <t>11.1</t>
  </si>
  <si>
    <t>2026/10/04 13:24:38.075</t>
  </si>
  <si>
    <t>2026/10/04 13:25:51.060</t>
  </si>
  <si>
    <t>6571d6f7-fb86-4e80-89db-924724600778</t>
  </si>
  <si>
    <t>11.2</t>
  </si>
  <si>
    <t>2026/10/04 13:27:13.258</t>
  </si>
  <si>
    <t>2026/10/04 13:27:28.096</t>
  </si>
  <si>
    <t>14f36ba9-e78c-41c0-8620-40ab9be8d3e4</t>
  </si>
  <si>
    <t>11.3</t>
  </si>
  <si>
    <t>2026/10/04 13:30:10.758</t>
  </si>
  <si>
    <t>2026/10/04 13:30:44.092</t>
  </si>
  <si>
    <t>c5c91783-8da7-4519-802d-e6eb39bb2ff5</t>
  </si>
  <si>
    <t>11.4</t>
  </si>
  <si>
    <t>2026/10/04 13:33:23.078</t>
  </si>
  <si>
    <t>2026/10/04 13:37:32.083</t>
  </si>
  <si>
    <t>57436f44-1e27-47ba-a602-81c94ab2f813</t>
  </si>
  <si>
    <t>11.6</t>
  </si>
  <si>
    <t>2026/10/04 13:39:49.532</t>
  </si>
  <si>
    <t>2026/10/04 13:40:18.086</t>
  </si>
  <si>
    <t>b39f5582-e090-4ca3-b99c-07932239c884</t>
  </si>
  <si>
    <t>11.7</t>
  </si>
  <si>
    <t>2026/10/04 13:42:59.465</t>
  </si>
  <si>
    <t>2026/10/04 13:43:23.087</t>
  </si>
  <si>
    <t>0bc5134f-c076-45b2-984f-2c735c341b22</t>
  </si>
  <si>
    <t>11.8</t>
  </si>
  <si>
    <t>2026/10/04 13:45:07.075</t>
  </si>
  <si>
    <t>2026/10/04 13:45:37.082</t>
  </si>
  <si>
    <t>ed33e9a5-8a7f-4099-b7dd-ad3c75edb662</t>
  </si>
  <si>
    <t>11.9</t>
  </si>
  <si>
    <t>2026/10/04 13:47:22.027</t>
  </si>
  <si>
    <t>2026/10/04 13:47:43.072</t>
  </si>
  <si>
    <t>79a1870a-6b23-4c22-a7ad-6664a3a15df0</t>
  </si>
  <si>
    <t>11.10</t>
  </si>
  <si>
    <t>2026/10/04 13:49:24.328</t>
  </si>
  <si>
    <t>2026/10/13 09:28:10.085</t>
  </si>
  <si>
    <t>df7dfb67-f6b7-482a-a1e5-25891630f671</t>
  </si>
  <si>
    <t>11.12</t>
  </si>
  <si>
    <t>2026/10/13 09:29:43.267</t>
  </si>
  <si>
    <t>2026/10/13 09:30:49.056</t>
  </si>
  <si>
    <t>1fd05a31-4cec-46aa-a208-68f05ae1f135</t>
  </si>
  <si>
    <t>11.13</t>
  </si>
  <si>
    <t>2026/10/13 09:32:34.494</t>
  </si>
  <si>
    <t>2026/10/13 09:33:15.067</t>
  </si>
  <si>
    <t>e2007b4f-14fd-4df1-8678-5f1e6d8ef39b</t>
  </si>
  <si>
    <t>11.14</t>
  </si>
  <si>
    <t>2026/10/13 09:38:14.784</t>
  </si>
  <si>
    <t>2026/10/13 09:39:03.084</t>
  </si>
  <si>
    <t>f6618555-3cb9-4d01-a902-0b7c1bbac41d</t>
  </si>
  <si>
    <t>11.15</t>
  </si>
  <si>
    <t>2026/10/13 09:40:35.316</t>
  </si>
  <si>
    <t>2026/10/13 09:45:32.085</t>
  </si>
  <si>
    <t>9e646bf7-68d5-469f-862f-eed30ef7beda</t>
  </si>
  <si>
    <t>11.17</t>
  </si>
  <si>
    <t>2026/10/13 09:47:38.303</t>
  </si>
  <si>
    <t>2026/10/13 09:48:16.081</t>
  </si>
  <si>
    <t>8de81a85-e8e4-44f1-a3e6-31fffe98abc6</t>
  </si>
  <si>
    <t>11.18</t>
  </si>
  <si>
    <t>2026/10/13 09:51:07</t>
  </si>
  <si>
    <t>2026/10/13 09:59:53.080</t>
  </si>
  <si>
    <t>e53d355f-7a0f-4a77-9b00-553d069da0c0</t>
  </si>
  <si>
    <t>12.2</t>
  </si>
  <si>
    <t>2026/10/13 10:01:21.848</t>
  </si>
  <si>
    <t>2026/10/13 10:01:46.061</t>
  </si>
  <si>
    <t>bfeee93a-5017-4e2e-8a26-2fc4ab5ac6d1</t>
  </si>
  <si>
    <t>12.3</t>
  </si>
  <si>
    <t>2026/10/13 10:03:18.351</t>
  </si>
  <si>
    <t>2026/10/13 10:06:16.090</t>
  </si>
  <si>
    <t>0f042e78-9587-4362-b356-f1b8c47508d4</t>
  </si>
  <si>
    <t>12.5</t>
  </si>
  <si>
    <t>2026/10/13 10:08:14.393</t>
  </si>
  <si>
    <t>2026/10/13 10:09:05.069</t>
  </si>
  <si>
    <t>dd24763d-7b02-4dcf-abd5-75c754a223b0</t>
  </si>
  <si>
    <t>12.6</t>
  </si>
  <si>
    <t>2026/10/13 10:10:57.685</t>
  </si>
  <si>
    <t>2026/10/13 10:13:39.082</t>
  </si>
  <si>
    <t>4fbb58f6-d67c-4ee6-801d-19534b9cc1c1</t>
  </si>
  <si>
    <t>12.8</t>
  </si>
  <si>
    <t>2026/10/13 10:15:03.506</t>
  </si>
  <si>
    <t>2026/10/13 10:15:31.086</t>
  </si>
  <si>
    <t>58bdc047-0a64-41f4-b834-0ccff67c0e11</t>
  </si>
  <si>
    <t>12.9</t>
  </si>
  <si>
    <t>2026/10/13 10:17:56.632</t>
  </si>
  <si>
    <t>2026/10/13 10:20:29.083</t>
  </si>
  <si>
    <t>57c77db3-ba10-4f39-b1f0-11b9179c6f16</t>
  </si>
  <si>
    <t>12.11</t>
  </si>
  <si>
    <t>2026/10/13 10:30:19.335</t>
  </si>
  <si>
    <t>2026/10/13 10:35:43.072</t>
  </si>
  <si>
    <t>8793abb8-36a3-4bf6-a880-25998433f2e1</t>
  </si>
  <si>
    <t>12.13</t>
  </si>
  <si>
    <t>2026/10/13 10:38:03.358</t>
  </si>
  <si>
    <t>2026/08/18 11:31:44.056</t>
  </si>
  <si>
    <t>15bad811-60dc-4a56-9972-546445876580</t>
  </si>
  <si>
    <t>3.1</t>
  </si>
  <si>
    <t>2026/08/18 11:33:46.007</t>
  </si>
  <si>
    <t>2026/08/18 11:34:09.058</t>
  </si>
  <si>
    <t>6c67936e-fafe-45f2-afbe-b41750e8a5c3</t>
  </si>
  <si>
    <t>3.2</t>
  </si>
  <si>
    <t>2026/08/18 11:36:06.311</t>
  </si>
  <si>
    <t>2026/08/18 11:37:09.058</t>
  </si>
  <si>
    <t>72cdfd26-0227-47b6-b0ad-b7ddac47f0d8</t>
  </si>
  <si>
    <t>3.3</t>
  </si>
  <si>
    <t>2026/08/18 11:39:47.991</t>
  </si>
  <si>
    <t>2026/08/18 11:40:57.073</t>
  </si>
  <si>
    <t>5ebd2991-59bc-4938-8fcf-0c29757e1ee0</t>
  </si>
  <si>
    <t>3.4</t>
  </si>
  <si>
    <t>2026/08/18 11:42:12.898</t>
  </si>
  <si>
    <t>2026/08/18 11:53:29.044</t>
  </si>
  <si>
    <t>1fce5c09-57b4-4cc7-b856-d49aa2723ee7</t>
  </si>
  <si>
    <t>3.8</t>
  </si>
  <si>
    <t>2026/08/18 11:54:30.286</t>
  </si>
  <si>
    <t>2026/08/18 11:55:21.997</t>
  </si>
  <si>
    <t>2026/08/20 14:00:50.077</t>
  </si>
  <si>
    <t>7b204a8a-817f-4ea3-8cb5-bb6f4bb8b48c</t>
  </si>
  <si>
    <t>3.9</t>
  </si>
  <si>
    <t>2026/08/20 14:04:20.799</t>
  </si>
  <si>
    <t>2026/08/20 14:07:43.081</t>
  </si>
  <si>
    <t>44327ff7-865b-4317-9cad-d9d89dbfa736</t>
  </si>
  <si>
    <t>3.10</t>
  </si>
  <si>
    <t>2026/08/20 14:08:31.415</t>
  </si>
  <si>
    <t>2026/08/20 14:11:00.627</t>
  </si>
  <si>
    <t>2026/08/20 14:12:52.066</t>
  </si>
  <si>
    <t>e72df1a5-0b26-4f7b-aed6-aa7c1ce06300</t>
  </si>
  <si>
    <t>3.11</t>
  </si>
  <si>
    <t>2026/08/20 14:15:25.787</t>
  </si>
  <si>
    <t>2026/08/20 14:27:04.059</t>
  </si>
  <si>
    <t>091d54d8-e298-4eaf-9c90-e18b11651bb0</t>
  </si>
  <si>
    <t>3.14</t>
  </si>
  <si>
    <t>2026/08/20 14:27:25.762</t>
  </si>
  <si>
    <t>2026/08/20 14:29:32.073</t>
  </si>
  <si>
    <t>080821f9-3b49-4852-bca9-d93099d09ca3</t>
  </si>
  <si>
    <t>3.15</t>
  </si>
  <si>
    <t>2026/08/20 14:30:26.686</t>
  </si>
  <si>
    <t>2026/08/20 14:33:22.080</t>
  </si>
  <si>
    <t>71681603-0008-4d0a-b73d-da151d9cc510</t>
  </si>
  <si>
    <t>3.16</t>
  </si>
  <si>
    <t>2026/08/20 14:34:08.108</t>
  </si>
  <si>
    <t>2026/08/18 11:43:20.058</t>
  </si>
  <si>
    <t>545214b2-f1c2-47ab-8344-3ceabd41bb87</t>
  </si>
  <si>
    <t>3.5</t>
  </si>
  <si>
    <t>2026/08/18 11:45:09.395</t>
  </si>
  <si>
    <t>2026/10/05 13:18:29.777</t>
  </si>
  <si>
    <t>2026/08/18 11:45:56.088</t>
  </si>
  <si>
    <t>662c18cb-fa7f-4e44-92f5-5c0dcda6eab7</t>
  </si>
  <si>
    <t>3.6</t>
  </si>
  <si>
    <t>2026/08/18 11:47:46.145</t>
  </si>
  <si>
    <t>2026/10/05 13:18:41.869</t>
  </si>
  <si>
    <t>2026/08/20 14:22:41.066</t>
  </si>
  <si>
    <t>b61e233b-e2b8-4a5d-9cd0-26cfaa9a7964</t>
  </si>
  <si>
    <t>3.13</t>
  </si>
  <si>
    <t>2026/08/20 14:23:04.084</t>
  </si>
  <si>
    <t>2026/10/05 13:19:07.505</t>
  </si>
  <si>
    <t>2026/08/20 14:44:11.070</t>
  </si>
  <si>
    <t>ec6f4efb-c9ac-4cfe-a437-a800657aebf1</t>
  </si>
  <si>
    <t>4.1</t>
  </si>
  <si>
    <t>2026/08/20 14:45:02.411</t>
  </si>
  <si>
    <t>2026/08/20 14:54:20.055</t>
  </si>
  <si>
    <t>b5f9f3c3-43fc-41d8-b9bf-1fbcbf34903e</t>
  </si>
  <si>
    <t>4.3</t>
  </si>
  <si>
    <t>2026/08/20 14:54:53.610</t>
  </si>
  <si>
    <t>2026/08/20 14:56:53.059</t>
  </si>
  <si>
    <t>f0eae7c4-d591-4fc3-b3a5-c81de4e581c1</t>
  </si>
  <si>
    <t>4.4</t>
  </si>
  <si>
    <t>2026/08/20 14:58:39.538</t>
  </si>
  <si>
    <t>2026/08/20 15:04:55.051</t>
  </si>
  <si>
    <t>a8c20ebd-8792-4dec-849c-bcd56711449f</t>
  </si>
  <si>
    <t>4.5</t>
  </si>
  <si>
    <t>2026/08/20 15:06:27.044</t>
  </si>
  <si>
    <t>2026/08/20 15:08:37.041</t>
  </si>
  <si>
    <t>fb563441-ba81-47ee-8d2e-8cad4f5dfdbf</t>
  </si>
  <si>
    <t>4.6</t>
  </si>
  <si>
    <t>2026/08/20 15:09:40.419</t>
  </si>
  <si>
    <t>2026/08/20 15:15:58.047</t>
  </si>
  <si>
    <t>c8af6787-b75e-4fc7-8c42-bf428908d942</t>
  </si>
  <si>
    <t>4.8</t>
  </si>
  <si>
    <t>2026/08/20 15:16:42.248</t>
  </si>
  <si>
    <t>2026/08/20 15:35:00.031</t>
  </si>
  <si>
    <t>d651ae9b-beb7-4b27-8283-5de955d87ba6</t>
  </si>
  <si>
    <t>4.13</t>
  </si>
  <si>
    <t>2026/08/20 15:37:17.651</t>
  </si>
  <si>
    <t>2026/08/20 15:23:39.048</t>
  </si>
  <si>
    <t>5676c754-4754-4eda-82dd-99cfd4281c6c</t>
  </si>
  <si>
    <t>4.10</t>
  </si>
  <si>
    <t>Phytech</t>
  </si>
  <si>
    <t>2026/08/20 15:24:22.396</t>
  </si>
  <si>
    <t>2026/08/20 15:43:51.351</t>
  </si>
  <si>
    <t>2026/08/20 15:28:25.045</t>
  </si>
  <si>
    <t>6c59bb11-f66d-4a12-a0e3-d30b52aecfc9</t>
  </si>
  <si>
    <t>4.11</t>
  </si>
  <si>
    <t>2026/08/20 15:29:42.442</t>
  </si>
  <si>
    <t>2026/08/20 15:44:16.560</t>
  </si>
  <si>
    <t>2026/08/20 15:20:20.017</t>
  </si>
  <si>
    <t>1f8df29f-584d-4fb4-9c83-2956be826da9</t>
  </si>
  <si>
    <t>4.9</t>
  </si>
  <si>
    <t>2026/08/20 15:21:30.822</t>
  </si>
  <si>
    <t>2026/08/20 15:44:36.715</t>
  </si>
  <si>
    <t>2026/08/20 15:51:17.981</t>
  </si>
  <si>
    <t>de432ab0-e1ef-43da-b3ea-df1125d12d2e</t>
  </si>
  <si>
    <t>4.16</t>
  </si>
  <si>
    <t>2026/08/20 15:51:40.009</t>
  </si>
  <si>
    <t>2026/10/04 09:37:47.076</t>
  </si>
  <si>
    <t>518e27cc-e1a7-41fd-9085-e8a97b00c097</t>
  </si>
  <si>
    <t>4.d</t>
  </si>
  <si>
    <t>2026/10/04 09:39:57.205</t>
  </si>
  <si>
    <t>2026/08/20 14:48:49.090</t>
  </si>
  <si>
    <t>b0fe6897-718b-4345-95ed-fda1fd78e1d4</t>
  </si>
  <si>
    <t>4.2</t>
  </si>
  <si>
    <t>2026/08/20 14:49:52.341</t>
  </si>
  <si>
    <t>2026/10/05 13:13:24.014</t>
  </si>
  <si>
    <t>2026/08/20 15:38:43.023</t>
  </si>
  <si>
    <t>50fd1acb-4baf-4c36-ba35-25851ee5795d</t>
  </si>
  <si>
    <t>4.14</t>
  </si>
  <si>
    <t>2026/08/20 15:40:29.904</t>
  </si>
  <si>
    <t>2026/10/05 13:14:07.539</t>
  </si>
  <si>
    <t>2026/08/20 15:42:07.027</t>
  </si>
  <si>
    <t>97361d88-22c0-477b-815b-88a984634fb0</t>
  </si>
  <si>
    <t>4.15</t>
  </si>
  <si>
    <t>2026/08/20 15:42:52.055</t>
  </si>
  <si>
    <t>2026/10/05 13:14:25.746</t>
  </si>
  <si>
    <t>​</t>
  </si>
  <si>
    <t>Aboveground Biomass (kg/m²)​</t>
  </si>
  <si>
    <t>Footprint​</t>
  </si>
  <si>
    <t>Manual​</t>
  </si>
  <si>
    <t>WT App​</t>
  </si>
  <si>
    <t>Drone RGB​</t>
  </si>
  <si>
    <t>GEDI​</t>
  </si>
  <si>
    <t>1​</t>
  </si>
  <si>
    <t>1.006​</t>
  </si>
  <si>
    <t>2​</t>
  </si>
  <si>
    <t>1.151​</t>
  </si>
  <si>
    <t>3​</t>
  </si>
  <si>
    <t>1.208​</t>
  </si>
  <si>
    <t>4​</t>
  </si>
  <si>
    <t>1.052​</t>
  </si>
  <si>
    <t>5​</t>
  </si>
  <si>
    <t>1.023​</t>
  </si>
  <si>
    <t>6​</t>
  </si>
  <si>
    <t>0.944​</t>
  </si>
  <si>
    <t>7​</t>
  </si>
  <si>
    <t>1.061​</t>
  </si>
  <si>
    <t>8​</t>
  </si>
  <si>
    <t>1.070​</t>
  </si>
  <si>
    <t>9​</t>
  </si>
  <si>
    <t>3.870​</t>
  </si>
  <si>
    <t>10​</t>
  </si>
  <si>
    <t>1.118​</t>
  </si>
  <si>
    <t>DRONE LiDAR BIOMASS</t>
  </si>
  <si>
    <t>App Bio kg/m^3</t>
  </si>
  <si>
    <t>Drone LiDAR</t>
  </si>
  <si>
    <t>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</si>
</sst>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FFFF"/>
      <name val="Calibri"/>
      <family val="2"/>
    </font>
    <font>
      <sz val="18"/>
      <color rgb="FF000000"/>
      <name val="Calibri"/>
      <family val="2"/>
    </font>
    <font>
      <sz val="18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medium">
        <color rgb="FFFFFFFF"/>
      </bottom>
      <diagonal/>
    </border>
    <border>
      <left/>
      <right/>
      <top style="thin">
        <color rgb="FF000000"/>
      </top>
      <bottom style="medium">
        <color rgb="FFFFFFFF"/>
      </bottom>
      <diagonal/>
    </border>
    <border>
      <left/>
      <right style="thin">
        <color rgb="FF000000"/>
      </right>
      <top style="thin">
        <color rgb="FF000000"/>
      </top>
      <bottom style="medium">
        <color rgb="FFFFFFFF"/>
      </bottom>
      <diagonal/>
    </border>
    <border>
      <left style="thin">
        <color rgb="FF000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rgb="FF000000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thin">
        <color rgb="FF000000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thin">
        <color rgb="FF000000"/>
      </right>
      <top style="thin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2" fontId="0" fillId="0" borderId="1" xfId="0" applyNumberFormat="1" applyBorder="1"/>
    <xf numFmtId="2" fontId="0" fillId="2" borderId="0" xfId="0" applyNumberFormat="1" applyFill="1"/>
    <xf numFmtId="0" fontId="1" fillId="3" borderId="1" xfId="0" applyFont="1" applyFill="1" applyBorder="1"/>
    <xf numFmtId="2" fontId="1" fillId="0" borderId="1" xfId="0" applyNumberFormat="1" applyFont="1" applyBorder="1"/>
    <xf numFmtId="0" fontId="2" fillId="4" borderId="3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9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" fillId="6" borderId="6" xfId="0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center" vertical="center"/>
    </xf>
    <xf numFmtId="0" fontId="1" fillId="0" borderId="0" xfId="0" applyFont="1"/>
    <xf numFmtId="0" fontId="4" fillId="5" borderId="6" xfId="0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35"/>
  <sheetViews>
    <sheetView topLeftCell="AO1" workbookViewId="0">
      <selection activeCell="BG2" sqref="BG2"/>
    </sheetView>
  </sheetViews>
  <sheetFormatPr defaultRowHeight="14.4" x14ac:dyDescent="0.3"/>
  <cols>
    <col min="1" max="1" width="3.109375" customWidth="1"/>
    <col min="2" max="2" width="9" bestFit="1" customWidth="1"/>
    <col min="3" max="3" width="13.33203125" bestFit="1" customWidth="1"/>
    <col min="4" max="4" width="15.6640625" bestFit="1" customWidth="1"/>
    <col min="5" max="5" width="14.6640625" bestFit="1" customWidth="1"/>
    <col min="6" max="6" width="24.33203125" bestFit="1" customWidth="1"/>
    <col min="7" max="7" width="15" bestFit="1" customWidth="1"/>
    <col min="8" max="8" width="13.44140625" bestFit="1" customWidth="1"/>
    <col min="9" max="9" width="13.33203125" bestFit="1" customWidth="1"/>
    <col min="10" max="10" width="14.6640625" bestFit="1" customWidth="1"/>
    <col min="11" max="11" width="16" bestFit="1" customWidth="1"/>
    <col min="12" max="12" width="14.6640625" bestFit="1" customWidth="1"/>
    <col min="13" max="13" width="22" bestFit="1" customWidth="1"/>
    <col min="14" max="14" width="34.88671875" bestFit="1" customWidth="1"/>
    <col min="15" max="15" width="10" style="1" bestFit="1" customWidth="1"/>
    <col min="16" max="16" width="9.44140625" hidden="1" customWidth="1"/>
    <col min="17" max="17" width="7.6640625" hidden="1" customWidth="1"/>
    <col min="18" max="18" width="12.33203125" hidden="1" customWidth="1"/>
    <col min="19" max="19" width="5.5546875" hidden="1" customWidth="1"/>
    <col min="20" max="20" width="10" customWidth="1"/>
    <col min="21" max="22" width="12.44140625" hidden="1" customWidth="1"/>
    <col min="23" max="23" width="12.33203125" hidden="1" customWidth="1"/>
    <col min="24" max="24" width="14" hidden="1" customWidth="1"/>
    <col min="25" max="25" width="19.88671875" hidden="1" customWidth="1"/>
    <col min="26" max="26" width="15.5546875" hidden="1" customWidth="1"/>
    <col min="27" max="27" width="15.33203125" hidden="1" customWidth="1"/>
    <col min="28" max="29" width="17.33203125" hidden="1" customWidth="1"/>
    <col min="30" max="30" width="19.6640625" hidden="1" customWidth="1"/>
    <col min="31" max="31" width="15.6640625" hidden="1" customWidth="1"/>
    <col min="32" max="32" width="22" hidden="1" customWidth="1"/>
    <col min="33" max="33" width="26.109375" hidden="1" customWidth="1"/>
    <col min="34" max="34" width="22" hidden="1" customWidth="1"/>
    <col min="35" max="35" width="26.109375" hidden="1" customWidth="1"/>
    <col min="36" max="36" width="20.6640625" bestFit="1" customWidth="1"/>
    <col min="37" max="37" width="22.5546875" style="2" bestFit="1" customWidth="1"/>
    <col min="38" max="38" width="13.44140625" style="3" bestFit="1" customWidth="1"/>
    <col min="39" max="39" width="23.5546875" hidden="1" customWidth="1"/>
    <col min="40" max="40" width="21.109375" style="2" bestFit="1" customWidth="1"/>
    <col min="41" max="41" width="12" style="3" bestFit="1" customWidth="1"/>
    <col min="42" max="42" width="13.33203125" style="1" bestFit="1" customWidth="1"/>
    <col min="43" max="43" width="19.109375" bestFit="1" customWidth="1"/>
    <col min="44" max="44" width="13.77734375" bestFit="1" customWidth="1"/>
    <col min="45" max="46" width="14.109375" customWidth="1"/>
    <col min="47" max="47" width="20.44140625" bestFit="1" customWidth="1"/>
    <col min="48" max="48" width="9.44140625" style="2" hidden="1" customWidth="1"/>
    <col min="49" max="49" width="10.33203125" hidden="1" customWidth="1"/>
    <col min="50" max="50" width="8.6640625" style="2" hidden="1" customWidth="1"/>
    <col min="51" max="51" width="9.6640625" hidden="1" customWidth="1"/>
    <col min="52" max="52" width="10.33203125" style="2" hidden="1" customWidth="1"/>
    <col min="53" max="53" width="11.109375" hidden="1" customWidth="1"/>
    <col min="54" max="54" width="10.6640625" bestFit="1" customWidth="1"/>
    <col min="55" max="56" width="11.5546875" bestFit="1" customWidth="1"/>
    <col min="57" max="57" width="12.88671875" style="2" bestFit="1" customWidth="1"/>
    <col min="58" max="59" width="13.88671875" bestFit="1" customWidth="1"/>
  </cols>
  <sheetData>
    <row r="1" spans="1:59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7" t="s">
        <v>36</v>
      </c>
      <c r="AL1" s="8" t="s">
        <v>37</v>
      </c>
      <c r="AM1" s="5" t="s">
        <v>38</v>
      </c>
      <c r="AN1" s="7" t="s">
        <v>39</v>
      </c>
      <c r="AO1" s="8" t="s">
        <v>40</v>
      </c>
      <c r="AP1" s="6" t="s">
        <v>41</v>
      </c>
      <c r="AQ1" t="s">
        <v>54</v>
      </c>
      <c r="AR1" t="s">
        <v>55</v>
      </c>
      <c r="AS1" s="5" t="s">
        <v>42</v>
      </c>
      <c r="AT1" s="5" t="s">
        <v>43</v>
      </c>
      <c r="AU1" s="5" t="s">
        <v>641</v>
      </c>
      <c r="AV1" s="7" t="s">
        <v>44</v>
      </c>
      <c r="AW1" s="5" t="s">
        <v>45</v>
      </c>
      <c r="AX1" s="7" t="s">
        <v>46</v>
      </c>
      <c r="AY1" s="5" t="s">
        <v>47</v>
      </c>
      <c r="AZ1" s="7" t="s">
        <v>48</v>
      </c>
      <c r="BA1" s="5" t="s">
        <v>49</v>
      </c>
      <c r="BB1" s="7" t="s">
        <v>50</v>
      </c>
      <c r="BC1" s="5" t="s">
        <v>51</v>
      </c>
      <c r="BD1" s="5" t="s">
        <v>51</v>
      </c>
      <c r="BE1" s="7" t="s">
        <v>52</v>
      </c>
      <c r="BF1" s="5" t="s">
        <v>53</v>
      </c>
      <c r="BG1" s="5" t="s">
        <v>642</v>
      </c>
    </row>
    <row r="2" spans="1:59" x14ac:dyDescent="0.3">
      <c r="A2">
        <v>1</v>
      </c>
      <c r="B2">
        <v>122</v>
      </c>
      <c r="C2">
        <v>0</v>
      </c>
      <c r="D2">
        <v>305.3</v>
      </c>
      <c r="E2">
        <v>276.42605590820301</v>
      </c>
      <c r="F2">
        <v>2</v>
      </c>
      <c r="G2" t="s">
        <v>56</v>
      </c>
      <c r="H2">
        <v>10</v>
      </c>
      <c r="I2">
        <v>19</v>
      </c>
      <c r="J2">
        <v>35.0846010783333</v>
      </c>
      <c r="K2">
        <v>-120.536582839167</v>
      </c>
      <c r="L2">
        <v>78.599999999999994</v>
      </c>
      <c r="M2" t="s">
        <v>57</v>
      </c>
      <c r="N2" t="s">
        <v>58</v>
      </c>
      <c r="O2" s="1" t="s">
        <v>59</v>
      </c>
      <c r="AF2" t="s">
        <v>60</v>
      </c>
      <c r="AG2" t="s">
        <v>61</v>
      </c>
      <c r="AH2" t="s">
        <v>60</v>
      </c>
      <c r="AI2" t="s">
        <v>61</v>
      </c>
      <c r="AK2" s="2">
        <v>0.17499999999999999</v>
      </c>
      <c r="AL2" s="3">
        <v>0.112381219</v>
      </c>
      <c r="AN2" s="2">
        <v>2.8</v>
      </c>
      <c r="AO2" s="3">
        <v>3.1197879309999998</v>
      </c>
      <c r="AP2" s="1" t="s">
        <v>59</v>
      </c>
      <c r="AQ2" s="4">
        <v>3.2140007019043</v>
      </c>
      <c r="AR2" s="4">
        <v>4.4424332232904797</v>
      </c>
      <c r="AS2" s="4">
        <f t="shared" ref="AS2:AS33" si="0">-52.21+16.22*AK2*100-1.25*(100*AK2)^2+0.05*(100*AK2)^3-0.000712*(100*AK2)^4</f>
        <v>50.018437499999962</v>
      </c>
      <c r="AT2" s="4">
        <f>-52.21+16.22*AL2*100-1.25*(100*AL2)^2+0.05*(100*AL2)^3-0.000712*(100*AL2)^4</f>
        <v>31.812480295446523</v>
      </c>
      <c r="AU2">
        <f>-0.164+6.73*AR2+2.87*AQ2^2</f>
        <v>59.380103061729557</v>
      </c>
      <c r="AV2" s="2">
        <f>AVERAGE(AK2:AK14)</f>
        <v>0.17161538461538464</v>
      </c>
      <c r="AW2">
        <f>AVERAGE(AL2:AL14)</f>
        <v>0.1564943035581644</v>
      </c>
      <c r="AX2" s="2">
        <f>AVERAGE(AN2:AN14)</f>
        <v>2.7076923076923078</v>
      </c>
      <c r="AY2">
        <f>AVERAGE(AO2:AO14)</f>
        <v>2.9314578037692303</v>
      </c>
      <c r="AZ2" s="10">
        <f>AVERAGE(AS2:AS14)</f>
        <v>48.839889146892283</v>
      </c>
      <c r="BA2" s="4">
        <f>AVERAGE(AT2:AT14)</f>
        <v>41.655524419595494</v>
      </c>
      <c r="BB2" s="10">
        <f>SUM(AS2:AS14)</f>
        <v>634.91855890959971</v>
      </c>
      <c r="BC2" s="4">
        <f>SUM(AT2:AT14)</f>
        <v>541.52181745474138</v>
      </c>
      <c r="BD2" s="4">
        <f>SUM(AU2:AU14)</f>
        <v>691.47774201255822</v>
      </c>
      <c r="BE2" s="10">
        <f>SUM(AS2:AS14)/(PI()*12.5^2)</f>
        <v>1.2934454670239428</v>
      </c>
      <c r="BF2" s="10">
        <f>SUM(AT2:AT14)/(PI()*12.5^2)</f>
        <v>1.1031791877123724</v>
      </c>
      <c r="BG2" s="10">
        <f>SUM(AU2:AU14)/(PI()*12.5^2)</f>
        <v>1.4086668886953086</v>
      </c>
    </row>
    <row r="3" spans="1:59" x14ac:dyDescent="0.3">
      <c r="A3">
        <v>2</v>
      </c>
      <c r="B3">
        <v>123</v>
      </c>
      <c r="C3">
        <v>0.37040000000000001</v>
      </c>
      <c r="D3">
        <v>321.8</v>
      </c>
      <c r="E3">
        <v>284.91220092773398</v>
      </c>
      <c r="F3">
        <v>2</v>
      </c>
      <c r="G3" t="s">
        <v>56</v>
      </c>
      <c r="H3">
        <v>10</v>
      </c>
      <c r="I3">
        <v>19</v>
      </c>
      <c r="J3">
        <v>35.0846355145</v>
      </c>
      <c r="K3">
        <v>-120.5365332245</v>
      </c>
      <c r="L3">
        <v>77.599999999999994</v>
      </c>
      <c r="M3" t="s">
        <v>62</v>
      </c>
      <c r="N3" t="s">
        <v>63</v>
      </c>
      <c r="O3" s="1" t="s">
        <v>64</v>
      </c>
      <c r="AF3" t="s">
        <v>65</v>
      </c>
      <c r="AG3" t="s">
        <v>61</v>
      </c>
      <c r="AH3" t="s">
        <v>65</v>
      </c>
      <c r="AI3" t="s">
        <v>61</v>
      </c>
      <c r="AK3" s="2">
        <v>0.17</v>
      </c>
      <c r="AL3" s="3">
        <v>0.164850367</v>
      </c>
      <c r="AN3" s="2">
        <v>2.7</v>
      </c>
      <c r="AO3" s="3">
        <v>3.3198816779999998</v>
      </c>
      <c r="AP3" s="1" t="s">
        <v>64</v>
      </c>
      <c r="AQ3" s="4">
        <v>2.9129986763000502</v>
      </c>
      <c r="AR3" s="4">
        <v>4.9184907593659304</v>
      </c>
      <c r="AS3" s="4">
        <f t="shared" si="0"/>
        <v>48.463048000000008</v>
      </c>
      <c r="AT3" s="4">
        <f>-52.21+16.22*AL3*100-1.25*(100*AL3)^2+0.05*(100*AL3)^3-0.000712*(100*AL3)^4</f>
        <v>46.895181051222956</v>
      </c>
      <c r="AU3">
        <f t="shared" ref="AU3:AU66" si="1">-0.164+6.73*AR3+2.87*AQ3^2</f>
        <v>57.291003707453889</v>
      </c>
    </row>
    <row r="4" spans="1:59" x14ac:dyDescent="0.3">
      <c r="A4">
        <v>3</v>
      </c>
      <c r="B4">
        <v>124</v>
      </c>
      <c r="C4">
        <v>0.1852</v>
      </c>
      <c r="D4">
        <v>267.89999999999998</v>
      </c>
      <c r="E4">
        <v>168.983322143555</v>
      </c>
      <c r="F4">
        <v>2</v>
      </c>
      <c r="G4" t="s">
        <v>56</v>
      </c>
      <c r="H4">
        <v>10</v>
      </c>
      <c r="I4">
        <v>19</v>
      </c>
      <c r="J4">
        <v>35.084674042333297</v>
      </c>
      <c r="K4">
        <v>-120.536492588333</v>
      </c>
      <c r="L4">
        <v>79.099999999999994</v>
      </c>
      <c r="M4" t="s">
        <v>66</v>
      </c>
      <c r="N4" t="s">
        <v>67</v>
      </c>
      <c r="O4" s="1" t="s">
        <v>68</v>
      </c>
      <c r="Q4">
        <v>21.5</v>
      </c>
      <c r="T4">
        <v>2</v>
      </c>
      <c r="AF4" t="s">
        <v>69</v>
      </c>
      <c r="AG4" t="s">
        <v>61</v>
      </c>
      <c r="AH4" t="s">
        <v>70</v>
      </c>
      <c r="AI4" t="s">
        <v>61</v>
      </c>
      <c r="AJ4">
        <v>21.5</v>
      </c>
      <c r="AK4" s="2">
        <v>0.215</v>
      </c>
      <c r="AL4" s="3">
        <v>0.21558288132424769</v>
      </c>
      <c r="AN4" s="2">
        <v>2.9</v>
      </c>
      <c r="AO4" s="3">
        <v>3.4619977469999998</v>
      </c>
      <c r="AP4" s="1" t="s">
        <v>68</v>
      </c>
      <c r="AQ4" s="4">
        <v>3.22999787330627</v>
      </c>
      <c r="AR4" s="4">
        <v>5.0462650440403198</v>
      </c>
      <c r="AS4" s="4">
        <f t="shared" si="0"/>
        <v>63.489605500000039</v>
      </c>
      <c r="AT4" s="4">
        <f>-52.21+16.22*AL4*100-1.25*(100*AL4)^2+0.05*(100*AL4)^3-0.000712*(100*AL4)^4</f>
        <v>63.693787972180871</v>
      </c>
      <c r="AU4">
        <f t="shared" si="1"/>
        <v>63.739747317077246</v>
      </c>
    </row>
    <row r="5" spans="1:59" x14ac:dyDescent="0.3">
      <c r="A5">
        <v>4</v>
      </c>
      <c r="B5">
        <v>125</v>
      </c>
      <c r="C5">
        <v>0.37040000000000001</v>
      </c>
      <c r="D5">
        <v>359.3</v>
      </c>
      <c r="E5">
        <v>330.41702270507801</v>
      </c>
      <c r="F5">
        <v>2</v>
      </c>
      <c r="G5" t="s">
        <v>56</v>
      </c>
      <c r="H5">
        <v>10</v>
      </c>
      <c r="I5">
        <v>19</v>
      </c>
      <c r="J5">
        <v>35.084701032166699</v>
      </c>
      <c r="K5">
        <v>-120.53645860650001</v>
      </c>
      <c r="L5">
        <v>80</v>
      </c>
      <c r="M5" t="s">
        <v>71</v>
      </c>
      <c r="N5" t="s">
        <v>72</v>
      </c>
      <c r="O5" s="1" t="s">
        <v>73</v>
      </c>
      <c r="AF5" t="s">
        <v>74</v>
      </c>
      <c r="AG5" t="s">
        <v>61</v>
      </c>
      <c r="AH5" t="s">
        <v>75</v>
      </c>
      <c r="AI5" t="s">
        <v>61</v>
      </c>
      <c r="AK5" s="2">
        <v>0.184</v>
      </c>
      <c r="AL5" s="3">
        <v>0.12034644899999999</v>
      </c>
      <c r="AN5" s="2">
        <v>3.2</v>
      </c>
      <c r="AO5" s="3">
        <v>3.3775017260000002</v>
      </c>
      <c r="AP5" s="1" t="s">
        <v>73</v>
      </c>
      <c r="AQ5" s="4">
        <v>3.5669972896575901</v>
      </c>
      <c r="AR5" s="4">
        <v>5.1400117269569199</v>
      </c>
      <c r="AS5" s="4">
        <f t="shared" si="0"/>
        <v>52.901713996799984</v>
      </c>
      <c r="AT5" s="4">
        <f>-52.21+16.22*AL5*100-1.25*(100*AL5)^2+0.05*(100*AL5)^3-0.000712*(100*AL5)^4</f>
        <v>34.16631408510478</v>
      </c>
      <c r="AU5">
        <f t="shared" si="1"/>
        <v>70.944636859318649</v>
      </c>
    </row>
    <row r="6" spans="1:59" x14ac:dyDescent="0.3">
      <c r="A6">
        <v>5</v>
      </c>
      <c r="B6">
        <v>127</v>
      </c>
      <c r="C6">
        <v>0</v>
      </c>
      <c r="D6">
        <v>126.7</v>
      </c>
      <c r="E6">
        <v>240.17079162597699</v>
      </c>
      <c r="F6">
        <v>2</v>
      </c>
      <c r="G6" t="s">
        <v>56</v>
      </c>
      <c r="H6">
        <v>10</v>
      </c>
      <c r="I6">
        <v>19</v>
      </c>
      <c r="J6">
        <v>35.084560740666703</v>
      </c>
      <c r="K6">
        <v>-120.5365171175</v>
      </c>
      <c r="L6">
        <v>78.900000000000006</v>
      </c>
      <c r="M6" t="s">
        <v>76</v>
      </c>
      <c r="N6" t="s">
        <v>77</v>
      </c>
      <c r="O6" s="1" t="s">
        <v>78</v>
      </c>
      <c r="Q6">
        <v>17.7</v>
      </c>
      <c r="AF6" t="s">
        <v>79</v>
      </c>
      <c r="AG6" t="s">
        <v>61</v>
      </c>
      <c r="AH6" t="s">
        <v>79</v>
      </c>
      <c r="AI6" t="s">
        <v>61</v>
      </c>
      <c r="AJ6">
        <v>17.7</v>
      </c>
      <c r="AK6" s="2">
        <v>0.17699999999999999</v>
      </c>
      <c r="AL6" s="3">
        <v>0.16843937</v>
      </c>
      <c r="AN6" s="2">
        <v>3.1</v>
      </c>
      <c r="AO6" s="3">
        <v>3.0354292389999999</v>
      </c>
      <c r="AP6" s="1" t="s">
        <v>78</v>
      </c>
      <c r="AQ6" s="4">
        <v>2.9599983692169198</v>
      </c>
      <c r="AR6" s="4">
        <v>4.7539459314393904</v>
      </c>
      <c r="AS6" s="4">
        <f t="shared" si="0"/>
        <v>50.649905640799972</v>
      </c>
      <c r="AT6" s="4">
        <f>-52.21+16.22*AL6*100-1.25*(100*AL6)^2+0.05*(100*AL6)^3-0.000712*(100*AL6)^4</f>
        <v>47.984307266260075</v>
      </c>
      <c r="AU6">
        <f t="shared" si="1"/>
        <v>56.975820410937885</v>
      </c>
    </row>
    <row r="7" spans="1:59" x14ac:dyDescent="0.3">
      <c r="A7">
        <v>6</v>
      </c>
      <c r="B7">
        <v>128</v>
      </c>
      <c r="C7">
        <v>0.37040000000000001</v>
      </c>
      <c r="D7">
        <v>34.299999999999997</v>
      </c>
      <c r="E7">
        <v>161.34941101074199</v>
      </c>
      <c r="F7">
        <v>2</v>
      </c>
      <c r="G7" t="s">
        <v>56</v>
      </c>
      <c r="H7">
        <v>10</v>
      </c>
      <c r="I7">
        <v>19</v>
      </c>
      <c r="J7">
        <v>35.084593144999999</v>
      </c>
      <c r="K7">
        <v>-120.53647620916701</v>
      </c>
      <c r="L7">
        <v>79.2</v>
      </c>
      <c r="M7" t="s">
        <v>80</v>
      </c>
      <c r="N7" t="s">
        <v>81</v>
      </c>
      <c r="O7" s="1" t="s">
        <v>82</v>
      </c>
      <c r="Q7">
        <v>18.399999999999999</v>
      </c>
      <c r="AF7" t="s">
        <v>83</v>
      </c>
      <c r="AG7" t="s">
        <v>61</v>
      </c>
      <c r="AH7" t="s">
        <v>83</v>
      </c>
      <c r="AI7" t="s">
        <v>61</v>
      </c>
      <c r="AJ7">
        <v>18.399999999999999</v>
      </c>
      <c r="AK7" s="2">
        <v>0.184</v>
      </c>
      <c r="AL7" s="3">
        <v>0.168389704</v>
      </c>
      <c r="AN7" s="2">
        <v>3</v>
      </c>
      <c r="AO7" s="3">
        <v>3.239539385</v>
      </c>
      <c r="AP7" s="1" t="s">
        <v>82</v>
      </c>
      <c r="AQ7" s="4">
        <v>3.0080006122589098</v>
      </c>
      <c r="AR7" s="4">
        <v>4.8533423099551198</v>
      </c>
      <c r="AS7" s="4">
        <f t="shared" si="0"/>
        <v>52.901713996799984</v>
      </c>
      <c r="AT7" s="4">
        <f>-52.21+16.22*AL7*100-1.25*(100*AL7)^2+0.05*(100*AL7)^3-0.000712*(100*AL7)^4</f>
        <v>47.96912351831665</v>
      </c>
      <c r="AU7">
        <f t="shared" si="1"/>
        <v>58.466947997212387</v>
      </c>
    </row>
    <row r="8" spans="1:59" x14ac:dyDescent="0.3">
      <c r="A8">
        <v>7</v>
      </c>
      <c r="B8">
        <v>129</v>
      </c>
      <c r="C8">
        <v>0</v>
      </c>
      <c r="D8">
        <v>96.8</v>
      </c>
      <c r="E8">
        <v>30.637283325195298</v>
      </c>
      <c r="F8">
        <v>2</v>
      </c>
      <c r="G8" t="s">
        <v>56</v>
      </c>
      <c r="H8">
        <v>10</v>
      </c>
      <c r="I8">
        <v>19</v>
      </c>
      <c r="J8">
        <v>35.0846141266667</v>
      </c>
      <c r="K8">
        <v>-120.536439410667</v>
      </c>
      <c r="L8">
        <v>78</v>
      </c>
      <c r="M8" t="s">
        <v>84</v>
      </c>
      <c r="N8" t="s">
        <v>85</v>
      </c>
      <c r="O8" s="1" t="s">
        <v>86</v>
      </c>
      <c r="Q8">
        <v>18.5</v>
      </c>
      <c r="AF8" t="s">
        <v>87</v>
      </c>
      <c r="AG8" t="s">
        <v>61</v>
      </c>
      <c r="AH8" t="s">
        <v>87</v>
      </c>
      <c r="AI8" t="s">
        <v>61</v>
      </c>
      <c r="AJ8">
        <v>18.5</v>
      </c>
      <c r="AK8" s="2">
        <v>0.185</v>
      </c>
      <c r="AL8" s="3">
        <v>0.18307942399999999</v>
      </c>
      <c r="AN8" s="2">
        <v>2.8</v>
      </c>
      <c r="AO8" s="3">
        <v>3.3693587780000001</v>
      </c>
      <c r="AP8" s="1" t="s">
        <v>86</v>
      </c>
      <c r="AQ8" s="4">
        <v>2.95699834823608</v>
      </c>
      <c r="AR8" s="4">
        <v>4.3336224206596103</v>
      </c>
      <c r="AS8" s="4">
        <f t="shared" si="0"/>
        <v>53.228585500000008</v>
      </c>
      <c r="AT8" s="4">
        <f>-52.21+16.22*AL8*100-1.25*(100*AL8)^2+0.05*(100*AL8)^3-0.000712*(100*AL8)^4</f>
        <v>52.601929220055482</v>
      </c>
      <c r="AU8">
        <f t="shared" si="1"/>
        <v>54.09609748536068</v>
      </c>
    </row>
    <row r="9" spans="1:59" x14ac:dyDescent="0.3">
      <c r="A9">
        <v>8</v>
      </c>
      <c r="B9">
        <v>130</v>
      </c>
      <c r="C9">
        <v>0.1852</v>
      </c>
      <c r="D9">
        <v>48.4</v>
      </c>
      <c r="E9">
        <v>128.141036987305</v>
      </c>
      <c r="F9">
        <v>2</v>
      </c>
      <c r="G9" t="s">
        <v>56</v>
      </c>
      <c r="H9">
        <v>10</v>
      </c>
      <c r="I9">
        <v>19</v>
      </c>
      <c r="J9">
        <v>35.084651242666702</v>
      </c>
      <c r="K9">
        <v>-120.53639959683299</v>
      </c>
      <c r="L9">
        <v>81.5</v>
      </c>
      <c r="M9" t="s">
        <v>88</v>
      </c>
      <c r="N9" t="s">
        <v>89</v>
      </c>
      <c r="O9" s="1" t="s">
        <v>90</v>
      </c>
      <c r="Q9">
        <v>16.600000000000001</v>
      </c>
      <c r="AF9" t="s">
        <v>91</v>
      </c>
      <c r="AG9" t="s">
        <v>61</v>
      </c>
      <c r="AH9" t="s">
        <v>92</v>
      </c>
      <c r="AI9" t="s">
        <v>61</v>
      </c>
      <c r="AJ9">
        <v>16.600000000000001</v>
      </c>
      <c r="AK9" s="2">
        <v>0.16600000000000001</v>
      </c>
      <c r="AL9" s="3">
        <v>0.27806708000000002</v>
      </c>
      <c r="AN9" s="2">
        <v>2.6</v>
      </c>
      <c r="AO9" s="3">
        <v>2.4037928580000001</v>
      </c>
      <c r="AP9" s="1" t="s">
        <v>90</v>
      </c>
      <c r="AQ9" s="4">
        <v>2.5780000686645499</v>
      </c>
      <c r="AR9" s="4">
        <v>3.9493270848342901</v>
      </c>
      <c r="AS9" s="4">
        <f t="shared" si="0"/>
        <v>47.242280716800018</v>
      </c>
      <c r="AT9" s="4">
        <f>-52.21+16.22*AL9*100-1.25*(100*AL9)^2+0.05*(100*AL9)^3-0.000712*(100*AL9)^4</f>
        <v>81.64880950904552</v>
      </c>
      <c r="AU9">
        <f t="shared" si="1"/>
        <v>45.489233377013569</v>
      </c>
    </row>
    <row r="10" spans="1:59" x14ac:dyDescent="0.3">
      <c r="A10">
        <v>9</v>
      </c>
      <c r="B10">
        <v>132</v>
      </c>
      <c r="C10">
        <v>0.1852</v>
      </c>
      <c r="D10">
        <v>109.6</v>
      </c>
      <c r="E10">
        <v>148.77810668945301</v>
      </c>
      <c r="F10">
        <v>2</v>
      </c>
      <c r="G10" t="s">
        <v>56</v>
      </c>
      <c r="H10">
        <v>10</v>
      </c>
      <c r="I10">
        <v>19</v>
      </c>
      <c r="J10">
        <v>35.084528786833303</v>
      </c>
      <c r="K10">
        <v>-120.536461240167</v>
      </c>
      <c r="L10">
        <v>81.2</v>
      </c>
      <c r="M10" t="s">
        <v>93</v>
      </c>
      <c r="N10" t="s">
        <v>94</v>
      </c>
      <c r="O10" s="1" t="s">
        <v>95</v>
      </c>
      <c r="Q10">
        <v>18.3</v>
      </c>
      <c r="AF10" t="s">
        <v>96</v>
      </c>
      <c r="AG10" t="s">
        <v>61</v>
      </c>
      <c r="AH10" t="s">
        <v>96</v>
      </c>
      <c r="AI10" t="s">
        <v>61</v>
      </c>
      <c r="AJ10">
        <v>18.3</v>
      </c>
      <c r="AK10" s="2">
        <v>0.183</v>
      </c>
      <c r="AL10" s="3">
        <v>0.16734623400000001</v>
      </c>
      <c r="AN10" s="2">
        <v>3</v>
      </c>
      <c r="AO10" s="3">
        <v>2.9695661069999999</v>
      </c>
      <c r="AP10" s="1" t="s">
        <v>95</v>
      </c>
      <c r="AQ10" s="4">
        <v>2.93100142478943</v>
      </c>
      <c r="AR10" s="4">
        <v>4.4781159910813804</v>
      </c>
      <c r="AS10" s="4">
        <f t="shared" si="0"/>
        <v>52.576115784799939</v>
      </c>
      <c r="AT10" s="4">
        <f>-52.21+16.22*AL10*100-1.25*(100*AL10)^2+0.05*(100*AL10)^3-0.000712*(100*AL10)^4</f>
        <v>47.650850349379091</v>
      </c>
      <c r="AU10">
        <f t="shared" si="1"/>
        <v>54.629228660555398</v>
      </c>
    </row>
    <row r="11" spans="1:59" x14ac:dyDescent="0.3">
      <c r="A11">
        <v>10</v>
      </c>
      <c r="B11">
        <v>133</v>
      </c>
      <c r="C11">
        <v>0</v>
      </c>
      <c r="D11">
        <v>60.6</v>
      </c>
      <c r="E11">
        <v>88.771453857421903</v>
      </c>
      <c r="F11">
        <v>2</v>
      </c>
      <c r="G11" t="s">
        <v>56</v>
      </c>
      <c r="H11">
        <v>10</v>
      </c>
      <c r="I11">
        <v>19</v>
      </c>
      <c r="J11">
        <v>35.084552925666699</v>
      </c>
      <c r="K11">
        <v>-120.536419654</v>
      </c>
      <c r="L11">
        <v>80</v>
      </c>
      <c r="M11" t="s">
        <v>97</v>
      </c>
      <c r="N11" t="s">
        <v>98</v>
      </c>
      <c r="O11" s="1" t="s">
        <v>99</v>
      </c>
      <c r="Q11">
        <v>18.5</v>
      </c>
      <c r="AF11" t="s">
        <v>100</v>
      </c>
      <c r="AG11" t="s">
        <v>61</v>
      </c>
      <c r="AH11" t="s">
        <v>100</v>
      </c>
      <c r="AI11" t="s">
        <v>61</v>
      </c>
      <c r="AJ11">
        <v>18.5</v>
      </c>
      <c r="AK11" s="2">
        <v>0.185</v>
      </c>
      <c r="AL11" s="3">
        <v>0.174822005</v>
      </c>
      <c r="AN11" s="2">
        <v>2.8</v>
      </c>
      <c r="AO11" s="3">
        <v>3.046244621</v>
      </c>
      <c r="AP11" s="1" t="s">
        <v>99</v>
      </c>
      <c r="AQ11" s="4">
        <v>3.1180000305175799</v>
      </c>
      <c r="AR11" s="4">
        <v>4.5486418414672301</v>
      </c>
      <c r="AS11" s="4">
        <f t="shared" si="0"/>
        <v>53.228585500000008</v>
      </c>
      <c r="AT11" s="4">
        <f>-52.21+16.22*AL11*100-1.25*(100*AL11)^2+0.05*(100*AL11)^3-0.000712*(100*AL11)^4</f>
        <v>49.962497003066929</v>
      </c>
      <c r="AU11">
        <f t="shared" si="1"/>
        <v>58.350282019257349</v>
      </c>
    </row>
    <row r="12" spans="1:59" x14ac:dyDescent="0.3">
      <c r="A12">
        <v>11</v>
      </c>
      <c r="B12">
        <v>134</v>
      </c>
      <c r="C12">
        <v>0</v>
      </c>
      <c r="D12">
        <v>77.2</v>
      </c>
      <c r="E12">
        <v>197.86888122558599</v>
      </c>
      <c r="F12">
        <v>2</v>
      </c>
      <c r="G12" t="s">
        <v>56</v>
      </c>
      <c r="H12">
        <v>10</v>
      </c>
      <c r="I12">
        <v>19</v>
      </c>
      <c r="J12">
        <v>35.084583468166699</v>
      </c>
      <c r="K12">
        <v>-120.53638326083301</v>
      </c>
      <c r="L12">
        <v>80.3</v>
      </c>
      <c r="M12" t="s">
        <v>101</v>
      </c>
      <c r="N12" t="s">
        <v>102</v>
      </c>
      <c r="O12" s="1" t="s">
        <v>103</v>
      </c>
      <c r="Q12">
        <v>16.5</v>
      </c>
      <c r="T12">
        <v>2</v>
      </c>
      <c r="AF12" t="s">
        <v>104</v>
      </c>
      <c r="AG12" t="s">
        <v>61</v>
      </c>
      <c r="AH12" t="s">
        <v>104</v>
      </c>
      <c r="AI12" t="s">
        <v>61</v>
      </c>
      <c r="AJ12">
        <v>16.5</v>
      </c>
      <c r="AK12" s="2">
        <v>0.16500000000000001</v>
      </c>
      <c r="AL12" s="3">
        <v>0.1306504529318897</v>
      </c>
      <c r="AN12" s="2">
        <v>2.5</v>
      </c>
      <c r="AO12" s="3">
        <v>2.1789553169999998</v>
      </c>
      <c r="AP12" s="1" t="s">
        <v>103</v>
      </c>
      <c r="AQ12" s="4">
        <v>2.3939988613128702</v>
      </c>
      <c r="AR12" s="4">
        <v>3.7424103185095601</v>
      </c>
      <c r="AS12" s="4">
        <f t="shared" si="0"/>
        <v>46.94026550000001</v>
      </c>
      <c r="AT12" s="4">
        <f>-52.21+16.22*AL12*100-1.25*(100*AL12)^2+0.05*(100*AL12)^3-0.000712*(100*AL12)^4</f>
        <v>37.097447381252479</v>
      </c>
      <c r="AU12">
        <f t="shared" si="1"/>
        <v>41.471053116235545</v>
      </c>
    </row>
    <row r="13" spans="1:59" x14ac:dyDescent="0.3">
      <c r="A13">
        <v>12</v>
      </c>
      <c r="B13">
        <v>202</v>
      </c>
      <c r="C13">
        <v>0.55559999999999998</v>
      </c>
      <c r="D13">
        <v>157.5</v>
      </c>
      <c r="E13">
        <v>159.23143005371099</v>
      </c>
      <c r="F13">
        <v>2</v>
      </c>
      <c r="G13" t="s">
        <v>56</v>
      </c>
      <c r="H13">
        <v>10</v>
      </c>
      <c r="I13">
        <v>19</v>
      </c>
      <c r="J13">
        <v>35.084688516</v>
      </c>
      <c r="K13">
        <v>-120.53635550049999</v>
      </c>
      <c r="L13">
        <v>82.3</v>
      </c>
      <c r="M13" t="s">
        <v>105</v>
      </c>
      <c r="N13" t="s">
        <v>106</v>
      </c>
      <c r="O13" s="1" t="s">
        <v>107</v>
      </c>
      <c r="Q13">
        <v>17.8</v>
      </c>
      <c r="AF13" t="s">
        <v>108</v>
      </c>
      <c r="AG13" t="s">
        <v>61</v>
      </c>
      <c r="AH13" t="s">
        <v>108</v>
      </c>
      <c r="AI13" t="s">
        <v>61</v>
      </c>
      <c r="AJ13">
        <v>17.8</v>
      </c>
      <c r="AK13" s="2">
        <v>0.17799999999999999</v>
      </c>
      <c r="AL13" s="3">
        <v>0.14278629800000001</v>
      </c>
      <c r="AN13" s="2">
        <v>2.4</v>
      </c>
      <c r="AO13" s="3">
        <v>2.954507113</v>
      </c>
      <c r="AP13" s="1" t="s">
        <v>107</v>
      </c>
      <c r="AQ13" s="4">
        <v>2.9580028057098402</v>
      </c>
      <c r="AR13" s="4">
        <v>4.5486418414672301</v>
      </c>
      <c r="AS13" s="4">
        <f t="shared" si="0"/>
        <v>50.96763905279991</v>
      </c>
      <c r="AT13" s="4">
        <f>-52.21+16.22*AL13*100-1.25*(100*AL13)^2+0.05*(100*AL13)^3-0.000712*(100*AL13)^4</f>
        <v>40.50058892631651</v>
      </c>
      <c r="AU13">
        <f t="shared" si="1"/>
        <v>55.560229911019967</v>
      </c>
    </row>
    <row r="14" spans="1:59" s="5" customFormat="1" x14ac:dyDescent="0.3">
      <c r="A14" s="5">
        <v>13</v>
      </c>
      <c r="B14" s="5">
        <v>135</v>
      </c>
      <c r="C14" s="5">
        <v>0</v>
      </c>
      <c r="D14" s="5">
        <v>97.9</v>
      </c>
      <c r="E14" s="5">
        <v>132.01731872558599</v>
      </c>
      <c r="F14" s="5">
        <v>2</v>
      </c>
      <c r="G14" s="5" t="s">
        <v>56</v>
      </c>
      <c r="H14" s="5">
        <v>10</v>
      </c>
      <c r="I14" s="5">
        <v>19</v>
      </c>
      <c r="J14" s="5">
        <v>35.084607157166701</v>
      </c>
      <c r="K14" s="5">
        <v>-120.536346605833</v>
      </c>
      <c r="L14" s="5">
        <v>82.6</v>
      </c>
      <c r="M14" s="5" t="s">
        <v>109</v>
      </c>
      <c r="N14" s="5" t="s">
        <v>110</v>
      </c>
      <c r="O14" s="6" t="s">
        <v>111</v>
      </c>
      <c r="AF14" s="5" t="s">
        <v>112</v>
      </c>
      <c r="AG14" s="5" t="s">
        <v>61</v>
      </c>
      <c r="AH14" s="5" t="s">
        <v>113</v>
      </c>
      <c r="AI14" s="5" t="s">
        <v>114</v>
      </c>
      <c r="AK14" s="7">
        <v>6.4000000000000001E-2</v>
      </c>
      <c r="AL14" s="11">
        <v>7.6844620000000004E-3</v>
      </c>
      <c r="AN14" s="7">
        <v>1.4</v>
      </c>
      <c r="AO14" s="8">
        <v>1.6323889490000001</v>
      </c>
      <c r="AP14" s="6" t="s">
        <v>111</v>
      </c>
      <c r="AQ14" s="9">
        <v>1.63299667835236</v>
      </c>
      <c r="AR14" s="9">
        <v>1.1283791670955099</v>
      </c>
      <c r="AS14" s="9">
        <f t="shared" si="0"/>
        <v>12.310662220799985</v>
      </c>
      <c r="AT14" s="12">
        <f>-52.21+16.22*AL14*100-1.25*(100*AL14)^2+0.05*(100*AL14)^3-0.000712*(100*AL14)^4</f>
        <v>-40.461499122906346</v>
      </c>
      <c r="AU14">
        <f t="shared" si="1"/>
        <v>15.083358089386024</v>
      </c>
    </row>
    <row r="15" spans="1:59" x14ac:dyDescent="0.3">
      <c r="A15">
        <v>16</v>
      </c>
      <c r="B15">
        <v>107</v>
      </c>
      <c r="C15">
        <v>0.74080000000000001</v>
      </c>
      <c r="D15">
        <v>83.8</v>
      </c>
      <c r="E15">
        <v>130.88153076171901</v>
      </c>
      <c r="F15">
        <v>2</v>
      </c>
      <c r="G15" t="s">
        <v>56</v>
      </c>
      <c r="H15">
        <v>10</v>
      </c>
      <c r="I15">
        <v>19</v>
      </c>
      <c r="J15">
        <v>35.084955948333302</v>
      </c>
      <c r="K15">
        <v>-120.536106606667</v>
      </c>
      <c r="L15">
        <v>79.099999999999994</v>
      </c>
      <c r="M15" t="s">
        <v>115</v>
      </c>
      <c r="N15" t="s">
        <v>116</v>
      </c>
      <c r="O15" s="1" t="s">
        <v>117</v>
      </c>
      <c r="Q15">
        <v>21</v>
      </c>
      <c r="AF15" t="s">
        <v>118</v>
      </c>
      <c r="AG15" t="s">
        <v>61</v>
      </c>
      <c r="AH15" t="s">
        <v>118</v>
      </c>
      <c r="AI15" t="s">
        <v>61</v>
      </c>
      <c r="AJ15">
        <v>21</v>
      </c>
      <c r="AK15" s="2">
        <v>0.21</v>
      </c>
      <c r="AL15" s="3">
        <v>0.21381452400000001</v>
      </c>
      <c r="AN15" s="2">
        <v>2.9</v>
      </c>
      <c r="AO15" s="3">
        <v>3.8535931109999999</v>
      </c>
      <c r="AP15" s="1" t="s">
        <v>117</v>
      </c>
      <c r="AQ15" s="4">
        <v>3.5449979305267298</v>
      </c>
      <c r="AR15" s="4">
        <v>5.7536273917515901</v>
      </c>
      <c r="AS15" s="4">
        <f t="shared" si="0"/>
        <v>61.739527999999979</v>
      </c>
      <c r="AT15" s="4">
        <f>-52.21+16.22*AL15*100-1.25*(100*AL15)^2+0.05*(100*AL15)^3-0.000712*(100*AL15)^4</f>
        <v>63.074354647199215</v>
      </c>
      <c r="AU15">
        <f t="shared" si="1"/>
        <v>74.625231986237551</v>
      </c>
      <c r="AV15" s="2">
        <f>AVERAGE(AK15:AK27)</f>
        <v>0.19030769230769232</v>
      </c>
      <c r="AW15">
        <f>AVERAGE(AL15:AL27)</f>
        <v>0.16458971707692308</v>
      </c>
      <c r="AX15" s="2">
        <f>AVERAGE(AN15:AN27)</f>
        <v>3.0230769230769234</v>
      </c>
      <c r="AY15">
        <f>AVERAGE(AO15:AO27)</f>
        <v>3.459558633615385</v>
      </c>
      <c r="AZ15" s="10">
        <f>AVERAGE(AS15:AS27)</f>
        <v>55.146241268800004</v>
      </c>
      <c r="BA15" s="4">
        <f>AVERAGE(AT15:AT27)</f>
        <v>47.189597274742972</v>
      </c>
      <c r="BB15" s="10">
        <f>SUM(AS15:AS27)</f>
        <v>716.90113649440002</v>
      </c>
      <c r="BC15" s="4">
        <f>SUM(AT15:AT27)</f>
        <v>613.46476457165863</v>
      </c>
      <c r="BD15" s="4">
        <f>SUM(AU15:AU27)</f>
        <v>832.31929824804899</v>
      </c>
      <c r="BE15" s="10">
        <f>SUM(AS15:AS27)/(PI()*12.5^2)</f>
        <v>1.460459002640401</v>
      </c>
      <c r="BF15" s="10">
        <f>SUM(AT15:AT27)/(PI()*12.5^2)</f>
        <v>1.249740156086852</v>
      </c>
      <c r="BG15" s="10">
        <f>SUM(AU15:AU27)/(PI()*12.5^2)</f>
        <v>1.6955869510010175</v>
      </c>
    </row>
    <row r="16" spans="1:59" x14ac:dyDescent="0.3">
      <c r="A16">
        <v>17</v>
      </c>
      <c r="B16">
        <v>108</v>
      </c>
      <c r="C16">
        <v>0.1852</v>
      </c>
      <c r="D16">
        <v>68.599999999999994</v>
      </c>
      <c r="E16">
        <v>36.101737976074197</v>
      </c>
      <c r="F16">
        <v>2</v>
      </c>
      <c r="G16" t="s">
        <v>56</v>
      </c>
      <c r="H16">
        <v>10</v>
      </c>
      <c r="I16">
        <v>19</v>
      </c>
      <c r="J16">
        <v>35.0849809651667</v>
      </c>
      <c r="K16">
        <v>-120.536068186167</v>
      </c>
      <c r="L16">
        <v>79.599999999999994</v>
      </c>
      <c r="M16" t="s">
        <v>119</v>
      </c>
      <c r="N16" t="s">
        <v>120</v>
      </c>
      <c r="O16" s="1" t="s">
        <v>121</v>
      </c>
      <c r="Q16">
        <v>21.1</v>
      </c>
      <c r="AF16" t="s">
        <v>122</v>
      </c>
      <c r="AG16" t="s">
        <v>61</v>
      </c>
      <c r="AH16" t="s">
        <v>122</v>
      </c>
      <c r="AI16" t="s">
        <v>61</v>
      </c>
      <c r="AJ16">
        <v>21.1</v>
      </c>
      <c r="AK16" s="2">
        <v>0.21099999999999999</v>
      </c>
      <c r="AL16" s="3">
        <v>0.230805602</v>
      </c>
      <c r="AN16" s="2">
        <v>3</v>
      </c>
      <c r="AO16" s="3">
        <v>3.6996357440000001</v>
      </c>
      <c r="AP16" s="1" t="s">
        <v>121</v>
      </c>
      <c r="AQ16" s="4">
        <v>3.42700099945068</v>
      </c>
      <c r="AR16" s="4">
        <v>5.1400117269569199</v>
      </c>
      <c r="AS16" s="4">
        <f t="shared" si="0"/>
        <v>62.089145800799997</v>
      </c>
      <c r="AT16" s="4">
        <f>-52.21+16.22*AL16*100-1.25*(100*AL16)^2+0.05*(100*AL16)^3-0.000712*(100*AL16)^4</f>
        <v>68.978196892875388</v>
      </c>
      <c r="AU16">
        <f t="shared" si="1"/>
        <v>68.134522812597282</v>
      </c>
    </row>
    <row r="17" spans="1:59" x14ac:dyDescent="0.3">
      <c r="A17">
        <v>18</v>
      </c>
      <c r="B17">
        <v>109</v>
      </c>
      <c r="C17">
        <v>0</v>
      </c>
      <c r="D17">
        <v>188.7</v>
      </c>
      <c r="E17">
        <v>174.76695251464801</v>
      </c>
      <c r="F17">
        <v>2</v>
      </c>
      <c r="G17" t="s">
        <v>56</v>
      </c>
      <c r="H17">
        <v>10</v>
      </c>
      <c r="I17">
        <v>19</v>
      </c>
      <c r="J17">
        <v>35.085014172999998</v>
      </c>
      <c r="K17">
        <v>-120.53601896466699</v>
      </c>
      <c r="L17">
        <v>80.5</v>
      </c>
      <c r="M17" t="s">
        <v>123</v>
      </c>
      <c r="N17" t="s">
        <v>124</v>
      </c>
      <c r="O17" s="1" t="s">
        <v>125</v>
      </c>
      <c r="Q17">
        <v>17.899999999999999</v>
      </c>
      <c r="AF17" t="s">
        <v>126</v>
      </c>
      <c r="AG17" t="s">
        <v>61</v>
      </c>
      <c r="AH17" t="s">
        <v>126</v>
      </c>
      <c r="AI17" t="s">
        <v>61</v>
      </c>
      <c r="AJ17">
        <v>17.899999999999999</v>
      </c>
      <c r="AK17" s="2">
        <v>0.17899999999999999</v>
      </c>
      <c r="AL17" s="3">
        <v>0.175782623</v>
      </c>
      <c r="AN17" s="2">
        <v>3</v>
      </c>
      <c r="AO17" s="3">
        <v>3.308177471</v>
      </c>
      <c r="AP17" s="1" t="s">
        <v>125</v>
      </c>
      <c r="AQ17" s="4">
        <v>3.2229981422424299</v>
      </c>
      <c r="AR17" s="4">
        <v>4.5486418414672301</v>
      </c>
      <c r="AS17" s="4">
        <f t="shared" si="0"/>
        <v>51.286701512799993</v>
      </c>
      <c r="AT17" s="4">
        <f>-52.21+16.22*AL17*100-1.25*(100*AL17)^2+0.05*(100*AL17)^3-0.000712*(100*AL17)^4</f>
        <v>50.264902757858877</v>
      </c>
      <c r="AU17">
        <f t="shared" si="1"/>
        <v>60.261107454532166</v>
      </c>
    </row>
    <row r="18" spans="1:59" x14ac:dyDescent="0.3">
      <c r="A18">
        <v>19</v>
      </c>
      <c r="B18">
        <v>110</v>
      </c>
      <c r="C18">
        <v>0</v>
      </c>
      <c r="D18">
        <v>315.2</v>
      </c>
      <c r="E18">
        <v>39.603729248046903</v>
      </c>
      <c r="F18">
        <v>2</v>
      </c>
      <c r="G18" t="s">
        <v>56</v>
      </c>
      <c r="H18">
        <v>10</v>
      </c>
      <c r="I18">
        <v>19</v>
      </c>
      <c r="J18">
        <v>35.085038068000003</v>
      </c>
      <c r="K18">
        <v>-120.5359791085</v>
      </c>
      <c r="L18">
        <v>81.599999999999994</v>
      </c>
      <c r="M18" t="s">
        <v>127</v>
      </c>
      <c r="N18" t="s">
        <v>128</v>
      </c>
      <c r="O18" s="1" t="s">
        <v>129</v>
      </c>
      <c r="AF18" t="s">
        <v>130</v>
      </c>
      <c r="AG18" t="s">
        <v>61</v>
      </c>
      <c r="AH18" t="s">
        <v>130</v>
      </c>
      <c r="AI18" t="s">
        <v>61</v>
      </c>
      <c r="AK18" s="2">
        <v>0.185</v>
      </c>
      <c r="AL18" s="3">
        <v>0.17974123</v>
      </c>
      <c r="AN18" s="2">
        <v>3.4</v>
      </c>
      <c r="AO18" s="3">
        <v>3.7452635769999998</v>
      </c>
      <c r="AP18" s="1" t="s">
        <v>129</v>
      </c>
      <c r="AQ18" s="4">
        <v>3.57200002670288</v>
      </c>
      <c r="AR18" s="4">
        <v>5.3225538860924102</v>
      </c>
      <c r="AS18" s="4">
        <f t="shared" si="0"/>
        <v>53.228585500000008</v>
      </c>
      <c r="AT18" s="4">
        <f>-52.21+16.22*AL18*100-1.25*(100*AL18)^2+0.05*(100*AL18)^3-0.000712*(100*AL18)^4</f>
        <v>51.524054953806271</v>
      </c>
      <c r="AU18">
        <f t="shared" si="1"/>
        <v>72.275646280898542</v>
      </c>
    </row>
    <row r="19" spans="1:59" x14ac:dyDescent="0.3">
      <c r="A19">
        <v>20</v>
      </c>
      <c r="B19">
        <v>112</v>
      </c>
      <c r="C19">
        <v>0.55559999999999998</v>
      </c>
      <c r="D19">
        <v>117.3</v>
      </c>
      <c r="E19">
        <v>159.06100463867199</v>
      </c>
      <c r="F19">
        <v>2</v>
      </c>
      <c r="G19" t="s">
        <v>56</v>
      </c>
      <c r="H19">
        <v>10</v>
      </c>
      <c r="I19">
        <v>19</v>
      </c>
      <c r="J19">
        <v>35.084904201833297</v>
      </c>
      <c r="K19">
        <v>-120.53604601216701</v>
      </c>
      <c r="L19">
        <v>81.400000000000006</v>
      </c>
      <c r="M19" t="s">
        <v>131</v>
      </c>
      <c r="N19" t="s">
        <v>132</v>
      </c>
      <c r="O19" s="1" t="s">
        <v>133</v>
      </c>
      <c r="Q19">
        <v>17.8</v>
      </c>
      <c r="AF19" t="s">
        <v>134</v>
      </c>
      <c r="AG19" t="s">
        <v>61</v>
      </c>
      <c r="AH19" t="s">
        <v>134</v>
      </c>
      <c r="AI19" t="s">
        <v>61</v>
      </c>
      <c r="AJ19">
        <v>17.8</v>
      </c>
      <c r="AK19" s="2">
        <v>0.17799999999999999</v>
      </c>
      <c r="AL19" s="3">
        <v>6.6998457999999997E-2</v>
      </c>
      <c r="AN19" s="2">
        <v>3</v>
      </c>
      <c r="AO19" s="3">
        <v>3.411982536</v>
      </c>
      <c r="AP19" s="1" t="s">
        <v>133</v>
      </c>
      <c r="AQ19" s="4">
        <v>3.2819995880127002</v>
      </c>
      <c r="AR19" s="4">
        <v>4.78730736481719</v>
      </c>
      <c r="AS19" s="4">
        <f t="shared" si="0"/>
        <v>50.96763905279991</v>
      </c>
      <c r="AT19" s="4">
        <f>-52.21+16.22*AL19*100-1.25*(100*AL19)^2+0.05*(100*AL19)^3-0.000712*(100*AL19)^4</f>
        <v>13.954065678274819</v>
      </c>
      <c r="AU19">
        <f t="shared" si="1"/>
        <v>62.96884468392328</v>
      </c>
    </row>
    <row r="20" spans="1:59" x14ac:dyDescent="0.3">
      <c r="A20">
        <v>21</v>
      </c>
      <c r="B20">
        <v>113</v>
      </c>
      <c r="C20">
        <v>0.1852</v>
      </c>
      <c r="D20">
        <v>356.3</v>
      </c>
      <c r="E20">
        <v>85.497734069824205</v>
      </c>
      <c r="F20">
        <v>2</v>
      </c>
      <c r="G20" t="s">
        <v>56</v>
      </c>
      <c r="H20">
        <v>10</v>
      </c>
      <c r="I20">
        <v>19</v>
      </c>
      <c r="J20">
        <v>35.084935155666699</v>
      </c>
      <c r="K20">
        <v>-120.53600347383301</v>
      </c>
      <c r="L20">
        <v>80.400000000000006</v>
      </c>
      <c r="M20" t="s">
        <v>135</v>
      </c>
      <c r="N20" t="s">
        <v>136</v>
      </c>
      <c r="O20" s="1" t="s">
        <v>137</v>
      </c>
      <c r="Q20">
        <v>24</v>
      </c>
      <c r="AF20" t="s">
        <v>138</v>
      </c>
      <c r="AG20" t="s">
        <v>61</v>
      </c>
      <c r="AH20" t="s">
        <v>138</v>
      </c>
      <c r="AI20" t="s">
        <v>61</v>
      </c>
      <c r="AJ20">
        <v>24</v>
      </c>
      <c r="AK20" s="2">
        <v>0.24</v>
      </c>
      <c r="AL20" s="3">
        <v>0.20333852099999999</v>
      </c>
      <c r="AN20" s="2">
        <v>3.1</v>
      </c>
      <c r="AO20" s="3">
        <v>3.5706684590000002</v>
      </c>
      <c r="AP20" s="1" t="s">
        <v>137</v>
      </c>
      <c r="AQ20" s="4">
        <v>3.3660025596618701</v>
      </c>
      <c r="AR20" s="4">
        <v>4.8533423099551198</v>
      </c>
      <c r="AS20" s="4">
        <f t="shared" si="0"/>
        <v>72.045488000000006</v>
      </c>
      <c r="AT20" s="4">
        <f>-52.21+16.22*AL20*100-1.25*(100*AL20)^2+0.05*(100*AL20)^3-0.000712*(100*AL20)^4</f>
        <v>59.421440025094611</v>
      </c>
      <c r="AU20">
        <f t="shared" si="1"/>
        <v>65.016016920834204</v>
      </c>
    </row>
    <row r="21" spans="1:59" x14ac:dyDescent="0.3">
      <c r="A21">
        <v>22</v>
      </c>
      <c r="B21">
        <v>114</v>
      </c>
      <c r="C21">
        <v>0.1852</v>
      </c>
      <c r="D21">
        <v>182.5</v>
      </c>
      <c r="E21">
        <v>52.540359497070298</v>
      </c>
      <c r="F21">
        <v>2</v>
      </c>
      <c r="G21" t="s">
        <v>56</v>
      </c>
      <c r="H21">
        <v>10</v>
      </c>
      <c r="I21">
        <v>19</v>
      </c>
      <c r="J21">
        <v>35.0849697581667</v>
      </c>
      <c r="K21">
        <v>-120.535961001833</v>
      </c>
      <c r="L21">
        <v>80.599999999999994</v>
      </c>
      <c r="M21" t="s">
        <v>139</v>
      </c>
      <c r="N21" t="s">
        <v>140</v>
      </c>
      <c r="O21" s="1" t="s">
        <v>141</v>
      </c>
      <c r="Q21">
        <v>19.7</v>
      </c>
      <c r="AF21" t="s">
        <v>142</v>
      </c>
      <c r="AG21" t="s">
        <v>61</v>
      </c>
      <c r="AH21" t="s">
        <v>142</v>
      </c>
      <c r="AI21" t="s">
        <v>61</v>
      </c>
      <c r="AJ21">
        <v>19.7</v>
      </c>
      <c r="AK21" s="2">
        <v>0.19700000000000001</v>
      </c>
      <c r="AL21" s="3">
        <v>0.21202960700000001</v>
      </c>
      <c r="AN21" s="2">
        <v>3.3</v>
      </c>
      <c r="AO21" s="3">
        <v>3.7971451279999999</v>
      </c>
      <c r="AP21" s="1" t="s">
        <v>141</v>
      </c>
      <c r="AQ21" s="4">
        <v>3.5950024127960201</v>
      </c>
      <c r="AR21" s="4">
        <v>5.1708829458264098</v>
      </c>
      <c r="AS21" s="4">
        <f t="shared" si="0"/>
        <v>57.243090152800065</v>
      </c>
      <c r="AT21" s="4">
        <f>-52.21+16.22*AL21*100-1.25*(100*AL21)^2+0.05*(100*AL21)^3-0.000712*(100*AL21)^4</f>
        <v>62.449386932754493</v>
      </c>
      <c r="AU21">
        <f t="shared" si="1"/>
        <v>71.728043764198162</v>
      </c>
    </row>
    <row r="22" spans="1:59" x14ac:dyDescent="0.3">
      <c r="A22">
        <v>23</v>
      </c>
      <c r="B22">
        <v>115</v>
      </c>
      <c r="C22">
        <v>0</v>
      </c>
      <c r="D22">
        <v>289.7</v>
      </c>
      <c r="E22">
        <v>118.45701599121099</v>
      </c>
      <c r="F22">
        <v>2</v>
      </c>
      <c r="G22" t="s">
        <v>56</v>
      </c>
      <c r="H22">
        <v>10</v>
      </c>
      <c r="I22">
        <v>19</v>
      </c>
      <c r="J22">
        <v>35.084993312500004</v>
      </c>
      <c r="K22">
        <v>-120.535921327667</v>
      </c>
      <c r="L22">
        <v>79.599999999999994</v>
      </c>
      <c r="M22" t="s">
        <v>143</v>
      </c>
      <c r="N22" t="s">
        <v>144</v>
      </c>
      <c r="O22" s="1" t="s">
        <v>145</v>
      </c>
      <c r="Q22">
        <v>19.5</v>
      </c>
      <c r="AF22" t="s">
        <v>146</v>
      </c>
      <c r="AG22" t="s">
        <v>61</v>
      </c>
      <c r="AH22" t="s">
        <v>146</v>
      </c>
      <c r="AI22" t="s">
        <v>61</v>
      </c>
      <c r="AJ22">
        <v>19.5</v>
      </c>
      <c r="AK22" s="2">
        <v>0.19500000000000001</v>
      </c>
      <c r="AL22" s="3">
        <v>0.19809882600000001</v>
      </c>
      <c r="AN22" s="2">
        <v>3</v>
      </c>
      <c r="AO22" s="3">
        <v>3.4503734110000002</v>
      </c>
      <c r="AP22" s="1" t="s">
        <v>145</v>
      </c>
      <c r="AQ22" s="4">
        <v>3.35600066184998</v>
      </c>
      <c r="AR22" s="4">
        <v>4.7203487194131499</v>
      </c>
      <c r="AS22" s="4">
        <f t="shared" si="0"/>
        <v>56.563125500000083</v>
      </c>
      <c r="AT22" s="4">
        <f>-52.21+16.22*AL22*100-1.25*(100*AL22)^2+0.05*(100*AL22)^3-0.000712*(100*AL22)^4</f>
        <v>57.618292669188307</v>
      </c>
      <c r="AU22">
        <f t="shared" si="1"/>
        <v>63.928011951159142</v>
      </c>
    </row>
    <row r="23" spans="1:59" x14ac:dyDescent="0.3">
      <c r="A23">
        <v>24</v>
      </c>
      <c r="B23">
        <v>118</v>
      </c>
      <c r="C23">
        <v>0.1852</v>
      </c>
      <c r="D23">
        <v>92</v>
      </c>
      <c r="E23">
        <v>166.61854553222699</v>
      </c>
      <c r="F23">
        <v>2</v>
      </c>
      <c r="G23" t="s">
        <v>56</v>
      </c>
      <c r="H23">
        <v>10</v>
      </c>
      <c r="I23">
        <v>19</v>
      </c>
      <c r="J23">
        <v>35.084898575499999</v>
      </c>
      <c r="K23">
        <v>-120.53594567683299</v>
      </c>
      <c r="L23">
        <v>81.8</v>
      </c>
      <c r="M23" t="s">
        <v>147</v>
      </c>
      <c r="N23" t="s">
        <v>148</v>
      </c>
      <c r="O23" s="1" t="s">
        <v>149</v>
      </c>
      <c r="Q23">
        <v>16.600000000000001</v>
      </c>
      <c r="AF23" t="s">
        <v>150</v>
      </c>
      <c r="AG23" t="s">
        <v>61</v>
      </c>
      <c r="AH23" t="s">
        <v>150</v>
      </c>
      <c r="AI23" t="s">
        <v>61</v>
      </c>
      <c r="AJ23">
        <v>16.600000000000001</v>
      </c>
      <c r="AK23" s="2">
        <v>0.16600000000000001</v>
      </c>
      <c r="AL23" s="3">
        <v>0.106355723</v>
      </c>
      <c r="AN23" s="2">
        <v>2.9</v>
      </c>
      <c r="AO23" s="3">
        <v>3.2230620380000001</v>
      </c>
      <c r="AP23" s="1" t="s">
        <v>149</v>
      </c>
      <c r="AQ23" s="4">
        <v>3.16499996185303</v>
      </c>
      <c r="AR23" s="4">
        <v>4.78730736481719</v>
      </c>
      <c r="AS23" s="4">
        <f t="shared" si="0"/>
        <v>47.242280716800018</v>
      </c>
      <c r="AT23" s="4">
        <f>-52.21+16.22*AL23*100-1.25*(100*AL23)^2+0.05*(100*AL23)^3-0.000712*(100*AL23)^4</f>
        <v>29.946978354548783</v>
      </c>
      <c r="AU23">
        <f t="shared" si="1"/>
        <v>60.804013622199875</v>
      </c>
    </row>
    <row r="24" spans="1:59" x14ac:dyDescent="0.3">
      <c r="A24">
        <v>25</v>
      </c>
      <c r="B24">
        <v>119</v>
      </c>
      <c r="C24">
        <v>0</v>
      </c>
      <c r="D24">
        <v>230.7</v>
      </c>
      <c r="E24">
        <v>168.41551208496099</v>
      </c>
      <c r="F24">
        <v>2</v>
      </c>
      <c r="G24" t="s">
        <v>56</v>
      </c>
      <c r="H24">
        <v>10</v>
      </c>
      <c r="I24">
        <v>19</v>
      </c>
      <c r="J24">
        <v>35.084929276333298</v>
      </c>
      <c r="K24">
        <v>-120.535906406167</v>
      </c>
      <c r="L24">
        <v>81.3</v>
      </c>
      <c r="M24" t="s">
        <v>151</v>
      </c>
      <c r="N24" t="s">
        <v>152</v>
      </c>
      <c r="O24" s="1" t="s">
        <v>153</v>
      </c>
      <c r="Q24">
        <v>18.8</v>
      </c>
      <c r="AF24" t="s">
        <v>154</v>
      </c>
      <c r="AG24" t="s">
        <v>61</v>
      </c>
      <c r="AH24" t="s">
        <v>154</v>
      </c>
      <c r="AI24" t="s">
        <v>61</v>
      </c>
      <c r="AJ24">
        <v>18.8</v>
      </c>
      <c r="AK24" s="2">
        <v>0.188</v>
      </c>
      <c r="AL24" s="3">
        <v>9.0946330000000006E-2</v>
      </c>
      <c r="AN24" s="2">
        <v>3.1</v>
      </c>
      <c r="AO24" s="3">
        <v>3.3697090150000002</v>
      </c>
      <c r="AP24" s="1" t="s">
        <v>153</v>
      </c>
      <c r="AQ24" s="4">
        <v>3.3310027122497599</v>
      </c>
      <c r="AR24" s="4">
        <v>4.4424332232904797</v>
      </c>
      <c r="AS24" s="4">
        <f t="shared" si="0"/>
        <v>54.216678476799956</v>
      </c>
      <c r="AT24" s="4">
        <f>-52.21+16.22*AL24*100-1.25*(100*AL24)^2+0.05*(100*AL24)^3-0.000712*(100*AL24)^4</f>
        <v>24.655404710550634</v>
      </c>
      <c r="AU24">
        <f t="shared" si="1"/>
        <v>61.57788752081872</v>
      </c>
    </row>
    <row r="25" spans="1:59" x14ac:dyDescent="0.3">
      <c r="A25">
        <v>26</v>
      </c>
      <c r="B25">
        <v>203</v>
      </c>
      <c r="C25">
        <v>0.37040000000000001</v>
      </c>
      <c r="D25">
        <v>151.80000000000001</v>
      </c>
      <c r="E25">
        <v>99.042175292968807</v>
      </c>
      <c r="F25">
        <v>2</v>
      </c>
      <c r="G25" t="s">
        <v>56</v>
      </c>
      <c r="H25">
        <v>10</v>
      </c>
      <c r="I25">
        <v>19</v>
      </c>
      <c r="J25">
        <v>35.085082650499999</v>
      </c>
      <c r="K25">
        <v>-120.53604307583301</v>
      </c>
      <c r="L25">
        <v>79.400000000000006</v>
      </c>
      <c r="M25" t="s">
        <v>155</v>
      </c>
      <c r="N25" t="s">
        <v>156</v>
      </c>
      <c r="O25" s="1" t="s">
        <v>157</v>
      </c>
      <c r="Q25">
        <v>18.399999999999999</v>
      </c>
      <c r="AF25" t="s">
        <v>158</v>
      </c>
      <c r="AG25" t="s">
        <v>61</v>
      </c>
      <c r="AH25" t="s">
        <v>158</v>
      </c>
      <c r="AI25" t="s">
        <v>61</v>
      </c>
      <c r="AJ25">
        <v>18.399999999999999</v>
      </c>
      <c r="AK25" s="2">
        <v>0.184</v>
      </c>
      <c r="AL25" s="3">
        <v>0.166170449</v>
      </c>
      <c r="AN25" s="2">
        <v>3.2</v>
      </c>
      <c r="AO25" s="3">
        <v>3.568545818</v>
      </c>
      <c r="AP25" s="1" t="s">
        <v>157</v>
      </c>
      <c r="AQ25" s="4">
        <v>3.4009990692138699</v>
      </c>
      <c r="AR25" s="4">
        <v>4.78730736481719</v>
      </c>
      <c r="AS25" s="4">
        <f t="shared" si="0"/>
        <v>52.901713996799984</v>
      </c>
      <c r="AT25" s="4">
        <f>-52.21+16.22*AL25*100-1.25*(100*AL25)^2+0.05*(100*AL25)^3-0.000712*(100*AL25)^4</f>
        <v>47.293883748101791</v>
      </c>
      <c r="AU25">
        <f t="shared" si="1"/>
        <v>65.251279264657342</v>
      </c>
    </row>
    <row r="26" spans="1:59" x14ac:dyDescent="0.3">
      <c r="A26">
        <v>27</v>
      </c>
      <c r="B26">
        <v>204</v>
      </c>
      <c r="C26">
        <v>0.1852</v>
      </c>
      <c r="D26">
        <v>165.9</v>
      </c>
      <c r="E26">
        <v>115.57558441162099</v>
      </c>
      <c r="F26">
        <v>2</v>
      </c>
      <c r="G26" t="s">
        <v>56</v>
      </c>
      <c r="H26">
        <v>10</v>
      </c>
      <c r="I26">
        <v>19</v>
      </c>
      <c r="J26">
        <v>35.085054714999998</v>
      </c>
      <c r="K26">
        <v>-120.536081025667</v>
      </c>
      <c r="L26">
        <v>79.5</v>
      </c>
      <c r="M26" t="s">
        <v>159</v>
      </c>
      <c r="N26" t="s">
        <v>160</v>
      </c>
      <c r="O26" s="1" t="s">
        <v>161</v>
      </c>
      <c r="Q26">
        <v>18.100000000000001</v>
      </c>
      <c r="AF26" t="s">
        <v>162</v>
      </c>
      <c r="AG26" t="s">
        <v>61</v>
      </c>
      <c r="AH26" t="s">
        <v>162</v>
      </c>
      <c r="AI26" t="s">
        <v>61</v>
      </c>
      <c r="AJ26">
        <v>18.100000000000001</v>
      </c>
      <c r="AK26" s="2">
        <v>0.18099999999999999</v>
      </c>
      <c r="AL26" s="3">
        <v>0.119390726</v>
      </c>
      <c r="AN26" s="2">
        <v>2.9</v>
      </c>
      <c r="AO26" s="3">
        <v>3.276447535</v>
      </c>
      <c r="AP26" s="1" t="s">
        <v>161</v>
      </c>
      <c r="AQ26" s="4">
        <v>3.07699823379517</v>
      </c>
      <c r="AR26" s="4">
        <v>4.78730736481719</v>
      </c>
      <c r="AS26" s="4">
        <f t="shared" si="0"/>
        <v>51.928791784800055</v>
      </c>
      <c r="AT26" s="4">
        <f>-52.21+16.22*AL26*100-1.25*(100*AL26)^2+0.05*(100*AL26)^3-0.000712*(100*AL26)^4</f>
        <v>33.889114924410464</v>
      </c>
      <c r="AU26">
        <f t="shared" si="1"/>
        <v>59.227503600554265</v>
      </c>
    </row>
    <row r="27" spans="1:59" s="5" customFormat="1" x14ac:dyDescent="0.3">
      <c r="A27" s="5">
        <v>28</v>
      </c>
      <c r="B27" s="5">
        <v>205</v>
      </c>
      <c r="C27" s="5">
        <v>0.37040000000000001</v>
      </c>
      <c r="D27" s="5">
        <v>106.3</v>
      </c>
      <c r="E27" s="5">
        <v>24.311254501342798</v>
      </c>
      <c r="F27" s="5">
        <v>2</v>
      </c>
      <c r="G27" s="5" t="s">
        <v>56</v>
      </c>
      <c r="H27" s="5">
        <v>10</v>
      </c>
      <c r="I27" s="5">
        <v>19</v>
      </c>
      <c r="J27" s="5">
        <v>35.084955866166702</v>
      </c>
      <c r="K27" s="5">
        <v>-120.535872146833</v>
      </c>
      <c r="L27" s="5">
        <v>81.8</v>
      </c>
      <c r="M27" s="5" t="s">
        <v>163</v>
      </c>
      <c r="N27" s="5" t="s">
        <v>164</v>
      </c>
      <c r="O27" s="6" t="s">
        <v>165</v>
      </c>
      <c r="P27" s="5">
        <v>2.5</v>
      </c>
      <c r="Q27" s="5">
        <v>16</v>
      </c>
      <c r="AF27" s="5" t="s">
        <v>166</v>
      </c>
      <c r="AG27" s="5" t="s">
        <v>61</v>
      </c>
      <c r="AH27" s="5" t="s">
        <v>166</v>
      </c>
      <c r="AI27" s="5" t="s">
        <v>61</v>
      </c>
      <c r="AJ27" s="5">
        <v>16</v>
      </c>
      <c r="AK27" s="7">
        <v>0.16</v>
      </c>
      <c r="AL27" s="8">
        <v>0.17619370300000001</v>
      </c>
      <c r="AM27" s="5">
        <v>2.5</v>
      </c>
      <c r="AN27" s="7">
        <v>2.5</v>
      </c>
      <c r="AO27" s="8">
        <v>2.6996583940000001</v>
      </c>
      <c r="AP27" s="6" t="s">
        <v>165</v>
      </c>
      <c r="AQ27" s="9">
        <v>2.6289975643157999</v>
      </c>
      <c r="AR27" s="9">
        <v>3.98942280401433</v>
      </c>
      <c r="AS27" s="9">
        <f t="shared" si="0"/>
        <v>45.448367999999988</v>
      </c>
      <c r="AT27" s="9">
        <f>-52.21+16.22*AL27*100-1.25*(100*AL27)^2+0.05*(100*AL27)^3-0.000712*(100*AL27)^4</f>
        <v>50.394688276995055</v>
      </c>
      <c r="AU27">
        <f t="shared" si="1"/>
        <v>46.521188385438478</v>
      </c>
      <c r="AV27" s="7"/>
      <c r="AX27" s="7"/>
      <c r="AZ27" s="7"/>
      <c r="BE27" s="7"/>
    </row>
    <row r="28" spans="1:59" x14ac:dyDescent="0.3">
      <c r="A28">
        <v>30</v>
      </c>
      <c r="B28">
        <v>91</v>
      </c>
      <c r="C28">
        <v>0</v>
      </c>
      <c r="D28">
        <v>254.2</v>
      </c>
      <c r="E28">
        <v>196.78196716308599</v>
      </c>
      <c r="F28">
        <v>2</v>
      </c>
      <c r="G28" t="s">
        <v>56</v>
      </c>
      <c r="H28">
        <v>10</v>
      </c>
      <c r="I28">
        <v>19</v>
      </c>
      <c r="J28">
        <v>35.085397416333301</v>
      </c>
      <c r="K28">
        <v>-120.535615842833</v>
      </c>
      <c r="L28">
        <v>82.1</v>
      </c>
      <c r="M28" t="s">
        <v>167</v>
      </c>
      <c r="N28" t="s">
        <v>168</v>
      </c>
      <c r="O28" s="1" t="s">
        <v>169</v>
      </c>
      <c r="Q28">
        <v>17.7</v>
      </c>
      <c r="AF28" t="s">
        <v>170</v>
      </c>
      <c r="AG28" t="s">
        <v>61</v>
      </c>
      <c r="AH28" t="s">
        <v>170</v>
      </c>
      <c r="AI28" t="s">
        <v>61</v>
      </c>
      <c r="AJ28">
        <v>17.7</v>
      </c>
      <c r="AK28" s="2">
        <v>0.17699999999999999</v>
      </c>
      <c r="AL28" s="3">
        <v>9.2966374000000004E-2</v>
      </c>
      <c r="AN28" s="2">
        <v>2.7</v>
      </c>
      <c r="AO28" s="3">
        <v>3.450216293</v>
      </c>
      <c r="AP28" s="1" t="s">
        <v>169</v>
      </c>
      <c r="AQ28" s="4">
        <v>3.3709967136383101</v>
      </c>
      <c r="AR28" s="4">
        <v>4.7203487194131499</v>
      </c>
      <c r="AS28" s="4">
        <f t="shared" si="0"/>
        <v>50.649905640799972</v>
      </c>
      <c r="AT28" s="4">
        <f>-52.21+16.22*AL28*100-1.25*(100*AL28)^2+0.05*(100*AL28)^3-0.000712*(100*AL28)^4</f>
        <v>25.402934609988812</v>
      </c>
      <c r="AU28">
        <f t="shared" si="1"/>
        <v>64.217532962094523</v>
      </c>
      <c r="AV28" s="2">
        <f>AVERAGE(AK28:AK41)</f>
        <v>0.17450000000000002</v>
      </c>
      <c r="AW28">
        <f>AVERAGE(AL28:AM41)</f>
        <v>0.34542957186666673</v>
      </c>
      <c r="AX28" s="2">
        <f>AVERAGE(AN28:AN41)</f>
        <v>3.1857142857142859</v>
      </c>
      <c r="AY28">
        <f>AVERAGE(AO28:AO41)</f>
        <v>3.6731344629999994</v>
      </c>
      <c r="AZ28" s="10">
        <f>AVERAGE(AS28:AS41)</f>
        <v>50.005505149085721</v>
      </c>
      <c r="BA28" s="4">
        <f>AVERAGE(AT28:AT41)</f>
        <v>35.49488625552975</v>
      </c>
      <c r="BB28" s="10">
        <f>SUM(AS28:AS41)</f>
        <v>700.07707208720012</v>
      </c>
      <c r="BC28" s="4">
        <f>SUM(AT28:AT41)</f>
        <v>496.92840757741646</v>
      </c>
      <c r="BD28" s="4">
        <f>SUM(AU28:AU41)</f>
        <v>959.11471738245609</v>
      </c>
      <c r="BE28" s="10">
        <f>SUM(AS28:AS41)/(PI()*12.5^2)</f>
        <v>1.4261853000701319</v>
      </c>
      <c r="BF28" s="10">
        <f>SUM(AT28:AT41)/(PI()*12.5^2)</f>
        <v>1.0123342390877426</v>
      </c>
      <c r="BG28" s="10">
        <f>SUM(AU28:AU41)/(PI()*12.5^2)</f>
        <v>1.9538924577741321</v>
      </c>
    </row>
    <row r="29" spans="1:59" x14ac:dyDescent="0.3">
      <c r="A29">
        <v>31</v>
      </c>
      <c r="B29">
        <v>93</v>
      </c>
      <c r="C29">
        <v>0</v>
      </c>
      <c r="D29">
        <v>175</v>
      </c>
      <c r="E29">
        <v>213.32688903808599</v>
      </c>
      <c r="F29">
        <v>2</v>
      </c>
      <c r="G29" t="s">
        <v>56</v>
      </c>
      <c r="H29">
        <v>10</v>
      </c>
      <c r="I29">
        <v>19</v>
      </c>
      <c r="J29">
        <v>35.085280203000003</v>
      </c>
      <c r="K29">
        <v>-120.53565196</v>
      </c>
      <c r="L29">
        <v>84.7</v>
      </c>
      <c r="M29" t="s">
        <v>171</v>
      </c>
      <c r="N29" t="s">
        <v>172</v>
      </c>
      <c r="O29" s="1" t="s">
        <v>173</v>
      </c>
      <c r="AF29" t="s">
        <v>174</v>
      </c>
      <c r="AG29" t="s">
        <v>61</v>
      </c>
      <c r="AH29" t="s">
        <v>174</v>
      </c>
      <c r="AI29" t="s">
        <v>61</v>
      </c>
      <c r="AK29" s="2">
        <v>0.17399999999999999</v>
      </c>
      <c r="AL29" s="3">
        <v>0.22639342500000001</v>
      </c>
      <c r="AN29" s="2">
        <v>2.9</v>
      </c>
      <c r="AO29" s="3">
        <v>3.5511066910000002</v>
      </c>
      <c r="AP29" s="1" t="s">
        <v>173</v>
      </c>
      <c r="AQ29" s="4">
        <v>3.3959999084472701</v>
      </c>
      <c r="AR29" s="4">
        <v>5.3523723484583101</v>
      </c>
      <c r="AS29" s="4">
        <f t="shared" si="0"/>
        <v>49.704704268800015</v>
      </c>
      <c r="AT29" s="4">
        <f>-52.21+16.22*AL29*100-1.25*(100*AL29)^2+0.05*(100*AL29)^3-0.000712*(100*AL29)^4</f>
        <v>67.463267589626724</v>
      </c>
      <c r="AU29">
        <f t="shared" si="1"/>
        <v>68.956646040483434</v>
      </c>
    </row>
    <row r="30" spans="1:59" x14ac:dyDescent="0.3">
      <c r="A30">
        <v>32</v>
      </c>
      <c r="B30">
        <v>94</v>
      </c>
      <c r="C30">
        <v>0.1852</v>
      </c>
      <c r="D30">
        <v>122</v>
      </c>
      <c r="E30">
        <v>254.34664916992199</v>
      </c>
      <c r="F30">
        <v>2</v>
      </c>
      <c r="G30" t="s">
        <v>56</v>
      </c>
      <c r="H30">
        <v>10</v>
      </c>
      <c r="I30">
        <v>19</v>
      </c>
      <c r="J30">
        <v>35.085315932333302</v>
      </c>
      <c r="K30">
        <v>-120.535602562333</v>
      </c>
      <c r="L30">
        <v>81.7</v>
      </c>
      <c r="M30" t="s">
        <v>175</v>
      </c>
      <c r="N30" t="s">
        <v>176</v>
      </c>
      <c r="O30" s="1" t="s">
        <v>177</v>
      </c>
      <c r="P30">
        <v>3.4</v>
      </c>
      <c r="Q30">
        <v>17.2</v>
      </c>
      <c r="AF30" t="s">
        <v>178</v>
      </c>
      <c r="AG30" t="s">
        <v>61</v>
      </c>
      <c r="AH30" t="s">
        <v>178</v>
      </c>
      <c r="AI30" t="s">
        <v>61</v>
      </c>
      <c r="AJ30">
        <v>17.2</v>
      </c>
      <c r="AK30" s="2">
        <v>0.17199999999999999</v>
      </c>
      <c r="AL30" s="3">
        <v>0.12748742900000001</v>
      </c>
      <c r="AM30">
        <v>3.4</v>
      </c>
      <c r="AN30" s="2">
        <v>3.4</v>
      </c>
      <c r="AO30" s="3">
        <v>3.8251433370000001</v>
      </c>
      <c r="AP30" s="1" t="s">
        <v>177</v>
      </c>
      <c r="AQ30" s="4">
        <v>3.7749967575073202</v>
      </c>
      <c r="AR30" s="4">
        <v>5.0146267067967703</v>
      </c>
      <c r="AS30" s="4">
        <f t="shared" si="0"/>
        <v>49.081230412799954</v>
      </c>
      <c r="AT30" s="4">
        <f>-52.21+16.22*AL30*100-1.25*(100*AL30)^2+0.05*(100*AL30)^3-0.000712*(100*AL30)^4</f>
        <v>36.206200343851265</v>
      </c>
      <c r="AU30">
        <f t="shared" si="1"/>
        <v>74.483661226819805</v>
      </c>
    </row>
    <row r="31" spans="1:59" x14ac:dyDescent="0.3">
      <c r="A31">
        <v>33</v>
      </c>
      <c r="B31">
        <v>95</v>
      </c>
      <c r="C31">
        <v>0.1852</v>
      </c>
      <c r="D31">
        <v>264.3</v>
      </c>
      <c r="E31">
        <v>125.365356445312</v>
      </c>
      <c r="F31">
        <v>2</v>
      </c>
      <c r="G31" t="s">
        <v>56</v>
      </c>
      <c r="H31">
        <v>10</v>
      </c>
      <c r="I31">
        <v>19</v>
      </c>
      <c r="J31">
        <v>35.085355689499998</v>
      </c>
      <c r="K31">
        <v>-120.53556755516701</v>
      </c>
      <c r="L31">
        <v>82</v>
      </c>
      <c r="M31" t="s">
        <v>179</v>
      </c>
      <c r="N31" t="s">
        <v>180</v>
      </c>
      <c r="O31" s="1" t="s">
        <v>181</v>
      </c>
      <c r="Q31">
        <v>15.8</v>
      </c>
      <c r="AF31" t="s">
        <v>182</v>
      </c>
      <c r="AG31" t="s">
        <v>61</v>
      </c>
      <c r="AH31" t="s">
        <v>182</v>
      </c>
      <c r="AI31" t="s">
        <v>61</v>
      </c>
      <c r="AJ31">
        <v>15.8</v>
      </c>
      <c r="AK31" s="2">
        <v>0.158</v>
      </c>
      <c r="AL31" s="3">
        <v>8.0709552000000004E-2</v>
      </c>
      <c r="AN31" s="2">
        <v>3.4</v>
      </c>
      <c r="AO31" s="3">
        <v>3.7085983749999998</v>
      </c>
      <c r="AP31" s="1" t="s">
        <v>181</v>
      </c>
      <c r="AQ31" s="4">
        <v>3.47000288963318</v>
      </c>
      <c r="AR31" s="4">
        <v>4.82043791490117</v>
      </c>
      <c r="AS31" s="4">
        <f t="shared" si="0"/>
        <v>44.859667724800012</v>
      </c>
      <c r="AT31" s="4">
        <f>-52.21+16.22*AL31*100-1.25*(100*AL31)^2+0.05*(100*AL31)^3-0.000712*(100*AL31)^4</f>
        <v>20.541523555730798</v>
      </c>
      <c r="AU31">
        <f t="shared" si="1"/>
        <v>66.834987722444595</v>
      </c>
    </row>
    <row r="32" spans="1:59" x14ac:dyDescent="0.3">
      <c r="A32">
        <v>34</v>
      </c>
      <c r="B32">
        <v>96</v>
      </c>
      <c r="C32">
        <v>0.1852</v>
      </c>
      <c r="D32">
        <v>10.5</v>
      </c>
      <c r="E32">
        <v>81.264045715332003</v>
      </c>
      <c r="F32">
        <v>2</v>
      </c>
      <c r="G32" t="s">
        <v>56</v>
      </c>
      <c r="H32">
        <v>10</v>
      </c>
      <c r="I32">
        <v>19</v>
      </c>
      <c r="J32">
        <v>35.085386011333298</v>
      </c>
      <c r="K32">
        <v>-120.53552608783301</v>
      </c>
      <c r="L32">
        <v>82</v>
      </c>
      <c r="M32" t="s">
        <v>183</v>
      </c>
      <c r="N32" t="s">
        <v>184</v>
      </c>
      <c r="O32" s="1" t="s">
        <v>185</v>
      </c>
      <c r="AF32" t="s">
        <v>186</v>
      </c>
      <c r="AG32" t="s">
        <v>61</v>
      </c>
      <c r="AH32" t="s">
        <v>186</v>
      </c>
      <c r="AI32" t="s">
        <v>61</v>
      </c>
      <c r="AK32" s="2">
        <v>0.2</v>
      </c>
      <c r="AL32" s="3">
        <v>0.16823634300000001</v>
      </c>
      <c r="AN32" s="2">
        <v>3.3</v>
      </c>
      <c r="AO32" s="3">
        <v>3.8265657420000001</v>
      </c>
      <c r="AP32" s="1" t="s">
        <v>185</v>
      </c>
      <c r="AQ32" s="4">
        <v>3.4790003299713099</v>
      </c>
      <c r="AR32" s="4">
        <v>4.82043791490117</v>
      </c>
      <c r="AS32" s="4">
        <f t="shared" si="0"/>
        <v>58.27000000000001</v>
      </c>
      <c r="AT32" s="4">
        <f>-52.21+16.22*AL32*100-1.25*(100*AL32)^2+0.05*(100*AL32)^3-0.000712*(100*AL32)^4</f>
        <v>47.922258511906669</v>
      </c>
      <c r="AU32">
        <f t="shared" si="1"/>
        <v>67.014429426634052</v>
      </c>
    </row>
    <row r="33" spans="1:59" x14ac:dyDescent="0.3">
      <c r="A33">
        <v>35</v>
      </c>
      <c r="B33">
        <v>98</v>
      </c>
      <c r="C33">
        <v>0.37040000000000001</v>
      </c>
      <c r="D33">
        <v>125</v>
      </c>
      <c r="E33">
        <v>160.97415161132801</v>
      </c>
      <c r="F33">
        <v>2</v>
      </c>
      <c r="G33" t="s">
        <v>56</v>
      </c>
      <c r="H33">
        <v>10</v>
      </c>
      <c r="I33">
        <v>19</v>
      </c>
      <c r="J33">
        <v>35.085267727333303</v>
      </c>
      <c r="K33">
        <v>-120.53554267200001</v>
      </c>
      <c r="L33">
        <v>82.6</v>
      </c>
      <c r="M33" t="s">
        <v>187</v>
      </c>
      <c r="N33" t="s">
        <v>188</v>
      </c>
      <c r="O33" s="1" t="s">
        <v>189</v>
      </c>
      <c r="Q33">
        <v>15.8</v>
      </c>
      <c r="AF33" t="s">
        <v>190</v>
      </c>
      <c r="AG33" t="s">
        <v>61</v>
      </c>
      <c r="AH33" t="s">
        <v>191</v>
      </c>
      <c r="AI33" t="s">
        <v>61</v>
      </c>
      <c r="AJ33">
        <v>15.8</v>
      </c>
      <c r="AK33" s="2">
        <v>0.158</v>
      </c>
      <c r="AL33" s="3">
        <v>0.14404346400000001</v>
      </c>
      <c r="AN33" s="2">
        <v>3.2</v>
      </c>
      <c r="AO33" s="3">
        <v>4.0079970359999999</v>
      </c>
      <c r="AP33" s="1" t="s">
        <v>189</v>
      </c>
      <c r="AQ33" s="4">
        <v>3.7129991054534899</v>
      </c>
      <c r="AR33" s="4">
        <v>4.6865106579075997</v>
      </c>
      <c r="AS33" s="4">
        <f t="shared" si="0"/>
        <v>44.859667724800012</v>
      </c>
      <c r="AT33" s="4">
        <f>-52.21+16.22*AL33*100-1.25*(100*AL33)^2+0.05*(100*AL33)^3-0.000712*(100*AL33)^4</f>
        <v>40.854760191630298</v>
      </c>
      <c r="AU33">
        <f t="shared" si="1"/>
        <v>70.943076692590608</v>
      </c>
    </row>
    <row r="34" spans="1:59" x14ac:dyDescent="0.3">
      <c r="A34">
        <v>36</v>
      </c>
      <c r="B34">
        <v>99</v>
      </c>
      <c r="C34">
        <v>0.37040000000000001</v>
      </c>
      <c r="D34">
        <v>178.6</v>
      </c>
      <c r="E34">
        <v>167.88143920898401</v>
      </c>
      <c r="F34">
        <v>2</v>
      </c>
      <c r="G34" t="s">
        <v>56</v>
      </c>
      <c r="H34">
        <v>10</v>
      </c>
      <c r="I34">
        <v>19</v>
      </c>
      <c r="J34">
        <v>35.085243045833302</v>
      </c>
      <c r="K34">
        <v>-120.535584083</v>
      </c>
      <c r="L34">
        <v>80.599999999999994</v>
      </c>
      <c r="M34" t="s">
        <v>192</v>
      </c>
      <c r="N34" t="s">
        <v>193</v>
      </c>
      <c r="O34" s="1" t="s">
        <v>194</v>
      </c>
      <c r="AF34" t="s">
        <v>195</v>
      </c>
      <c r="AG34" t="s">
        <v>61</v>
      </c>
      <c r="AH34" t="s">
        <v>195</v>
      </c>
      <c r="AI34" t="s">
        <v>61</v>
      </c>
      <c r="AK34" s="2">
        <v>0.161</v>
      </c>
      <c r="AL34" s="3">
        <v>8.7618261000000003E-2</v>
      </c>
      <c r="AN34" s="2">
        <v>3</v>
      </c>
      <c r="AO34" s="3">
        <v>3.4749381540000002</v>
      </c>
      <c r="AP34" s="1" t="s">
        <v>194</v>
      </c>
      <c r="AQ34" s="4">
        <v>3.3790030479431201</v>
      </c>
      <c r="AR34" s="4">
        <v>4.5135166683820502</v>
      </c>
      <c r="AS34" s="4">
        <f t="shared" ref="AS34:AS65" si="2">-52.21+16.22*AK34*100-1.25*(100*AK34)^2+0.05*(100*AK34)^3-0.000712*(100*AK34)^4</f>
        <v>45.744395240799996</v>
      </c>
      <c r="AT34" s="4">
        <f>-52.21+16.22*AL34*100-1.25*(100*AL34)^2+0.05*(100*AL34)^3-0.000712*(100*AL34)^4</f>
        <v>23.380693819665254</v>
      </c>
      <c r="AU34">
        <f t="shared" si="1"/>
        <v>62.980655964496734</v>
      </c>
    </row>
    <row r="35" spans="1:59" x14ac:dyDescent="0.3">
      <c r="A35">
        <v>37</v>
      </c>
      <c r="B35">
        <v>100</v>
      </c>
      <c r="C35">
        <v>0.1852</v>
      </c>
      <c r="D35">
        <v>12.5</v>
      </c>
      <c r="E35">
        <v>82.001945495605497</v>
      </c>
      <c r="F35">
        <v>2</v>
      </c>
      <c r="G35" t="s">
        <v>56</v>
      </c>
      <c r="H35">
        <v>10</v>
      </c>
      <c r="I35">
        <v>19</v>
      </c>
      <c r="J35">
        <v>35.085303691666702</v>
      </c>
      <c r="K35">
        <v>-120.53548865316699</v>
      </c>
      <c r="L35">
        <v>83.3</v>
      </c>
      <c r="M35" t="s">
        <v>196</v>
      </c>
      <c r="N35" t="s">
        <v>197</v>
      </c>
      <c r="O35" s="1" t="s">
        <v>198</v>
      </c>
      <c r="Q35">
        <v>16</v>
      </c>
      <c r="AF35" t="s">
        <v>199</v>
      </c>
      <c r="AG35" t="s">
        <v>61</v>
      </c>
      <c r="AH35" t="s">
        <v>199</v>
      </c>
      <c r="AI35" t="s">
        <v>61</v>
      </c>
      <c r="AJ35">
        <v>16</v>
      </c>
      <c r="AK35" s="2">
        <v>0.16</v>
      </c>
      <c r="AL35" s="3">
        <v>0.14121236000000001</v>
      </c>
      <c r="AN35" s="2">
        <v>3.3</v>
      </c>
      <c r="AO35" s="3">
        <v>3.642033815</v>
      </c>
      <c r="AP35" s="1" t="s">
        <v>198</v>
      </c>
      <c r="AQ35" s="4">
        <v>3.5170021057128902</v>
      </c>
      <c r="AR35" s="4">
        <v>5.2320789569544903</v>
      </c>
      <c r="AS35" s="4">
        <f t="shared" si="2"/>
        <v>45.448367999999988</v>
      </c>
      <c r="AT35" s="4">
        <f>-52.21+16.22*AL35*100-1.25*(100*AL35)^2+0.05*(100*AL35)^3-0.000712*(100*AL35)^4</f>
        <v>40.058090032861813</v>
      </c>
      <c r="AU35">
        <f t="shared" si="1"/>
        <v>70.54779331956388</v>
      </c>
    </row>
    <row r="36" spans="1:59" x14ac:dyDescent="0.3">
      <c r="A36">
        <v>38</v>
      </c>
      <c r="B36">
        <v>101</v>
      </c>
      <c r="C36">
        <v>0</v>
      </c>
      <c r="D36">
        <v>333</v>
      </c>
      <c r="E36">
        <v>338.11355590820301</v>
      </c>
      <c r="F36">
        <v>2</v>
      </c>
      <c r="G36" t="s">
        <v>56</v>
      </c>
      <c r="H36">
        <v>10</v>
      </c>
      <c r="I36">
        <v>19</v>
      </c>
      <c r="J36">
        <v>35.085331070833298</v>
      </c>
      <c r="K36">
        <v>-120.535468945833</v>
      </c>
      <c r="L36">
        <v>82.9</v>
      </c>
      <c r="M36" t="s">
        <v>200</v>
      </c>
      <c r="N36" t="s">
        <v>201</v>
      </c>
      <c r="O36" s="1" t="s">
        <v>202</v>
      </c>
      <c r="Q36">
        <v>18.5</v>
      </c>
      <c r="AF36" t="s">
        <v>203</v>
      </c>
      <c r="AG36" t="s">
        <v>61</v>
      </c>
      <c r="AH36" t="s">
        <v>203</v>
      </c>
      <c r="AI36" t="s">
        <v>61</v>
      </c>
      <c r="AJ36">
        <v>18.5</v>
      </c>
      <c r="AK36" s="2">
        <v>0.185</v>
      </c>
      <c r="AL36" s="3">
        <v>6.7364602999999995E-2</v>
      </c>
      <c r="AN36" s="2">
        <v>2.9</v>
      </c>
      <c r="AO36" s="3">
        <v>3.287435055</v>
      </c>
      <c r="AP36" s="1" t="s">
        <v>202</v>
      </c>
      <c r="AQ36" s="4">
        <v>3.3880028724670401</v>
      </c>
      <c r="AR36" s="4">
        <v>4.6865106579075997</v>
      </c>
      <c r="AS36" s="4">
        <f t="shared" si="2"/>
        <v>53.228585500000008</v>
      </c>
      <c r="AT36" s="4">
        <f>-52.21+16.22*AL36*100-1.25*(100*AL36)^2+0.05*(100*AL36)^3-0.000712*(100*AL36)^4</f>
        <v>14.149261621913093</v>
      </c>
      <c r="AU36">
        <f t="shared" si="1"/>
        <v>64.319693868953053</v>
      </c>
    </row>
    <row r="37" spans="1:59" x14ac:dyDescent="0.3">
      <c r="A37">
        <v>39</v>
      </c>
      <c r="B37">
        <v>104</v>
      </c>
      <c r="C37">
        <v>0</v>
      </c>
      <c r="D37">
        <v>131.19999999999999</v>
      </c>
      <c r="E37">
        <v>172.61283874511699</v>
      </c>
      <c r="F37">
        <v>2</v>
      </c>
      <c r="G37" t="s">
        <v>56</v>
      </c>
      <c r="H37">
        <v>10</v>
      </c>
      <c r="I37">
        <v>19</v>
      </c>
      <c r="J37">
        <v>35.085238057833301</v>
      </c>
      <c r="K37">
        <v>-120.535494298667</v>
      </c>
      <c r="L37">
        <v>82.6</v>
      </c>
      <c r="M37" t="s">
        <v>204</v>
      </c>
      <c r="N37" t="s">
        <v>205</v>
      </c>
      <c r="O37" s="1" t="s">
        <v>206</v>
      </c>
      <c r="AF37" t="s">
        <v>207</v>
      </c>
      <c r="AG37" t="s">
        <v>61</v>
      </c>
      <c r="AH37" t="s">
        <v>207</v>
      </c>
      <c r="AI37" t="s">
        <v>61</v>
      </c>
      <c r="AK37" s="2">
        <v>0.16700000000000001</v>
      </c>
      <c r="AL37" s="3">
        <v>0.140902682</v>
      </c>
      <c r="AN37" s="2">
        <v>3.6</v>
      </c>
      <c r="AO37" s="3">
        <v>4.2431869510000002</v>
      </c>
      <c r="AP37" s="1" t="s">
        <v>206</v>
      </c>
      <c r="AQ37" s="4">
        <v>3.8409993648529102</v>
      </c>
      <c r="AR37" s="4">
        <v>4.8860251190291999</v>
      </c>
      <c r="AS37" s="4">
        <f t="shared" si="2"/>
        <v>47.545551944800081</v>
      </c>
      <c r="AT37" s="4">
        <f>-52.21+16.22*AL37*100-1.25*(100*AL37)^2+0.05*(100*AL37)^3-0.000712*(100*AL37)^4</f>
        <v>39.971129033082164</v>
      </c>
      <c r="AU37">
        <f t="shared" si="1"/>
        <v>75.060851517763837</v>
      </c>
    </row>
    <row r="38" spans="1:59" x14ac:dyDescent="0.3">
      <c r="A38">
        <v>40</v>
      </c>
      <c r="B38">
        <v>105</v>
      </c>
      <c r="C38">
        <v>0.37040000000000001</v>
      </c>
      <c r="D38">
        <v>170.7</v>
      </c>
      <c r="E38">
        <v>98.370788574218807</v>
      </c>
      <c r="F38">
        <v>2</v>
      </c>
      <c r="G38" t="s">
        <v>56</v>
      </c>
      <c r="H38">
        <v>10</v>
      </c>
      <c r="I38">
        <v>19</v>
      </c>
      <c r="J38">
        <v>35.085267029833297</v>
      </c>
      <c r="K38">
        <v>-120.535447979667</v>
      </c>
      <c r="L38">
        <v>82.6</v>
      </c>
      <c r="M38" t="s">
        <v>208</v>
      </c>
      <c r="N38" t="s">
        <v>209</v>
      </c>
      <c r="O38" s="1" t="s">
        <v>210</v>
      </c>
      <c r="AF38" t="s">
        <v>211</v>
      </c>
      <c r="AG38" t="s">
        <v>61</v>
      </c>
      <c r="AH38" t="s">
        <v>211</v>
      </c>
      <c r="AI38" t="s">
        <v>61</v>
      </c>
      <c r="AK38" s="2">
        <v>0.17499999999999999</v>
      </c>
      <c r="AL38" s="3">
        <v>0.13697925399999999</v>
      </c>
      <c r="AN38" s="2">
        <v>3.5</v>
      </c>
      <c r="AO38" s="3">
        <v>3.6275227069999998</v>
      </c>
      <c r="AP38" s="1" t="s">
        <v>210</v>
      </c>
      <c r="AQ38" s="4">
        <v>3.7029974460601802</v>
      </c>
      <c r="AR38" s="4">
        <v>4.82043791490117</v>
      </c>
      <c r="AS38" s="4">
        <f t="shared" si="2"/>
        <v>50.018437499999962</v>
      </c>
      <c r="AT38" s="4">
        <f>-52.21+16.22*AL38*100-1.25*(100*AL38)^2+0.05*(100*AL38)^3-0.000712*(100*AL38)^4</f>
        <v>38.871334835727801</v>
      </c>
      <c r="AU38">
        <f t="shared" si="1"/>
        <v>71.631532712750854</v>
      </c>
    </row>
    <row r="39" spans="1:59" x14ac:dyDescent="0.3">
      <c r="A39">
        <v>41</v>
      </c>
      <c r="B39">
        <v>187</v>
      </c>
      <c r="C39">
        <v>0</v>
      </c>
      <c r="D39">
        <v>137.69999999999999</v>
      </c>
      <c r="E39">
        <v>85.400421142578097</v>
      </c>
      <c r="F39">
        <v>2</v>
      </c>
      <c r="G39" t="s">
        <v>56</v>
      </c>
      <c r="H39">
        <v>10</v>
      </c>
      <c r="I39">
        <v>19</v>
      </c>
      <c r="J39">
        <v>35.085422165166698</v>
      </c>
      <c r="K39">
        <v>-120.53557870500001</v>
      </c>
      <c r="L39">
        <v>82</v>
      </c>
      <c r="M39" t="s">
        <v>212</v>
      </c>
      <c r="N39" t="s">
        <v>213</v>
      </c>
      <c r="O39" s="1" t="s">
        <v>214</v>
      </c>
      <c r="Q39">
        <v>15.9</v>
      </c>
      <c r="AF39" t="s">
        <v>215</v>
      </c>
      <c r="AG39" t="s">
        <v>61</v>
      </c>
      <c r="AH39" t="s">
        <v>215</v>
      </c>
      <c r="AI39" t="s">
        <v>61</v>
      </c>
      <c r="AJ39">
        <v>15.9</v>
      </c>
      <c r="AK39" s="2">
        <v>0.159</v>
      </c>
      <c r="AL39" s="3">
        <v>0.124417791</v>
      </c>
      <c r="AN39" s="2">
        <v>2.8</v>
      </c>
      <c r="AO39" s="3">
        <v>3.3390047549999999</v>
      </c>
      <c r="AP39" s="1" t="s">
        <v>214</v>
      </c>
      <c r="AQ39" s="4">
        <v>3.1380016803741499</v>
      </c>
      <c r="AR39" s="4">
        <v>4.7539459314393904</v>
      </c>
      <c r="AS39" s="4">
        <f t="shared" si="2"/>
        <v>45.153467976800052</v>
      </c>
      <c r="AT39" s="4">
        <f>-52.21+16.22*AL39*100-1.25*(100*AL39)^2+0.05*(100*AL39)^3-0.000712*(100*AL39)^4</f>
        <v>35.335152128370851</v>
      </c>
      <c r="AU39">
        <f t="shared" si="1"/>
        <v>60.091102665696042</v>
      </c>
    </row>
    <row r="40" spans="1:59" x14ac:dyDescent="0.3">
      <c r="A40">
        <v>42</v>
      </c>
      <c r="B40">
        <v>188</v>
      </c>
      <c r="C40">
        <v>0</v>
      </c>
      <c r="D40">
        <v>145.1</v>
      </c>
      <c r="E40">
        <v>176.32546997070301</v>
      </c>
      <c r="F40">
        <v>2</v>
      </c>
      <c r="G40" t="s">
        <v>56</v>
      </c>
      <c r="H40">
        <v>10</v>
      </c>
      <c r="I40">
        <v>19</v>
      </c>
      <c r="J40">
        <v>35.0854193903333</v>
      </c>
      <c r="K40">
        <v>-120.535474499667</v>
      </c>
      <c r="L40">
        <v>83.1</v>
      </c>
      <c r="M40" t="s">
        <v>216</v>
      </c>
      <c r="N40" t="s">
        <v>217</v>
      </c>
      <c r="O40" s="1" t="s">
        <v>218</v>
      </c>
      <c r="Q40">
        <v>20</v>
      </c>
      <c r="AF40" t="s">
        <v>219</v>
      </c>
      <c r="AG40" t="s">
        <v>61</v>
      </c>
      <c r="AH40" t="s">
        <v>219</v>
      </c>
      <c r="AI40" t="s">
        <v>61</v>
      </c>
      <c r="AJ40">
        <v>20</v>
      </c>
      <c r="AK40" s="2">
        <v>0.2</v>
      </c>
      <c r="AL40" s="3">
        <v>8.1230245000000006E-2</v>
      </c>
      <c r="AN40" s="2">
        <v>3.4</v>
      </c>
      <c r="AO40" s="3">
        <v>3.6613001820000002</v>
      </c>
      <c r="AP40" s="1" t="s">
        <v>218</v>
      </c>
      <c r="AQ40" s="4">
        <v>3.4640018939971902</v>
      </c>
      <c r="AR40" s="4">
        <v>5.2015709478601</v>
      </c>
      <c r="AS40" s="4">
        <f t="shared" si="2"/>
        <v>58.27000000000001</v>
      </c>
      <c r="AT40" s="4">
        <f>-52.21+16.22*AL40*100-1.25*(100*AL40)^2+0.05*(100*AL40)^3-0.000712*(100*AL40)^4</f>
        <v>20.76541494021065</v>
      </c>
      <c r="AU40">
        <f t="shared" si="1"/>
        <v>69.280589658136734</v>
      </c>
    </row>
    <row r="41" spans="1:59" s="5" customFormat="1" x14ac:dyDescent="0.3">
      <c r="A41" s="5">
        <v>43</v>
      </c>
      <c r="B41" s="5">
        <v>190</v>
      </c>
      <c r="C41" s="5">
        <v>0.55559999999999998</v>
      </c>
      <c r="D41" s="5">
        <v>182.9</v>
      </c>
      <c r="E41" s="5">
        <v>130.34574890136699</v>
      </c>
      <c r="F41" s="5">
        <v>2</v>
      </c>
      <c r="G41" s="5" t="s">
        <v>56</v>
      </c>
      <c r="H41" s="5">
        <v>10</v>
      </c>
      <c r="I41" s="5">
        <v>19</v>
      </c>
      <c r="J41" s="5">
        <v>35.085305319</v>
      </c>
      <c r="K41" s="5">
        <v>-120.53540602366699</v>
      </c>
      <c r="L41" s="5">
        <v>81.2</v>
      </c>
      <c r="M41" s="5" t="s">
        <v>220</v>
      </c>
      <c r="N41" s="5" t="s">
        <v>221</v>
      </c>
      <c r="O41" s="6" t="s">
        <v>222</v>
      </c>
      <c r="Q41" s="5">
        <v>19.7</v>
      </c>
      <c r="AF41" s="5" t="s">
        <v>223</v>
      </c>
      <c r="AG41" s="5" t="s">
        <v>61</v>
      </c>
      <c r="AH41" s="5" t="s">
        <v>223</v>
      </c>
      <c r="AI41" s="5" t="s">
        <v>61</v>
      </c>
      <c r="AJ41" s="5">
        <v>19.7</v>
      </c>
      <c r="AK41" s="7">
        <v>0.19700000000000001</v>
      </c>
      <c r="AL41" s="8">
        <v>0.16188179499999999</v>
      </c>
      <c r="AN41" s="7">
        <v>3.2</v>
      </c>
      <c r="AO41" s="8">
        <v>3.7788333889999999</v>
      </c>
      <c r="AP41" s="6" t="s">
        <v>222</v>
      </c>
      <c r="AQ41" s="4">
        <v>3.5180020332336399</v>
      </c>
      <c r="AR41" s="4">
        <v>5.5566229816164103</v>
      </c>
      <c r="AS41" s="9">
        <f t="shared" si="2"/>
        <v>57.243090152800065</v>
      </c>
      <c r="AT41" s="9">
        <f>-52.21+16.22*AL41*100-1.25*(100*AL41)^2+0.05*(100*AL41)^3-0.000712*(100*AL41)^4</f>
        <v>46.0063863628503</v>
      </c>
      <c r="AU41">
        <f t="shared" si="1"/>
        <v>72.752163604027828</v>
      </c>
      <c r="AV41" s="7"/>
      <c r="AX41" s="7"/>
      <c r="AZ41" s="7"/>
      <c r="BE41" s="7"/>
    </row>
    <row r="42" spans="1:59" x14ac:dyDescent="0.3">
      <c r="A42">
        <v>45</v>
      </c>
      <c r="B42">
        <v>74</v>
      </c>
      <c r="C42">
        <v>0.1852</v>
      </c>
      <c r="D42">
        <v>118.6</v>
      </c>
      <c r="E42">
        <v>256.39578247070301</v>
      </c>
      <c r="F42">
        <v>2</v>
      </c>
      <c r="G42" t="s">
        <v>56</v>
      </c>
      <c r="H42">
        <v>10</v>
      </c>
      <c r="I42">
        <v>19</v>
      </c>
      <c r="J42">
        <v>35.085700134833303</v>
      </c>
      <c r="K42">
        <v>-120.53519248983299</v>
      </c>
      <c r="L42">
        <v>83.3</v>
      </c>
      <c r="M42" t="s">
        <v>224</v>
      </c>
      <c r="N42" t="s">
        <v>225</v>
      </c>
      <c r="O42" s="1" t="s">
        <v>226</v>
      </c>
      <c r="AF42" t="s">
        <v>227</v>
      </c>
      <c r="AG42" t="s">
        <v>61</v>
      </c>
      <c r="AH42" t="s">
        <v>227</v>
      </c>
      <c r="AI42" t="s">
        <v>61</v>
      </c>
      <c r="AK42" s="2">
        <v>0.155</v>
      </c>
      <c r="AL42" s="3">
        <v>0.173836818</v>
      </c>
      <c r="AN42" s="2">
        <v>3</v>
      </c>
      <c r="AO42" s="3">
        <v>3.3764548300000001</v>
      </c>
      <c r="AP42" s="1" t="s">
        <v>226</v>
      </c>
      <c r="AQ42" s="4">
        <v>3.2880017757415798</v>
      </c>
      <c r="AR42" s="4">
        <v>4.3701937223683203</v>
      </c>
      <c r="AS42" s="4">
        <f t="shared" si="2"/>
        <v>43.984565500000016</v>
      </c>
      <c r="AT42" s="4">
        <f>-52.21+16.22*AL42*100-1.25*(100*AL42)^2+0.05*(100*AL42)^3-0.000712*(100*AL42)^4</f>
        <v>49.653635142965385</v>
      </c>
      <c r="AU42">
        <f t="shared" si="1"/>
        <v>60.274846545331769</v>
      </c>
      <c r="AV42" s="2">
        <f>AVERAGE(AK42:AK55)</f>
        <v>0.17214285714285715</v>
      </c>
      <c r="AW42" s="2">
        <f>AVERAGE(AL42:AL55)</f>
        <v>0.14684940135714286</v>
      </c>
      <c r="AX42" s="2">
        <f>AVERAGE(AN42:AN55)</f>
        <v>3.1928571428571431</v>
      </c>
      <c r="AY42">
        <f>AVERAGE(AO42:AO55)</f>
        <v>3.6736253840714279</v>
      </c>
      <c r="AZ42" s="10">
        <f>AVERAGE(AS42:AS55)</f>
        <v>49.236927261828576</v>
      </c>
      <c r="BA42" s="4">
        <f>AVERAGE(AT42:AT55)</f>
        <v>41.702422819060139</v>
      </c>
      <c r="BB42" s="10">
        <f>SUM(AS42:AS55)</f>
        <v>689.31698166560011</v>
      </c>
      <c r="BC42" s="4">
        <f>SUM(AT42:AT55)</f>
        <v>583.83391946684196</v>
      </c>
      <c r="BD42" s="4">
        <f>SUM(AU42:AU55)</f>
        <v>943.49239233082267</v>
      </c>
      <c r="BE42" s="10">
        <f>SUM(AS42:AS55)/(PI()*12.5^2)</f>
        <v>1.4042650238626002</v>
      </c>
      <c r="BF42" s="10">
        <f>SUM(AT42:AT55)/(PI()*12.5^2)</f>
        <v>1.1893766941166519</v>
      </c>
      <c r="BG42" s="10">
        <f>SUM(AU42:AU55)/(PI()*12.5^2)</f>
        <v>1.9220669185158179</v>
      </c>
    </row>
    <row r="43" spans="1:59" x14ac:dyDescent="0.3">
      <c r="A43">
        <v>46</v>
      </c>
      <c r="B43">
        <v>75</v>
      </c>
      <c r="C43">
        <v>0</v>
      </c>
      <c r="D43">
        <v>88</v>
      </c>
      <c r="E43">
        <v>306.20764160156199</v>
      </c>
      <c r="F43">
        <v>2</v>
      </c>
      <c r="G43" t="s">
        <v>56</v>
      </c>
      <c r="H43">
        <v>10</v>
      </c>
      <c r="I43">
        <v>19</v>
      </c>
      <c r="J43">
        <v>35.085737307833298</v>
      </c>
      <c r="K43">
        <v>-120.5351439635</v>
      </c>
      <c r="L43">
        <v>83.4</v>
      </c>
      <c r="M43" t="s">
        <v>228</v>
      </c>
      <c r="N43" t="s">
        <v>229</v>
      </c>
      <c r="O43" s="1" t="s">
        <v>230</v>
      </c>
      <c r="AF43" t="s">
        <v>231</v>
      </c>
      <c r="AG43" t="s">
        <v>61</v>
      </c>
      <c r="AH43" t="s">
        <v>231</v>
      </c>
      <c r="AI43" t="s">
        <v>61</v>
      </c>
      <c r="AK43" s="2">
        <v>0.16800000000000001</v>
      </c>
      <c r="AL43" s="3">
        <v>9.1027118000000004E-2</v>
      </c>
      <c r="AN43" s="2">
        <v>3.3</v>
      </c>
      <c r="AO43" s="3">
        <v>3.5629706379999999</v>
      </c>
      <c r="AP43" s="1" t="s">
        <v>230</v>
      </c>
      <c r="AQ43" s="4">
        <v>3.51499700546265</v>
      </c>
      <c r="AR43" s="4">
        <v>4.78730736481719</v>
      </c>
      <c r="AS43" s="4">
        <f t="shared" si="2"/>
        <v>47.850094668800004</v>
      </c>
      <c r="AT43" s="4">
        <f>-52.21+16.22*AL43*100-1.25*(100*AL43)^2+0.05*(100*AL43)^3-0.000712*(100*AL43)^4</f>
        <v>24.685667606770998</v>
      </c>
      <c r="AU43">
        <f t="shared" si="1"/>
        <v>67.514013897160396</v>
      </c>
    </row>
    <row r="44" spans="1:59" x14ac:dyDescent="0.3">
      <c r="A44">
        <v>47</v>
      </c>
      <c r="B44">
        <v>77</v>
      </c>
      <c r="C44">
        <v>0</v>
      </c>
      <c r="D44">
        <v>98.2</v>
      </c>
      <c r="E44">
        <v>356.64718627929699</v>
      </c>
      <c r="F44">
        <v>2</v>
      </c>
      <c r="G44" t="s">
        <v>56</v>
      </c>
      <c r="H44">
        <v>10</v>
      </c>
      <c r="I44">
        <v>19</v>
      </c>
      <c r="J44">
        <v>35.085636065000003</v>
      </c>
      <c r="K44">
        <v>-120.535179633667</v>
      </c>
      <c r="L44">
        <v>84.9</v>
      </c>
      <c r="M44" t="s">
        <v>232</v>
      </c>
      <c r="N44" t="s">
        <v>233</v>
      </c>
      <c r="O44" s="1" t="s">
        <v>234</v>
      </c>
      <c r="AF44" t="s">
        <v>235</v>
      </c>
      <c r="AG44" t="s">
        <v>61</v>
      </c>
      <c r="AH44" t="s">
        <v>235</v>
      </c>
      <c r="AI44" t="s">
        <v>61</v>
      </c>
      <c r="AK44" s="2">
        <v>0.17</v>
      </c>
      <c r="AL44" s="3">
        <v>0.13231190000000001</v>
      </c>
      <c r="AN44" s="2">
        <v>3.3</v>
      </c>
      <c r="AO44" s="3">
        <v>3.4533019070000002</v>
      </c>
      <c r="AP44" s="1" t="s">
        <v>234</v>
      </c>
      <c r="AQ44" s="4">
        <v>3.70199847221375</v>
      </c>
      <c r="AR44" s="4">
        <v>5.0146267067967703</v>
      </c>
      <c r="AS44" s="4">
        <f t="shared" si="2"/>
        <v>48.463048000000008</v>
      </c>
      <c r="AT44" s="4">
        <f>-52.21+16.22*AL44*100-1.25*(100*AL44)^2+0.05*(100*AL44)^3-0.000712*(100*AL44)^4</f>
        <v>37.563876667992794</v>
      </c>
      <c r="AU44">
        <f t="shared" si="1"/>
        <v>72.917192752085612</v>
      </c>
    </row>
    <row r="45" spans="1:59" x14ac:dyDescent="0.3">
      <c r="A45">
        <v>48</v>
      </c>
      <c r="B45">
        <v>78</v>
      </c>
      <c r="C45">
        <v>0.37040000000000001</v>
      </c>
      <c r="D45">
        <v>174.8</v>
      </c>
      <c r="E45">
        <v>199.76979064941401</v>
      </c>
      <c r="F45">
        <v>2</v>
      </c>
      <c r="G45" t="s">
        <v>56</v>
      </c>
      <c r="H45">
        <v>10</v>
      </c>
      <c r="I45">
        <v>19</v>
      </c>
      <c r="J45">
        <v>35.085694591666702</v>
      </c>
      <c r="K45">
        <v>-120.535096869667</v>
      </c>
      <c r="L45">
        <v>84.8</v>
      </c>
      <c r="M45" t="s">
        <v>236</v>
      </c>
      <c r="N45" t="s">
        <v>237</v>
      </c>
      <c r="O45" s="1" t="s">
        <v>238</v>
      </c>
      <c r="AF45" t="s">
        <v>239</v>
      </c>
      <c r="AG45" t="s">
        <v>61</v>
      </c>
      <c r="AH45" t="s">
        <v>239</v>
      </c>
      <c r="AI45" t="s">
        <v>61</v>
      </c>
      <c r="AK45" s="2">
        <v>0.188</v>
      </c>
      <c r="AL45" s="3">
        <v>0.19371121099999999</v>
      </c>
      <c r="AN45" s="2">
        <v>3.5</v>
      </c>
      <c r="AO45" s="3">
        <v>3.9408211710000001</v>
      </c>
      <c r="AP45" s="1" t="s">
        <v>238</v>
      </c>
      <c r="AQ45" s="4">
        <v>3.4960007667541499</v>
      </c>
      <c r="AR45" s="4">
        <v>5.1400117269569199</v>
      </c>
      <c r="AS45" s="4">
        <f t="shared" si="2"/>
        <v>54.216678476799956</v>
      </c>
      <c r="AT45" s="4">
        <f>-52.21+16.22*AL45*100-1.25*(100*AL45)^2+0.05*(100*AL45)^3-0.000712*(100*AL45)^4</f>
        <v>56.127085920784893</v>
      </c>
      <c r="AU45">
        <f t="shared" si="1"/>
        <v>69.505480228907956</v>
      </c>
    </row>
    <row r="46" spans="1:59" x14ac:dyDescent="0.3">
      <c r="A46">
        <v>49</v>
      </c>
      <c r="B46">
        <v>79</v>
      </c>
      <c r="C46">
        <v>0</v>
      </c>
      <c r="D46">
        <v>170.9</v>
      </c>
      <c r="E46">
        <v>177.51345825195301</v>
      </c>
      <c r="F46">
        <v>2</v>
      </c>
      <c r="G46" t="s">
        <v>56</v>
      </c>
      <c r="H46">
        <v>10</v>
      </c>
      <c r="I46">
        <v>19</v>
      </c>
      <c r="J46">
        <v>35.085728642833303</v>
      </c>
      <c r="K46">
        <v>-120.53505496483299</v>
      </c>
      <c r="L46">
        <v>85.3</v>
      </c>
      <c r="M46" t="s">
        <v>240</v>
      </c>
      <c r="N46" t="s">
        <v>241</v>
      </c>
      <c r="O46" s="1" t="s">
        <v>242</v>
      </c>
      <c r="AF46" t="s">
        <v>243</v>
      </c>
      <c r="AG46" t="s">
        <v>61</v>
      </c>
      <c r="AH46" t="s">
        <v>244</v>
      </c>
      <c r="AI46" t="s">
        <v>61</v>
      </c>
      <c r="AK46" s="2">
        <v>0.18</v>
      </c>
      <c r="AL46" s="3">
        <v>0.151434822</v>
      </c>
      <c r="AN46" s="2">
        <v>3.1</v>
      </c>
      <c r="AO46" s="3">
        <v>3.5188593859999999</v>
      </c>
      <c r="AP46" s="1" t="s">
        <v>242</v>
      </c>
      <c r="AQ46" s="4">
        <v>3.3189971446990998</v>
      </c>
      <c r="AR46" s="4">
        <v>4.95074350336915</v>
      </c>
      <c r="AS46" s="4">
        <f t="shared" si="2"/>
        <v>51.607088000000005</v>
      </c>
      <c r="AT46" s="4">
        <f>-52.21+16.22*AL46*100-1.25*(100*AL46)^2+0.05*(100*AL46)^3-0.000712*(100*AL46)^4</f>
        <v>42.955892111238846</v>
      </c>
      <c r="AU46">
        <f t="shared" si="1"/>
        <v>64.76968345118901</v>
      </c>
    </row>
    <row r="47" spans="1:59" x14ac:dyDescent="0.3">
      <c r="A47">
        <v>50</v>
      </c>
      <c r="B47">
        <v>81</v>
      </c>
      <c r="C47">
        <v>0</v>
      </c>
      <c r="D47">
        <v>82</v>
      </c>
      <c r="E47">
        <v>49.132030487060497</v>
      </c>
      <c r="F47">
        <v>2</v>
      </c>
      <c r="G47" t="s">
        <v>56</v>
      </c>
      <c r="H47">
        <v>10</v>
      </c>
      <c r="I47">
        <v>19</v>
      </c>
      <c r="J47">
        <v>35.085596279166701</v>
      </c>
      <c r="K47">
        <v>-120.53511505349999</v>
      </c>
      <c r="L47">
        <v>84.6</v>
      </c>
      <c r="M47" t="s">
        <v>245</v>
      </c>
      <c r="N47" t="s">
        <v>246</v>
      </c>
      <c r="O47" s="1" t="s">
        <v>247</v>
      </c>
      <c r="AF47" t="s">
        <v>248</v>
      </c>
      <c r="AG47" t="s">
        <v>61</v>
      </c>
      <c r="AH47" t="s">
        <v>248</v>
      </c>
      <c r="AI47" t="s">
        <v>61</v>
      </c>
      <c r="AK47" s="2">
        <v>0.16500000000000001</v>
      </c>
      <c r="AL47" s="3">
        <v>0.136489843</v>
      </c>
      <c r="AN47" s="2">
        <v>3.1</v>
      </c>
      <c r="AO47" s="3">
        <v>3.473647594</v>
      </c>
      <c r="AP47" s="1" t="s">
        <v>247</v>
      </c>
      <c r="AQ47" s="4">
        <v>3.3300001621246298</v>
      </c>
      <c r="AR47" s="4">
        <v>4.9827874851668801</v>
      </c>
      <c r="AS47" s="4">
        <f t="shared" si="2"/>
        <v>46.94026550000001</v>
      </c>
      <c r="AT47" s="4">
        <f>-52.21+16.22*AL47*100-1.25*(100*AL47)^2+0.05*(100*AL47)^3-0.000712*(100*AL47)^4</f>
        <v>38.734292547775418</v>
      </c>
      <c r="AU47">
        <f t="shared" si="1"/>
        <v>65.195305874055776</v>
      </c>
    </row>
    <row r="48" spans="1:59" x14ac:dyDescent="0.3">
      <c r="A48">
        <v>51</v>
      </c>
      <c r="B48">
        <v>82</v>
      </c>
      <c r="C48">
        <v>0</v>
      </c>
      <c r="D48">
        <v>119.6</v>
      </c>
      <c r="E48">
        <v>195.80519104003901</v>
      </c>
      <c r="F48">
        <v>2</v>
      </c>
      <c r="G48" t="s">
        <v>56</v>
      </c>
      <c r="H48">
        <v>10</v>
      </c>
      <c r="I48">
        <v>19</v>
      </c>
      <c r="J48">
        <v>35.0856220721667</v>
      </c>
      <c r="K48">
        <v>-120.535070261333</v>
      </c>
      <c r="L48">
        <v>85.7</v>
      </c>
      <c r="M48" t="s">
        <v>249</v>
      </c>
      <c r="N48" t="s">
        <v>250</v>
      </c>
      <c r="O48" s="1" t="s">
        <v>251</v>
      </c>
      <c r="AF48" t="s">
        <v>252</v>
      </c>
      <c r="AG48" t="s">
        <v>61</v>
      </c>
      <c r="AH48" t="s">
        <v>252</v>
      </c>
      <c r="AI48" t="s">
        <v>61</v>
      </c>
      <c r="AK48" s="2">
        <v>0.185</v>
      </c>
      <c r="AL48" s="3">
        <v>0.139027653</v>
      </c>
      <c r="AN48" s="2">
        <v>3</v>
      </c>
      <c r="AO48" s="3">
        <v>3.7065727709999998</v>
      </c>
      <c r="AP48" s="1" t="s">
        <v>251</v>
      </c>
      <c r="AQ48" s="4">
        <v>3.5510017871856698</v>
      </c>
      <c r="AR48" s="4">
        <v>4.5486418414672301</v>
      </c>
      <c r="AS48" s="4">
        <f t="shared" si="2"/>
        <v>53.228585500000008</v>
      </c>
      <c r="AT48" s="4">
        <f>-52.21+16.22*AL48*100-1.25*(100*AL48)^2+0.05*(100*AL48)^3-0.000712*(100*AL48)^4</f>
        <v>39.445166695188263</v>
      </c>
      <c r="AU48">
        <f t="shared" si="1"/>
        <v>66.63795089082447</v>
      </c>
    </row>
    <row r="49" spans="1:59" x14ac:dyDescent="0.3">
      <c r="A49">
        <v>52</v>
      </c>
      <c r="B49">
        <v>83</v>
      </c>
      <c r="C49">
        <v>0.1852</v>
      </c>
      <c r="D49">
        <v>215.7</v>
      </c>
      <c r="E49">
        <v>249.83915710449199</v>
      </c>
      <c r="F49">
        <v>2</v>
      </c>
      <c r="G49" t="s">
        <v>56</v>
      </c>
      <c r="H49">
        <v>10</v>
      </c>
      <c r="I49">
        <v>19</v>
      </c>
      <c r="J49">
        <v>35.085653279833302</v>
      </c>
      <c r="K49">
        <v>-120.535032950333</v>
      </c>
      <c r="L49">
        <v>84.7</v>
      </c>
      <c r="M49" t="s">
        <v>253</v>
      </c>
      <c r="N49" t="s">
        <v>254</v>
      </c>
      <c r="O49" s="1" t="s">
        <v>255</v>
      </c>
      <c r="AF49" t="s">
        <v>256</v>
      </c>
      <c r="AG49" t="s">
        <v>61</v>
      </c>
      <c r="AH49" t="s">
        <v>256</v>
      </c>
      <c r="AI49" t="s">
        <v>61</v>
      </c>
      <c r="AK49" s="2">
        <v>0.14399999999999999</v>
      </c>
      <c r="AL49" s="3">
        <v>0.14498350900000001</v>
      </c>
      <c r="AN49" s="2">
        <v>3.2</v>
      </c>
      <c r="AO49" s="3">
        <v>3.672569513</v>
      </c>
      <c r="AP49" s="1" t="s">
        <v>255</v>
      </c>
      <c r="AQ49" s="4">
        <v>3.2759969234466602</v>
      </c>
      <c r="AR49" s="4">
        <v>4.6524264916812799</v>
      </c>
      <c r="AS49" s="4">
        <f t="shared" si="2"/>
        <v>40.842503244799985</v>
      </c>
      <c r="AT49" s="4">
        <f>-52.21+16.22*AL49*100-1.25*(100*AL49)^2+0.05*(100*AL49)^3-0.000712*(100*AL49)^4</f>
        <v>41.120086838991398</v>
      </c>
      <c r="AU49">
        <f t="shared" si="1"/>
        <v>61.948117556794806</v>
      </c>
    </row>
    <row r="50" spans="1:59" x14ac:dyDescent="0.3">
      <c r="A50">
        <v>53</v>
      </c>
      <c r="B50">
        <v>84</v>
      </c>
      <c r="C50">
        <v>0</v>
      </c>
      <c r="D50">
        <v>68</v>
      </c>
      <c r="E50">
        <v>301.30856323242199</v>
      </c>
      <c r="F50">
        <v>2</v>
      </c>
      <c r="G50" t="s">
        <v>56</v>
      </c>
      <c r="H50">
        <v>10</v>
      </c>
      <c r="I50">
        <v>19</v>
      </c>
      <c r="J50">
        <v>35.085668654166703</v>
      </c>
      <c r="K50">
        <v>-120.534994132167</v>
      </c>
      <c r="L50">
        <v>85.7</v>
      </c>
      <c r="M50" t="s">
        <v>257</v>
      </c>
      <c r="N50" t="s">
        <v>258</v>
      </c>
      <c r="O50" s="1" t="s">
        <v>259</v>
      </c>
      <c r="AF50" t="s">
        <v>260</v>
      </c>
      <c r="AG50" t="s">
        <v>61</v>
      </c>
      <c r="AH50" t="s">
        <v>260</v>
      </c>
      <c r="AI50" t="s">
        <v>61</v>
      </c>
      <c r="AK50" s="2">
        <v>0.187</v>
      </c>
      <c r="AL50" s="3">
        <v>0.14026746400000001</v>
      </c>
      <c r="AN50" s="2">
        <v>3.3</v>
      </c>
      <c r="AO50" s="3">
        <v>3.9367439750000002</v>
      </c>
      <c r="AP50" s="1" t="s">
        <v>259</v>
      </c>
      <c r="AQ50" s="4">
        <v>3.7380032539367698</v>
      </c>
      <c r="AR50" s="4">
        <v>4.8533423099551198</v>
      </c>
      <c r="AS50" s="4">
        <f t="shared" si="2"/>
        <v>53.886085576800014</v>
      </c>
      <c r="AT50" s="4">
        <f>-52.21+16.22*AL50*100-1.25*(100*AL50)^2+0.05*(100*AL50)^3-0.000712*(100*AL50)^4</f>
        <v>39.792843275717075</v>
      </c>
      <c r="AU50">
        <f t="shared" si="1"/>
        <v>72.600551842886148</v>
      </c>
    </row>
    <row r="51" spans="1:59" x14ac:dyDescent="0.3">
      <c r="A51">
        <v>54</v>
      </c>
      <c r="B51">
        <v>88</v>
      </c>
      <c r="C51">
        <v>0</v>
      </c>
      <c r="D51">
        <v>197.5</v>
      </c>
      <c r="E51">
        <v>164.19427490234401</v>
      </c>
      <c r="F51">
        <v>2</v>
      </c>
      <c r="G51" t="s">
        <v>56</v>
      </c>
      <c r="H51">
        <v>10</v>
      </c>
      <c r="I51">
        <v>19</v>
      </c>
      <c r="J51">
        <v>35.085580784833297</v>
      </c>
      <c r="K51">
        <v>-120.53501899666701</v>
      </c>
      <c r="L51">
        <v>85.2</v>
      </c>
      <c r="M51" t="s">
        <v>261</v>
      </c>
      <c r="N51" t="s">
        <v>262</v>
      </c>
      <c r="O51" s="1" t="s">
        <v>263</v>
      </c>
      <c r="AF51" t="s">
        <v>264</v>
      </c>
      <c r="AG51" t="s">
        <v>61</v>
      </c>
      <c r="AH51" t="s">
        <v>264</v>
      </c>
      <c r="AI51" t="s">
        <v>61</v>
      </c>
      <c r="AK51" s="2">
        <v>0.191</v>
      </c>
      <c r="AL51" s="3">
        <v>0.13490617399999999</v>
      </c>
      <c r="AN51" s="2">
        <v>3.3</v>
      </c>
      <c r="AO51" s="3">
        <v>3.6451206209999998</v>
      </c>
      <c r="AP51" s="1" t="s">
        <v>263</v>
      </c>
      <c r="AQ51" s="4">
        <v>3.65500044822693</v>
      </c>
      <c r="AR51" s="4">
        <v>4.8533423099551198</v>
      </c>
      <c r="AS51" s="4">
        <f t="shared" si="2"/>
        <v>55.215578696800094</v>
      </c>
      <c r="AT51" s="4">
        <f>-52.21+16.22*AL51*100-1.25*(100*AL51)^2+0.05*(100*AL51)^3-0.000712*(100*AL51)^4</f>
        <v>38.290850593322972</v>
      </c>
      <c r="AU51">
        <f t="shared" si="1"/>
        <v>70.839404899665055</v>
      </c>
    </row>
    <row r="52" spans="1:59" x14ac:dyDescent="0.3">
      <c r="A52">
        <v>55</v>
      </c>
      <c r="B52">
        <v>85</v>
      </c>
      <c r="C52">
        <v>0.1852</v>
      </c>
      <c r="D52">
        <v>247.8</v>
      </c>
      <c r="E52">
        <v>210.21057128906199</v>
      </c>
      <c r="F52">
        <v>2</v>
      </c>
      <c r="G52" t="s">
        <v>56</v>
      </c>
      <c r="H52">
        <v>10</v>
      </c>
      <c r="I52">
        <v>19</v>
      </c>
      <c r="J52">
        <v>35.085620154333299</v>
      </c>
      <c r="K52">
        <v>-120.53496907316701</v>
      </c>
      <c r="L52">
        <v>84.9</v>
      </c>
      <c r="M52" t="s">
        <v>265</v>
      </c>
      <c r="N52" t="s">
        <v>266</v>
      </c>
      <c r="O52" s="1" t="s">
        <v>267</v>
      </c>
      <c r="AF52" t="s">
        <v>268</v>
      </c>
      <c r="AG52" t="s">
        <v>61</v>
      </c>
      <c r="AH52" t="s">
        <v>269</v>
      </c>
      <c r="AI52" t="s">
        <v>61</v>
      </c>
      <c r="AK52" s="2">
        <v>0.17</v>
      </c>
      <c r="AL52" s="3">
        <v>0.16663839599999999</v>
      </c>
      <c r="AN52" s="2">
        <v>3</v>
      </c>
      <c r="AO52" s="3">
        <v>3.426898241</v>
      </c>
      <c r="AP52" s="1" t="s">
        <v>267</v>
      </c>
      <c r="AQ52" s="4">
        <v>3.5120031833648699</v>
      </c>
      <c r="AR52" s="4">
        <v>5.3523723484583101</v>
      </c>
      <c r="AS52" s="4">
        <f t="shared" si="2"/>
        <v>48.463048000000008</v>
      </c>
      <c r="AT52" s="4">
        <f>-52.21+16.22*AL52*100-1.25*(100*AL52)^2+0.05*(100*AL52)^3-0.000712*(100*AL52)^4</f>
        <v>47.435741869973945</v>
      </c>
      <c r="AU52">
        <f t="shared" si="1"/>
        <v>71.256523358223916</v>
      </c>
    </row>
    <row r="53" spans="1:59" x14ac:dyDescent="0.3">
      <c r="A53">
        <v>56</v>
      </c>
      <c r="B53">
        <v>183</v>
      </c>
      <c r="C53">
        <v>0.1852</v>
      </c>
      <c r="D53">
        <v>229.7</v>
      </c>
      <c r="E53">
        <v>235.13789367675801</v>
      </c>
      <c r="F53">
        <v>2</v>
      </c>
      <c r="G53" t="s">
        <v>56</v>
      </c>
      <c r="H53">
        <v>10</v>
      </c>
      <c r="I53">
        <v>19</v>
      </c>
      <c r="J53">
        <v>35.085767541833299</v>
      </c>
      <c r="K53">
        <v>-120.53509689183301</v>
      </c>
      <c r="L53">
        <v>84.5</v>
      </c>
      <c r="M53" t="s">
        <v>270</v>
      </c>
      <c r="N53" t="s">
        <v>271</v>
      </c>
      <c r="O53" s="1" t="s">
        <v>272</v>
      </c>
      <c r="Q53">
        <v>16.600000000000001</v>
      </c>
      <c r="AF53" t="s">
        <v>273</v>
      </c>
      <c r="AG53" t="s">
        <v>61</v>
      </c>
      <c r="AH53" t="s">
        <v>273</v>
      </c>
      <c r="AI53" t="s">
        <v>61</v>
      </c>
      <c r="AJ53">
        <v>16.600000000000001</v>
      </c>
      <c r="AK53" s="2">
        <v>0.16600000000000001</v>
      </c>
      <c r="AL53" s="3">
        <v>0.144094682</v>
      </c>
      <c r="AN53" s="2">
        <v>3.1</v>
      </c>
      <c r="AO53" s="3">
        <v>3.5252845289999999</v>
      </c>
      <c r="AP53" s="1" t="s">
        <v>272</v>
      </c>
      <c r="AQ53" s="4">
        <v>3.38599801063538</v>
      </c>
      <c r="AR53" s="4">
        <v>4.7539459314393904</v>
      </c>
      <c r="AS53" s="4">
        <f t="shared" si="2"/>
        <v>47.242280716800018</v>
      </c>
      <c r="AT53" s="4">
        <f>-52.21+16.22*AL53*100-1.25*(100*AL53)^2+0.05*(100*AL53)^3-0.000712*(100*AL53)^4</f>
        <v>40.869204961636086</v>
      </c>
      <c r="AU53">
        <f t="shared" si="1"/>
        <v>64.734555974023877</v>
      </c>
    </row>
    <row r="54" spans="1:59" x14ac:dyDescent="0.3">
      <c r="A54">
        <v>57</v>
      </c>
      <c r="B54">
        <v>185</v>
      </c>
      <c r="C54">
        <v>0.1852</v>
      </c>
      <c r="D54">
        <v>111.9</v>
      </c>
      <c r="E54">
        <v>119.36968994140599</v>
      </c>
      <c r="F54">
        <v>2</v>
      </c>
      <c r="G54" t="s">
        <v>56</v>
      </c>
      <c r="H54">
        <v>10</v>
      </c>
      <c r="I54">
        <v>19</v>
      </c>
      <c r="J54">
        <v>35.085765487166697</v>
      </c>
      <c r="K54">
        <v>-120.53501499083301</v>
      </c>
      <c r="L54">
        <v>84.7</v>
      </c>
      <c r="M54" t="s">
        <v>274</v>
      </c>
      <c r="N54" t="s">
        <v>275</v>
      </c>
      <c r="O54" s="1" t="s">
        <v>276</v>
      </c>
      <c r="Q54">
        <v>18.100000000000001</v>
      </c>
      <c r="AF54" t="s">
        <v>277</v>
      </c>
      <c r="AG54" t="s">
        <v>61</v>
      </c>
      <c r="AH54" t="s">
        <v>277</v>
      </c>
      <c r="AI54" t="s">
        <v>61</v>
      </c>
      <c r="AJ54">
        <v>18.100000000000001</v>
      </c>
      <c r="AK54" s="2">
        <v>0.18099999999999999</v>
      </c>
      <c r="AL54" s="3">
        <v>0.15720405700000001</v>
      </c>
      <c r="AN54" s="2">
        <v>2.8</v>
      </c>
      <c r="AO54" s="3">
        <v>3.6470003129999999</v>
      </c>
      <c r="AP54" s="1" t="s">
        <v>276</v>
      </c>
      <c r="AQ54" s="4">
        <v>3.19799733161926</v>
      </c>
      <c r="AR54" s="4">
        <v>5.0777062519298104</v>
      </c>
      <c r="AS54" s="4">
        <f t="shared" si="2"/>
        <v>51.928791784800055</v>
      </c>
      <c r="AT54" s="4">
        <f>-52.21+16.22*AL54*100-1.25*(100*AL54)^2+0.05*(100*AL54)^3-0.000712*(100*AL54)^4</f>
        <v>44.626586152079611</v>
      </c>
      <c r="AU54">
        <f t="shared" si="1"/>
        <v>63.360989573323643</v>
      </c>
    </row>
    <row r="55" spans="1:59" s="5" customFormat="1" x14ac:dyDescent="0.3">
      <c r="A55" s="5">
        <v>58</v>
      </c>
      <c r="B55" s="5">
        <v>186</v>
      </c>
      <c r="C55" s="5">
        <v>0.37040000000000001</v>
      </c>
      <c r="D55" s="5">
        <v>249.5</v>
      </c>
      <c r="E55" s="5">
        <v>237.92582702636699</v>
      </c>
      <c r="F55" s="5">
        <v>2</v>
      </c>
      <c r="G55" s="5" t="s">
        <v>56</v>
      </c>
      <c r="H55" s="5">
        <v>10</v>
      </c>
      <c r="I55" s="5">
        <v>19</v>
      </c>
      <c r="J55" s="5">
        <v>35.085706890333299</v>
      </c>
      <c r="K55" s="5">
        <v>-120.534944104833</v>
      </c>
      <c r="L55" s="5">
        <v>86.6</v>
      </c>
      <c r="M55" s="5" t="s">
        <v>278</v>
      </c>
      <c r="N55" s="5" t="s">
        <v>279</v>
      </c>
      <c r="O55" s="6" t="s">
        <v>280</v>
      </c>
      <c r="Q55" s="5">
        <v>16</v>
      </c>
      <c r="AF55" s="5" t="s">
        <v>281</v>
      </c>
      <c r="AG55" s="5" t="s">
        <v>61</v>
      </c>
      <c r="AH55" s="5" t="s">
        <v>281</v>
      </c>
      <c r="AI55" s="5" t="s">
        <v>61</v>
      </c>
      <c r="AJ55" s="5">
        <v>16</v>
      </c>
      <c r="AK55" s="7">
        <v>0.16</v>
      </c>
      <c r="AL55" s="8">
        <v>0.14995797199999999</v>
      </c>
      <c r="AN55" s="7">
        <v>3.7</v>
      </c>
      <c r="AO55" s="8">
        <v>4.5445098880000003</v>
      </c>
      <c r="AP55" s="6" t="s">
        <v>280</v>
      </c>
      <c r="AQ55" s="4">
        <v>3.7699964046478298</v>
      </c>
      <c r="AR55" s="4">
        <v>4.6524264916812799</v>
      </c>
      <c r="AS55" s="9">
        <f t="shared" si="2"/>
        <v>45.448367999999988</v>
      </c>
      <c r="AT55" s="9">
        <f>-52.21+16.22*AL55*100-1.25*(100*AL55)^2+0.05*(100*AL55)^3-0.000712*(100*AL55)^4</f>
        <v>42.5329890824042</v>
      </c>
      <c r="AU55">
        <f t="shared" si="1"/>
        <v>71.937775486350219</v>
      </c>
      <c r="AV55" s="7"/>
      <c r="AX55" s="7"/>
      <c r="AZ55" s="7"/>
      <c r="BE55" s="7"/>
    </row>
    <row r="56" spans="1:59" x14ac:dyDescent="0.3">
      <c r="A56">
        <v>60</v>
      </c>
      <c r="B56">
        <v>140</v>
      </c>
      <c r="C56">
        <v>0.1852</v>
      </c>
      <c r="D56">
        <v>10.4</v>
      </c>
      <c r="E56">
        <v>328.92239379882801</v>
      </c>
      <c r="F56">
        <v>2</v>
      </c>
      <c r="G56" t="s">
        <v>56</v>
      </c>
      <c r="H56">
        <v>10</v>
      </c>
      <c r="I56">
        <v>19</v>
      </c>
      <c r="J56">
        <v>35.085949893666701</v>
      </c>
      <c r="K56">
        <v>-120.53560983516699</v>
      </c>
      <c r="L56">
        <v>85.4</v>
      </c>
      <c r="M56" t="s">
        <v>282</v>
      </c>
      <c r="N56" t="s">
        <v>283</v>
      </c>
      <c r="O56" s="1" t="s">
        <v>284</v>
      </c>
      <c r="AF56" t="s">
        <v>285</v>
      </c>
      <c r="AG56" t="s">
        <v>61</v>
      </c>
      <c r="AH56" t="s">
        <v>285</v>
      </c>
      <c r="AI56" t="s">
        <v>61</v>
      </c>
      <c r="AK56" s="2">
        <v>0.158</v>
      </c>
      <c r="AL56" s="3">
        <v>0.113030646</v>
      </c>
      <c r="AN56" s="2">
        <v>2.8</v>
      </c>
      <c r="AO56" s="3">
        <v>3.2815883160000001</v>
      </c>
      <c r="AP56" s="1" t="s">
        <v>284</v>
      </c>
      <c r="AQ56" s="4">
        <v>3.2960007190704301</v>
      </c>
      <c r="AR56" s="4">
        <v>4.6180907715541899</v>
      </c>
      <c r="AS56" s="4">
        <f t="shared" si="2"/>
        <v>44.859667724800012</v>
      </c>
      <c r="AT56" s="4">
        <f>-52.21+16.22*AL56*100-1.25*(100*AL56)^2+0.05*(100*AL56)^3-0.000712*(100*AL56)^4</f>
        <v>32.008614054305312</v>
      </c>
      <c r="AU56">
        <f t="shared" si="1"/>
        <v>62.094342416683418</v>
      </c>
      <c r="AV56" s="2">
        <f>AVERAGE(AK56:AK70)</f>
        <v>0.17433333333333331</v>
      </c>
      <c r="AW56" s="2">
        <f>AVERAGE(AL56:AL70)</f>
        <v>0.15306910000476653</v>
      </c>
      <c r="AX56" s="2">
        <f>AVERAGE(AN56:AN70)</f>
        <v>2.9999999999999996</v>
      </c>
      <c r="AY56" s="2">
        <f>AVERAGE(AO56:AO70)</f>
        <v>3.3444420338666663</v>
      </c>
      <c r="AZ56" s="10">
        <f>AVERAGE(AS56:AS70)</f>
        <v>49.94438760997334</v>
      </c>
      <c r="BA56" s="10">
        <f>AVERAGE(AT56:AT70)</f>
        <v>43.709295314147198</v>
      </c>
      <c r="BB56" s="10">
        <f>SUM(AS56:AS70)</f>
        <v>749.16581414960012</v>
      </c>
      <c r="BC56" s="10">
        <f>SUM(AT56:AT70)</f>
        <v>655.63942971220797</v>
      </c>
      <c r="BD56" s="10">
        <f>SUM(AU56:AU70)</f>
        <v>965.47159454545624</v>
      </c>
      <c r="BE56" s="10">
        <f>SUM(AS56:AS70)/(PI()*12.5^2)</f>
        <v>1.5261880642223751</v>
      </c>
      <c r="BF56" s="10">
        <f>SUM(AT56:AT70)/(PI()*12.5^2)</f>
        <v>1.3356576783955094</v>
      </c>
      <c r="BG56" s="10">
        <f>SUM(AU56:AU70)/(PI()*12.5^2)</f>
        <v>1.9668425815900612</v>
      </c>
    </row>
    <row r="57" spans="1:59" x14ac:dyDescent="0.3">
      <c r="A57">
        <v>61</v>
      </c>
      <c r="B57">
        <v>139</v>
      </c>
      <c r="C57">
        <v>0</v>
      </c>
      <c r="D57">
        <v>199.8</v>
      </c>
      <c r="E57">
        <v>61.86865234375</v>
      </c>
      <c r="F57">
        <v>2</v>
      </c>
      <c r="G57" t="s">
        <v>56</v>
      </c>
      <c r="H57">
        <v>10</v>
      </c>
      <c r="I57">
        <v>19</v>
      </c>
      <c r="J57">
        <v>35.0859227748333</v>
      </c>
      <c r="K57">
        <v>-120.535652351167</v>
      </c>
      <c r="L57">
        <v>84.7</v>
      </c>
      <c r="M57" t="s">
        <v>286</v>
      </c>
      <c r="N57" t="s">
        <v>287</v>
      </c>
      <c r="O57" s="1" t="s">
        <v>288</v>
      </c>
      <c r="P57">
        <v>2.9</v>
      </c>
      <c r="Q57">
        <v>17</v>
      </c>
      <c r="S57" t="s">
        <v>289</v>
      </c>
      <c r="AF57" t="s">
        <v>290</v>
      </c>
      <c r="AG57" t="s">
        <v>61</v>
      </c>
      <c r="AH57" t="s">
        <v>291</v>
      </c>
      <c r="AI57" t="s">
        <v>61</v>
      </c>
      <c r="AJ57">
        <v>17</v>
      </c>
      <c r="AK57" s="2">
        <v>0.17</v>
      </c>
      <c r="AL57" s="3">
        <v>0.14915615400000001</v>
      </c>
      <c r="AM57">
        <v>2.9</v>
      </c>
      <c r="AN57" s="2">
        <v>2.9</v>
      </c>
      <c r="AO57" s="3">
        <v>3.2717616559999998</v>
      </c>
      <c r="AP57" s="1" t="s">
        <v>288</v>
      </c>
      <c r="AQ57" s="4">
        <v>2.9949994087219198</v>
      </c>
      <c r="AR57" s="4">
        <v>4.4424332232904797</v>
      </c>
      <c r="AS57" s="4">
        <f t="shared" si="2"/>
        <v>48.463048000000008</v>
      </c>
      <c r="AT57" s="4">
        <f>-52.21+16.22*AL57*100-1.25*(100*AL57)^2+0.05*(100*AL57)^3-0.000712*(100*AL57)^4</f>
        <v>42.304100688188718</v>
      </c>
      <c r="AU57">
        <f t="shared" si="1"/>
        <v>55.477537177907081</v>
      </c>
    </row>
    <row r="58" spans="1:59" x14ac:dyDescent="0.3">
      <c r="A58">
        <v>62</v>
      </c>
      <c r="B58">
        <v>141</v>
      </c>
      <c r="C58">
        <v>0</v>
      </c>
      <c r="D58">
        <v>35.299999999999997</v>
      </c>
      <c r="E58">
        <v>221.633865356445</v>
      </c>
      <c r="F58">
        <v>2</v>
      </c>
      <c r="G58" t="s">
        <v>56</v>
      </c>
      <c r="H58">
        <v>10</v>
      </c>
      <c r="I58">
        <v>19</v>
      </c>
      <c r="J58">
        <v>35.085981152000002</v>
      </c>
      <c r="K58">
        <v>-120.53556385566699</v>
      </c>
      <c r="L58">
        <v>85.3</v>
      </c>
      <c r="M58" t="s">
        <v>292</v>
      </c>
      <c r="N58" t="s">
        <v>293</v>
      </c>
      <c r="O58" s="1" t="s">
        <v>294</v>
      </c>
      <c r="AF58" t="s">
        <v>295</v>
      </c>
      <c r="AG58" t="s">
        <v>61</v>
      </c>
      <c r="AH58" t="s">
        <v>295</v>
      </c>
      <c r="AI58" t="s">
        <v>61</v>
      </c>
      <c r="AK58" s="2">
        <v>0.16600000000000001</v>
      </c>
      <c r="AL58" s="3">
        <v>0.161274538</v>
      </c>
      <c r="AN58" s="2">
        <v>2.9</v>
      </c>
      <c r="AO58" s="3">
        <v>3.1497039789999999</v>
      </c>
      <c r="AP58" s="1" t="s">
        <v>294</v>
      </c>
      <c r="AQ58" s="4">
        <v>3.2609992027282702</v>
      </c>
      <c r="AR58" s="4">
        <v>4.6524264916812799</v>
      </c>
      <c r="AS58" s="4">
        <f t="shared" si="2"/>
        <v>47.242280716800018</v>
      </c>
      <c r="AT58" s="4">
        <f>-52.21+16.22*AL58*100-1.25*(100*AL58)^2+0.05*(100*AL58)^3-0.000712*(100*AL58)^4</f>
        <v>45.825866634413472</v>
      </c>
      <c r="AU58">
        <f t="shared" si="1"/>
        <v>61.66674263557298</v>
      </c>
    </row>
    <row r="59" spans="1:59" x14ac:dyDescent="0.3">
      <c r="A59">
        <v>63</v>
      </c>
      <c r="B59">
        <v>143</v>
      </c>
      <c r="C59">
        <v>0</v>
      </c>
      <c r="D59">
        <v>333.9</v>
      </c>
      <c r="E59">
        <v>273.33740234375</v>
      </c>
      <c r="F59">
        <v>2</v>
      </c>
      <c r="G59" t="s">
        <v>56</v>
      </c>
      <c r="H59">
        <v>10</v>
      </c>
      <c r="I59">
        <v>19</v>
      </c>
      <c r="J59">
        <v>35.085843717000003</v>
      </c>
      <c r="K59">
        <v>-120.53564085150001</v>
      </c>
      <c r="L59">
        <v>83.3</v>
      </c>
      <c r="M59" t="s">
        <v>296</v>
      </c>
      <c r="N59" t="s">
        <v>297</v>
      </c>
      <c r="O59" s="1" t="s">
        <v>298</v>
      </c>
      <c r="Q59">
        <v>18.399999999999999</v>
      </c>
      <c r="AF59" t="s">
        <v>299</v>
      </c>
      <c r="AG59" t="s">
        <v>61</v>
      </c>
      <c r="AH59" t="s">
        <v>299</v>
      </c>
      <c r="AI59" t="s">
        <v>61</v>
      </c>
      <c r="AJ59">
        <v>18.399999999999999</v>
      </c>
      <c r="AK59" s="2">
        <v>0.184</v>
      </c>
      <c r="AL59" s="3">
        <v>0.151151801</v>
      </c>
      <c r="AN59" s="2">
        <v>3.2</v>
      </c>
      <c r="AO59" s="3">
        <v>3.9212787150000001</v>
      </c>
      <c r="AP59" s="1" t="s">
        <v>298</v>
      </c>
      <c r="AQ59" s="4">
        <v>3.7500028610229501</v>
      </c>
      <c r="AR59" s="4">
        <v>4.7539459314393904</v>
      </c>
      <c r="AS59" s="4">
        <f t="shared" si="2"/>
        <v>52.901713996799984</v>
      </c>
      <c r="AT59" s="4">
        <f>-52.21+16.22*AL59*100-1.25*(100*AL59)^2+0.05*(100*AL59)^3-0.000712*(100*AL59)^4</f>
        <v>42.874710463030212</v>
      </c>
      <c r="AU59">
        <f t="shared" si="1"/>
        <v>72.189492702129598</v>
      </c>
    </row>
    <row r="60" spans="1:59" x14ac:dyDescent="0.3">
      <c r="A60">
        <v>64</v>
      </c>
      <c r="B60">
        <v>144</v>
      </c>
      <c r="C60">
        <v>0</v>
      </c>
      <c r="D60">
        <v>262.8</v>
      </c>
      <c r="E60">
        <v>181.21607971191401</v>
      </c>
      <c r="F60">
        <v>2</v>
      </c>
      <c r="G60" t="s">
        <v>56</v>
      </c>
      <c r="H60">
        <v>10</v>
      </c>
      <c r="I60">
        <v>19</v>
      </c>
      <c r="J60">
        <v>35.085882593333302</v>
      </c>
      <c r="K60">
        <v>-120.535585954667</v>
      </c>
      <c r="L60">
        <v>84.5</v>
      </c>
      <c r="M60" t="s">
        <v>300</v>
      </c>
      <c r="N60" t="s">
        <v>301</v>
      </c>
      <c r="O60" s="1" t="s">
        <v>302</v>
      </c>
      <c r="Q60">
        <v>20.8</v>
      </c>
      <c r="AF60" t="s">
        <v>303</v>
      </c>
      <c r="AG60" t="s">
        <v>61</v>
      </c>
      <c r="AH60" t="s">
        <v>303</v>
      </c>
      <c r="AI60" t="s">
        <v>61</v>
      </c>
      <c r="AJ60">
        <v>20.8</v>
      </c>
      <c r="AK60" s="2">
        <v>0.20799999999999999</v>
      </c>
      <c r="AL60" s="3">
        <v>0.15461602399999999</v>
      </c>
      <c r="AN60" s="2">
        <v>3</v>
      </c>
      <c r="AO60" s="3">
        <v>3.3297162060000001</v>
      </c>
      <c r="AP60" s="1" t="s">
        <v>302</v>
      </c>
      <c r="AQ60" s="4">
        <v>3.4349992275238002</v>
      </c>
      <c r="AR60" s="4">
        <v>5.2624101035542399</v>
      </c>
      <c r="AS60" s="4">
        <f t="shared" si="2"/>
        <v>61.04131284479999</v>
      </c>
      <c r="AT60" s="4">
        <f>-52.21+16.22*AL60*100-1.25*(100*AL60)^2+0.05*(100*AL60)^3-0.000712*(100*AL60)^4</f>
        <v>43.873210749224981</v>
      </c>
      <c r="AU60">
        <f t="shared" si="1"/>
        <v>69.115780516085763</v>
      </c>
    </row>
    <row r="61" spans="1:59" x14ac:dyDescent="0.3">
      <c r="A61">
        <v>65</v>
      </c>
      <c r="B61">
        <v>145</v>
      </c>
      <c r="C61">
        <v>0.1852</v>
      </c>
      <c r="D61">
        <v>166.6</v>
      </c>
      <c r="E61">
        <v>310.62820434570301</v>
      </c>
      <c r="F61">
        <v>2</v>
      </c>
      <c r="G61" t="s">
        <v>56</v>
      </c>
      <c r="H61">
        <v>10</v>
      </c>
      <c r="I61">
        <v>19</v>
      </c>
      <c r="J61">
        <v>35.085908588000002</v>
      </c>
      <c r="K61">
        <v>-120.535556949</v>
      </c>
      <c r="L61">
        <v>84.6</v>
      </c>
      <c r="M61" t="s">
        <v>304</v>
      </c>
      <c r="N61" t="s">
        <v>305</v>
      </c>
      <c r="O61" s="1" t="s">
        <v>306</v>
      </c>
      <c r="AF61" t="s">
        <v>307</v>
      </c>
      <c r="AG61" t="s">
        <v>61</v>
      </c>
      <c r="AH61" t="s">
        <v>307</v>
      </c>
      <c r="AI61" t="s">
        <v>61</v>
      </c>
      <c r="AK61" s="2">
        <v>0.16300000000000001</v>
      </c>
      <c r="AL61" s="3">
        <v>0.13731110007149841</v>
      </c>
      <c r="AN61" s="2">
        <v>2.7</v>
      </c>
      <c r="AO61" s="3">
        <v>3.0739846229999999</v>
      </c>
      <c r="AP61" s="1" t="s">
        <v>306</v>
      </c>
      <c r="AQ61" s="4">
        <v>2.75699782371521</v>
      </c>
      <c r="AR61" s="4">
        <v>4.29673985699156</v>
      </c>
      <c r="AS61" s="4">
        <f t="shared" si="2"/>
        <v>46.339932616800041</v>
      </c>
      <c r="AT61" s="4">
        <f>-52.21+16.22*AL61*100-1.25*(100*AL61)^2+0.05*(100*AL61)^3-0.000712*(100*AL61)^4</f>
        <v>38.964264650454766</v>
      </c>
      <c r="AU61">
        <f t="shared" si="1"/>
        <v>50.56803542746826</v>
      </c>
    </row>
    <row r="62" spans="1:59" x14ac:dyDescent="0.3">
      <c r="A62">
        <v>66</v>
      </c>
      <c r="B62">
        <v>146</v>
      </c>
      <c r="C62">
        <v>0</v>
      </c>
      <c r="D62">
        <v>60.2</v>
      </c>
      <c r="E62">
        <v>14.248619079589799</v>
      </c>
      <c r="F62">
        <v>2</v>
      </c>
      <c r="G62" t="s">
        <v>56</v>
      </c>
      <c r="H62">
        <v>10</v>
      </c>
      <c r="I62">
        <v>19</v>
      </c>
      <c r="J62">
        <v>35.085937358333297</v>
      </c>
      <c r="K62">
        <v>-120.53551214083301</v>
      </c>
      <c r="L62">
        <v>85.8</v>
      </c>
      <c r="M62" t="s">
        <v>308</v>
      </c>
      <c r="N62" t="s">
        <v>309</v>
      </c>
      <c r="O62" s="1" t="s">
        <v>310</v>
      </c>
      <c r="Q62">
        <v>17.3</v>
      </c>
      <c r="AF62" t="s">
        <v>311</v>
      </c>
      <c r="AG62" t="s">
        <v>61</v>
      </c>
      <c r="AH62" t="s">
        <v>311</v>
      </c>
      <c r="AI62" t="s">
        <v>61</v>
      </c>
      <c r="AJ62">
        <v>17.3</v>
      </c>
      <c r="AK62" s="2">
        <v>0.17299999999999999</v>
      </c>
      <c r="AL62" s="3">
        <v>0.136653895</v>
      </c>
      <c r="AN62" s="2">
        <v>2.9</v>
      </c>
      <c r="AO62" s="3">
        <v>3.5075526240000001</v>
      </c>
      <c r="AP62" s="1" t="s">
        <v>310</v>
      </c>
      <c r="AQ62" s="4">
        <v>3.5870020389556898</v>
      </c>
      <c r="AR62" s="4">
        <v>4.6865106579075997</v>
      </c>
      <c r="AS62" s="4">
        <f t="shared" si="2"/>
        <v>49.392303080799962</v>
      </c>
      <c r="AT62" s="4">
        <f>-52.21+16.22*AL62*100-1.25*(100*AL62)^2+0.05*(100*AL62)^3-0.000712*(100*AL62)^4</f>
        <v>38.780228338392661</v>
      </c>
      <c r="AU62">
        <f t="shared" si="1"/>
        <v>68.303311738563579</v>
      </c>
    </row>
    <row r="63" spans="1:59" x14ac:dyDescent="0.3">
      <c r="A63">
        <v>67</v>
      </c>
      <c r="B63">
        <v>148</v>
      </c>
      <c r="C63">
        <v>0.1852</v>
      </c>
      <c r="D63">
        <v>221.2</v>
      </c>
      <c r="E63">
        <v>140.12374877929699</v>
      </c>
      <c r="F63">
        <v>2</v>
      </c>
      <c r="G63" t="s">
        <v>56</v>
      </c>
      <c r="H63">
        <v>10</v>
      </c>
      <c r="I63">
        <v>19</v>
      </c>
      <c r="J63">
        <v>35.0858097413333</v>
      </c>
      <c r="K63">
        <v>-120.535583227</v>
      </c>
      <c r="L63">
        <v>82.8</v>
      </c>
      <c r="M63" t="s">
        <v>312</v>
      </c>
      <c r="N63" t="s">
        <v>313</v>
      </c>
      <c r="O63" s="1" t="s">
        <v>314</v>
      </c>
      <c r="AF63" t="s">
        <v>315</v>
      </c>
      <c r="AG63" t="s">
        <v>61</v>
      </c>
      <c r="AH63" t="s">
        <v>315</v>
      </c>
      <c r="AI63" t="s">
        <v>61</v>
      </c>
      <c r="AK63" s="2">
        <v>0.17199999999999999</v>
      </c>
      <c r="AL63" s="3">
        <v>0.12292760599999999</v>
      </c>
      <c r="AN63" s="2">
        <v>3.4</v>
      </c>
      <c r="AO63" s="3">
        <v>3.5706694130000001</v>
      </c>
      <c r="AP63" s="1" t="s">
        <v>314</v>
      </c>
      <c r="AQ63" s="4">
        <v>3.72199678421021</v>
      </c>
      <c r="AR63" s="4">
        <v>4.5135166683820502</v>
      </c>
      <c r="AS63" s="4">
        <f t="shared" si="2"/>
        <v>49.081230412799954</v>
      </c>
      <c r="AT63" s="4">
        <f>-52.21+16.22*AL63*100-1.25*(100*AL63)^2+0.05*(100*AL63)^3-0.000712*(100*AL63)^4</f>
        <v>34.909386628545334</v>
      </c>
      <c r="AU63">
        <f t="shared" si="1"/>
        <v>69.970823555207389</v>
      </c>
    </row>
    <row r="64" spans="1:59" x14ac:dyDescent="0.3">
      <c r="A64">
        <v>68</v>
      </c>
      <c r="B64">
        <v>149</v>
      </c>
      <c r="F64">
        <v>1</v>
      </c>
      <c r="J64">
        <v>35.085838099999997</v>
      </c>
      <c r="K64">
        <v>-120.5355259</v>
      </c>
      <c r="N64" t="s">
        <v>316</v>
      </c>
      <c r="O64" s="1" t="s">
        <v>317</v>
      </c>
      <c r="P64">
        <v>3</v>
      </c>
      <c r="Q64">
        <v>18.100000000000001</v>
      </c>
      <c r="AF64" t="s">
        <v>318</v>
      </c>
      <c r="AG64" t="s">
        <v>61</v>
      </c>
      <c r="AH64" t="s">
        <v>318</v>
      </c>
      <c r="AI64" t="s">
        <v>61</v>
      </c>
      <c r="AJ64">
        <v>18.100000000000001</v>
      </c>
      <c r="AK64" s="2">
        <v>0.18099999999999999</v>
      </c>
      <c r="AL64" s="3">
        <v>0.17963759500000001</v>
      </c>
      <c r="AM64">
        <v>3</v>
      </c>
      <c r="AN64" s="2">
        <v>3</v>
      </c>
      <c r="AO64" s="3">
        <v>2.5501449109999998</v>
      </c>
      <c r="AP64" s="1" t="s">
        <v>317</v>
      </c>
      <c r="AQ64" s="4">
        <v>3.35299849510193</v>
      </c>
      <c r="AR64" s="4">
        <v>4.3701937223683203</v>
      </c>
      <c r="AS64" s="4">
        <f t="shared" si="2"/>
        <v>51.928791784800055</v>
      </c>
      <c r="AT64" s="4">
        <f>-52.21+16.22*AL64*100-1.25*(100*AL64)^2+0.05*(100*AL64)^3-0.000712*(100*AL64)^4</f>
        <v>51.490825752904428</v>
      </c>
      <c r="AU64">
        <f t="shared" si="1"/>
        <v>61.513662617945968</v>
      </c>
    </row>
    <row r="65" spans="1:59" x14ac:dyDescent="0.3">
      <c r="A65">
        <v>69</v>
      </c>
      <c r="B65">
        <v>150</v>
      </c>
      <c r="C65">
        <v>0.1852</v>
      </c>
      <c r="D65">
        <v>346.4</v>
      </c>
      <c r="E65">
        <v>9.9749231338500994</v>
      </c>
      <c r="F65">
        <v>2</v>
      </c>
      <c r="G65" t="s">
        <v>56</v>
      </c>
      <c r="H65">
        <v>10</v>
      </c>
      <c r="I65">
        <v>19</v>
      </c>
      <c r="J65">
        <v>35.085869753499999</v>
      </c>
      <c r="K65">
        <v>-120.53549791433301</v>
      </c>
      <c r="L65">
        <v>86.9</v>
      </c>
      <c r="M65" t="s">
        <v>319</v>
      </c>
      <c r="N65" t="s">
        <v>320</v>
      </c>
      <c r="O65" s="1" t="s">
        <v>321</v>
      </c>
      <c r="Q65">
        <v>16.899999999999999</v>
      </c>
      <c r="AF65" t="s">
        <v>322</v>
      </c>
      <c r="AG65" t="s">
        <v>61</v>
      </c>
      <c r="AH65" t="s">
        <v>322</v>
      </c>
      <c r="AI65" t="s">
        <v>61</v>
      </c>
      <c r="AJ65">
        <v>16.899999999999999</v>
      </c>
      <c r="AK65" s="2">
        <v>0.16900000000000001</v>
      </c>
      <c r="AL65" s="3">
        <v>0.18028107900000001</v>
      </c>
      <c r="AN65" s="2">
        <v>3.4</v>
      </c>
      <c r="AO65" s="3">
        <v>3.688309431</v>
      </c>
      <c r="AP65" s="1" t="s">
        <v>321</v>
      </c>
      <c r="AQ65" s="4">
        <v>3.69000291824341</v>
      </c>
      <c r="AR65" s="4">
        <v>4.95074350336915</v>
      </c>
      <c r="AS65" s="4">
        <f t="shared" si="2"/>
        <v>48.155922664799981</v>
      </c>
      <c r="AT65" s="4">
        <f>-52.21+16.22*AL65*100-1.25*(100*AL65)^2+0.05*(100*AL65)^3-0.000712*(100*AL65)^4</f>
        <v>51.697379414991673</v>
      </c>
      <c r="AU65">
        <f t="shared" si="1"/>
        <v>72.23277258784519</v>
      </c>
    </row>
    <row r="66" spans="1:59" x14ac:dyDescent="0.3">
      <c r="A66">
        <v>70</v>
      </c>
      <c r="B66">
        <v>151</v>
      </c>
      <c r="F66">
        <v>5</v>
      </c>
      <c r="J66">
        <v>35.085911699999997</v>
      </c>
      <c r="K66">
        <v>-120.5354322</v>
      </c>
      <c r="N66" t="s">
        <v>323</v>
      </c>
      <c r="O66" s="1" t="s">
        <v>324</v>
      </c>
      <c r="Q66">
        <v>19.399999999999999</v>
      </c>
      <c r="AF66" t="s">
        <v>325</v>
      </c>
      <c r="AG66" t="s">
        <v>61</v>
      </c>
      <c r="AH66" t="s">
        <v>325</v>
      </c>
      <c r="AI66" t="s">
        <v>61</v>
      </c>
      <c r="AJ66">
        <v>19.399999999999999</v>
      </c>
      <c r="AK66" s="2">
        <v>0.19400000000000001</v>
      </c>
      <c r="AL66" s="3">
        <v>0.20591799699999999</v>
      </c>
      <c r="AN66" s="2">
        <v>3.4</v>
      </c>
      <c r="AO66" s="3">
        <v>3.7856984140000001</v>
      </c>
      <c r="AP66" s="1" t="s">
        <v>324</v>
      </c>
      <c r="AQ66" s="4">
        <v>3.7640004158020002</v>
      </c>
      <c r="AR66" s="4">
        <v>5.1708829458264098</v>
      </c>
      <c r="AS66" s="4">
        <f t="shared" ref="AS66:AS97" si="3">-52.21+16.22*AK66*100-1.25*(100*AK66)^2+0.05*(100*AK66)^3-0.000712*(100*AK66)^4</f>
        <v>56.224643084800036</v>
      </c>
      <c r="AT66" s="4">
        <f>-52.21+16.22*AL66*100-1.25*(100*AL66)^2+0.05*(100*AL66)^3-0.000712*(100*AL66)^4</f>
        <v>60.316323225151194</v>
      </c>
      <c r="AU66">
        <f t="shared" si="1"/>
        <v>75.297338728964149</v>
      </c>
    </row>
    <row r="67" spans="1:59" x14ac:dyDescent="0.3">
      <c r="A67">
        <v>71</v>
      </c>
      <c r="B67">
        <v>154</v>
      </c>
      <c r="C67">
        <v>0.1852</v>
      </c>
      <c r="D67">
        <v>227.1</v>
      </c>
      <c r="E67">
        <v>145.99818420410199</v>
      </c>
      <c r="F67">
        <v>2</v>
      </c>
      <c r="G67" t="s">
        <v>56</v>
      </c>
      <c r="H67">
        <v>10</v>
      </c>
      <c r="I67">
        <v>19</v>
      </c>
      <c r="J67">
        <v>35.085830407166704</v>
      </c>
      <c r="K67">
        <v>-120.53544511516699</v>
      </c>
      <c r="L67">
        <v>84.4</v>
      </c>
      <c r="M67" t="s">
        <v>326</v>
      </c>
      <c r="N67" t="s">
        <v>327</v>
      </c>
      <c r="O67" s="1" t="s">
        <v>328</v>
      </c>
      <c r="Q67">
        <v>18.5</v>
      </c>
      <c r="AF67" t="s">
        <v>329</v>
      </c>
      <c r="AG67" t="s">
        <v>61</v>
      </c>
      <c r="AH67" t="s">
        <v>329</v>
      </c>
      <c r="AI67" t="s">
        <v>61</v>
      </c>
      <c r="AJ67">
        <v>18.5</v>
      </c>
      <c r="AK67" s="2">
        <v>0.185</v>
      </c>
      <c r="AL67" s="3">
        <v>0.201646665</v>
      </c>
      <c r="AN67" s="2">
        <v>2.7</v>
      </c>
      <c r="AO67" s="3">
        <v>3.489010811</v>
      </c>
      <c r="AP67" s="1" t="s">
        <v>328</v>
      </c>
      <c r="AQ67" s="4">
        <v>3.5430033206939702</v>
      </c>
      <c r="AR67" s="4">
        <v>5.5279063915413698</v>
      </c>
      <c r="AS67" s="4">
        <f t="shared" si="3"/>
        <v>53.228585500000008</v>
      </c>
      <c r="AT67" s="4">
        <f>-52.21+16.22*AL67*100-1.25*(100*AL67)^2+0.05*(100*AL67)^3-0.000712*(100*AL67)^4</f>
        <v>58.836879634843186</v>
      </c>
      <c r="AU67">
        <f t="shared" ref="AU67:AU130" si="4">-0.164+6.73*AR67+2.87*AQ67^2</f>
        <v>73.065554177460612</v>
      </c>
    </row>
    <row r="68" spans="1:59" x14ac:dyDescent="0.3">
      <c r="A68">
        <v>72</v>
      </c>
      <c r="B68">
        <v>195</v>
      </c>
      <c r="C68">
        <v>0.1852</v>
      </c>
      <c r="D68">
        <v>193</v>
      </c>
      <c r="E68">
        <v>344.426025390625</v>
      </c>
      <c r="F68">
        <v>2</v>
      </c>
      <c r="G68" t="s">
        <v>56</v>
      </c>
      <c r="H68">
        <v>10</v>
      </c>
      <c r="I68">
        <v>19</v>
      </c>
      <c r="J68">
        <v>35.085972324333298</v>
      </c>
      <c r="K68">
        <v>-120.53546043999999</v>
      </c>
      <c r="L68">
        <v>84.7</v>
      </c>
      <c r="M68" t="s">
        <v>330</v>
      </c>
      <c r="N68" t="s">
        <v>331</v>
      </c>
      <c r="O68" s="1" t="s">
        <v>332</v>
      </c>
      <c r="Q68">
        <v>15</v>
      </c>
      <c r="AF68" t="s">
        <v>333</v>
      </c>
      <c r="AG68" t="s">
        <v>61</v>
      </c>
      <c r="AH68" t="s">
        <v>333</v>
      </c>
      <c r="AI68" t="s">
        <v>61</v>
      </c>
      <c r="AJ68">
        <v>15</v>
      </c>
      <c r="AK68" s="2">
        <v>0.15</v>
      </c>
      <c r="AL68" s="3">
        <v>0.101113178</v>
      </c>
      <c r="AN68" s="2">
        <v>2.8</v>
      </c>
      <c r="AO68" s="3">
        <v>2.8032171730000002</v>
      </c>
      <c r="AP68" s="1" t="s">
        <v>332</v>
      </c>
      <c r="AQ68" s="4">
        <v>2.8350024223327601</v>
      </c>
      <c r="AR68" s="4">
        <v>4.1073621666150801</v>
      </c>
      <c r="AS68" s="4">
        <f t="shared" si="3"/>
        <v>42.54499999999998</v>
      </c>
      <c r="AT68" s="4">
        <f>-52.21+16.22*AL68*100-1.25*(100*AL68)^2+0.05*(100*AL68)^3-0.000712*(100*AL68)^4</f>
        <v>28.243197396365641</v>
      </c>
      <c r="AU68">
        <f t="shared" si="4"/>
        <v>50.545422549715106</v>
      </c>
    </row>
    <row r="69" spans="1:59" x14ac:dyDescent="0.3">
      <c r="A69">
        <v>73</v>
      </c>
      <c r="B69">
        <v>196</v>
      </c>
      <c r="C69">
        <v>0</v>
      </c>
      <c r="D69">
        <v>129.4</v>
      </c>
      <c r="E69">
        <v>281.50350952148398</v>
      </c>
      <c r="F69">
        <v>2</v>
      </c>
      <c r="G69" t="s">
        <v>56</v>
      </c>
      <c r="H69">
        <v>10</v>
      </c>
      <c r="I69">
        <v>19</v>
      </c>
      <c r="J69">
        <v>35.085936201166703</v>
      </c>
      <c r="K69">
        <v>-120.535410953333</v>
      </c>
      <c r="L69">
        <v>84.6</v>
      </c>
      <c r="M69" t="s">
        <v>334</v>
      </c>
      <c r="N69" t="s">
        <v>335</v>
      </c>
      <c r="O69" s="1" t="s">
        <v>336</v>
      </c>
      <c r="Q69">
        <v>15.8</v>
      </c>
      <c r="AF69" t="s">
        <v>337</v>
      </c>
      <c r="AG69" t="s">
        <v>61</v>
      </c>
      <c r="AH69" t="s">
        <v>337</v>
      </c>
      <c r="AI69" t="s">
        <v>61</v>
      </c>
      <c r="AJ69">
        <v>15.8</v>
      </c>
      <c r="AK69" s="2">
        <v>0.158</v>
      </c>
      <c r="AL69" s="3">
        <v>0.14294596500000001</v>
      </c>
      <c r="AN69" s="2">
        <v>2.8</v>
      </c>
      <c r="AO69" s="3">
        <v>3.1460688110000001</v>
      </c>
      <c r="AP69" s="1" t="s">
        <v>336</v>
      </c>
      <c r="AQ69" s="4">
        <v>3.00299739837646</v>
      </c>
      <c r="AR69" s="4">
        <v>4.6180907715541899</v>
      </c>
      <c r="AS69" s="4">
        <f t="shared" si="3"/>
        <v>44.859667724800012</v>
      </c>
      <c r="AT69" s="4">
        <f>-52.21+16.22*AL69*100-1.25*(100*AL69)^2+0.05*(100*AL69)^3-0.000712*(100*AL69)^4</f>
        <v>40.545531843255787</v>
      </c>
      <c r="AU69">
        <f t="shared" si="4"/>
        <v>56.797391877821809</v>
      </c>
    </row>
    <row r="70" spans="1:59" s="5" customFormat="1" x14ac:dyDescent="0.3">
      <c r="A70" s="5">
        <v>74</v>
      </c>
      <c r="B70" s="5">
        <v>197</v>
      </c>
      <c r="C70" s="5">
        <v>0.55559999999999998</v>
      </c>
      <c r="D70" s="5">
        <v>190.5</v>
      </c>
      <c r="E70" s="5">
        <v>248.71203613281199</v>
      </c>
      <c r="F70" s="5">
        <v>2</v>
      </c>
      <c r="G70" s="5" t="s">
        <v>56</v>
      </c>
      <c r="H70" s="5">
        <v>10</v>
      </c>
      <c r="I70" s="5">
        <v>19</v>
      </c>
      <c r="J70" s="5">
        <v>35.085865278</v>
      </c>
      <c r="K70" s="5">
        <v>-120.53540438650001</v>
      </c>
      <c r="L70" s="5">
        <v>83.8</v>
      </c>
      <c r="M70" s="5" t="s">
        <v>338</v>
      </c>
      <c r="N70" s="5" t="s">
        <v>339</v>
      </c>
      <c r="O70" s="6" t="s">
        <v>340</v>
      </c>
      <c r="P70" s="5">
        <v>3.1</v>
      </c>
      <c r="Q70" s="5">
        <v>18.399999999999999</v>
      </c>
      <c r="AF70" s="5" t="s">
        <v>341</v>
      </c>
      <c r="AG70" s="5" t="s">
        <v>61</v>
      </c>
      <c r="AH70" s="5" t="s">
        <v>341</v>
      </c>
      <c r="AI70" s="5" t="s">
        <v>61</v>
      </c>
      <c r="AJ70" s="5">
        <v>18.399999999999999</v>
      </c>
      <c r="AK70" s="7">
        <v>0.184</v>
      </c>
      <c r="AL70" s="8">
        <v>0.15837225699999999</v>
      </c>
      <c r="AM70" s="5">
        <v>3.1</v>
      </c>
      <c r="AN70" s="7">
        <v>3.1</v>
      </c>
      <c r="AO70" s="8">
        <v>3.5979254250000001</v>
      </c>
      <c r="AP70" s="6" t="s">
        <v>340</v>
      </c>
      <c r="AQ70" s="4">
        <v>3.3389968872070299</v>
      </c>
      <c r="AR70" s="4">
        <v>5.1708829458264098</v>
      </c>
      <c r="AS70" s="9">
        <f t="shared" si="3"/>
        <v>52.901713996799984</v>
      </c>
      <c r="AT70" s="9">
        <f>-52.21+16.22*AL70*100-1.25*(100*AL70)^2+0.05*(100*AL70)^3-0.000712*(100*AL70)^4</f>
        <v>44.968910238140666</v>
      </c>
      <c r="AU70">
        <f t="shared" si="4"/>
        <v>66.633385836085282</v>
      </c>
      <c r="AV70" s="7"/>
      <c r="AX70" s="7"/>
      <c r="AZ70" s="7"/>
      <c r="BE70" s="7"/>
    </row>
    <row r="71" spans="1:59" x14ac:dyDescent="0.3">
      <c r="A71">
        <v>76</v>
      </c>
      <c r="B71">
        <v>156</v>
      </c>
      <c r="C71">
        <v>0</v>
      </c>
      <c r="D71">
        <v>342.3</v>
      </c>
      <c r="E71">
        <v>128.58436584472699</v>
      </c>
      <c r="F71">
        <v>2</v>
      </c>
      <c r="G71" t="s">
        <v>56</v>
      </c>
      <c r="H71">
        <v>10</v>
      </c>
      <c r="I71">
        <v>19</v>
      </c>
      <c r="J71">
        <v>35.086264461666701</v>
      </c>
      <c r="K71">
        <v>-120.535188093667</v>
      </c>
      <c r="L71">
        <v>84.6</v>
      </c>
      <c r="M71" t="s">
        <v>342</v>
      </c>
      <c r="N71" t="s">
        <v>343</v>
      </c>
      <c r="O71" s="1" t="s">
        <v>344</v>
      </c>
      <c r="Q71">
        <v>18.600000000000001</v>
      </c>
      <c r="AF71" t="s">
        <v>345</v>
      </c>
      <c r="AG71" t="s">
        <v>61</v>
      </c>
      <c r="AH71" t="s">
        <v>345</v>
      </c>
      <c r="AI71" t="s">
        <v>61</v>
      </c>
      <c r="AJ71">
        <v>18.600000000000001</v>
      </c>
      <c r="AK71" s="2">
        <v>0.186</v>
      </c>
      <c r="AL71" s="3">
        <v>0.19871939799999999</v>
      </c>
      <c r="AN71" s="2">
        <v>3.4</v>
      </c>
      <c r="AO71" s="3">
        <v>4.0828862189999997</v>
      </c>
      <c r="AP71" s="1" t="s">
        <v>344</v>
      </c>
      <c r="AQ71" s="4">
        <v>3.9669981002807599</v>
      </c>
      <c r="AR71" s="4">
        <v>5.4408473067246197</v>
      </c>
      <c r="AS71" s="4">
        <f t="shared" si="3"/>
        <v>53.556715020800041</v>
      </c>
      <c r="AT71" s="4">
        <f>-52.21+16.22*AL71*100-1.25*(100*AL71)^2+0.05*(100*AL71)^3-0.000712*(100*AL71)^4</f>
        <v>57.830675233986796</v>
      </c>
      <c r="AU71">
        <f t="shared" si="4"/>
        <v>81.618304546558122</v>
      </c>
      <c r="AV71" s="2">
        <f>AVERAGE(AK71:AK83)</f>
        <v>0.18769230769230771</v>
      </c>
      <c r="AW71">
        <f>AVERAGE(AL71:AL83)</f>
        <v>0.16610717169230771</v>
      </c>
      <c r="AX71" s="2">
        <f>AVERAGE(AN71:AN83)</f>
        <v>3.3153846153846152</v>
      </c>
      <c r="AY71">
        <f>AVERAGE(AO71:AO83)</f>
        <v>3.9538629055384615</v>
      </c>
      <c r="AZ71" s="10">
        <f>AVERAGE(AS71:AS83)</f>
        <v>54.208059161723099</v>
      </c>
      <c r="BA71" s="4">
        <f>AVERAGE(AT71:AT83)</f>
        <v>47.629769222835954</v>
      </c>
      <c r="BB71" s="10">
        <f>SUM(AS71:AS83)</f>
        <v>704.70476910240029</v>
      </c>
      <c r="BC71" s="4">
        <f>SUM(AT71:AT83)</f>
        <v>619.18699989686741</v>
      </c>
      <c r="BD71" s="4">
        <f>SUM(AU71:AU83)</f>
        <v>949.88190960883094</v>
      </c>
      <c r="BE71" s="10">
        <f>SUM(AS71:AS83)/(PI()*12.5^2)</f>
        <v>1.4356127670154211</v>
      </c>
      <c r="BF71" s="10">
        <f>SUM(AT71:AT83)/(PI()*12.5^2)</f>
        <v>1.2613973981673898</v>
      </c>
      <c r="BG71" s="10">
        <f>SUM(AU71:AU83)/(PI()*12.5^2)</f>
        <v>1.9350835362280239</v>
      </c>
    </row>
    <row r="72" spans="1:59" x14ac:dyDescent="0.3">
      <c r="A72">
        <v>77</v>
      </c>
      <c r="B72">
        <v>157</v>
      </c>
      <c r="C72">
        <v>0</v>
      </c>
      <c r="D72">
        <v>266.89999999999998</v>
      </c>
      <c r="E72">
        <v>300.48635864257801</v>
      </c>
      <c r="F72">
        <v>2</v>
      </c>
      <c r="G72" t="s">
        <v>56</v>
      </c>
      <c r="H72">
        <v>10</v>
      </c>
      <c r="I72">
        <v>19</v>
      </c>
      <c r="J72">
        <v>35.086291868000004</v>
      </c>
      <c r="K72">
        <v>-120.535140198167</v>
      </c>
      <c r="L72">
        <v>83.7</v>
      </c>
      <c r="M72" t="s">
        <v>346</v>
      </c>
      <c r="N72" t="s">
        <v>347</v>
      </c>
      <c r="O72" s="1" t="s">
        <v>348</v>
      </c>
      <c r="Q72">
        <v>19</v>
      </c>
      <c r="AF72" t="s">
        <v>349</v>
      </c>
      <c r="AG72" t="s">
        <v>61</v>
      </c>
      <c r="AH72" t="s">
        <v>349</v>
      </c>
      <c r="AI72" t="s">
        <v>61</v>
      </c>
      <c r="AJ72">
        <v>19</v>
      </c>
      <c r="AK72" s="2">
        <v>0.19</v>
      </c>
      <c r="AL72" s="3">
        <v>0.187626027</v>
      </c>
      <c r="AN72" s="2">
        <v>3.5</v>
      </c>
      <c r="AO72" s="3">
        <v>4.2516083719999997</v>
      </c>
      <c r="AP72" s="1" t="s">
        <v>348</v>
      </c>
      <c r="AQ72" s="4">
        <v>3.9440033435821502</v>
      </c>
      <c r="AR72" s="4">
        <v>4.5135166683820502</v>
      </c>
      <c r="AS72" s="4">
        <f t="shared" si="3"/>
        <v>54.881448000000049</v>
      </c>
      <c r="AT72" s="4">
        <f>-52.21+16.22*AL72*100-1.25*(100*AL72)^2+0.05*(100*AL72)^3-0.000712*(100*AL72)^4</f>
        <v>54.092903829407945</v>
      </c>
      <c r="AU72">
        <f t="shared" si="4"/>
        <v>74.855283192128411</v>
      </c>
    </row>
    <row r="73" spans="1:59" x14ac:dyDescent="0.3">
      <c r="A73">
        <v>78</v>
      </c>
      <c r="B73">
        <v>159</v>
      </c>
      <c r="C73">
        <v>0</v>
      </c>
      <c r="D73">
        <v>50.1</v>
      </c>
      <c r="E73">
        <v>327.31732177734398</v>
      </c>
      <c r="F73">
        <v>2</v>
      </c>
      <c r="G73" t="s">
        <v>56</v>
      </c>
      <c r="H73">
        <v>10</v>
      </c>
      <c r="I73">
        <v>19</v>
      </c>
      <c r="J73">
        <v>35.086181475499998</v>
      </c>
      <c r="K73">
        <v>-120.5351699105</v>
      </c>
      <c r="L73">
        <v>84.1</v>
      </c>
      <c r="M73" t="s">
        <v>350</v>
      </c>
      <c r="N73" t="s">
        <v>351</v>
      </c>
      <c r="O73" s="1" t="s">
        <v>352</v>
      </c>
      <c r="AF73" t="s">
        <v>353</v>
      </c>
      <c r="AG73" t="s">
        <v>61</v>
      </c>
      <c r="AH73" t="s">
        <v>353</v>
      </c>
      <c r="AI73" t="s">
        <v>61</v>
      </c>
      <c r="AK73" s="2">
        <v>0.184</v>
      </c>
      <c r="AL73" s="3">
        <v>0.12313349799999999</v>
      </c>
      <c r="AN73" s="2">
        <v>3.3</v>
      </c>
      <c r="AO73" s="3">
        <v>3.6406593319999998</v>
      </c>
      <c r="AP73" s="1" t="s">
        <v>352</v>
      </c>
      <c r="AQ73" s="4">
        <v>3.6030008792877202</v>
      </c>
      <c r="AR73" s="4">
        <v>5.1400117269569199</v>
      </c>
      <c r="AS73" s="4">
        <f t="shared" si="3"/>
        <v>52.901713996799984</v>
      </c>
      <c r="AT73" s="4">
        <f>-52.21+16.22*AL73*100-1.25*(100*AL73)^2+0.05*(100*AL73)^3-0.000712*(100*AL73)^4</f>
        <v>34.9683425521294</v>
      </c>
      <c r="AU73">
        <f t="shared" si="4"/>
        <v>71.685514937165067</v>
      </c>
    </row>
    <row r="74" spans="1:59" x14ac:dyDescent="0.3">
      <c r="A74">
        <v>79</v>
      </c>
      <c r="B74">
        <v>160</v>
      </c>
      <c r="C74">
        <v>0.37040000000000001</v>
      </c>
      <c r="D74">
        <v>140.4</v>
      </c>
      <c r="E74">
        <v>140.95457458496099</v>
      </c>
      <c r="F74">
        <v>2</v>
      </c>
      <c r="G74" t="s">
        <v>56</v>
      </c>
      <c r="H74">
        <v>10</v>
      </c>
      <c r="I74">
        <v>19</v>
      </c>
      <c r="J74">
        <v>35.086221723166702</v>
      </c>
      <c r="K74">
        <v>-120.535122241667</v>
      </c>
      <c r="L74">
        <v>85.7</v>
      </c>
      <c r="M74" t="s">
        <v>354</v>
      </c>
      <c r="N74" t="s">
        <v>355</v>
      </c>
      <c r="O74" s="1" t="s">
        <v>356</v>
      </c>
      <c r="Q74">
        <v>16.600000000000001</v>
      </c>
      <c r="AF74" t="s">
        <v>357</v>
      </c>
      <c r="AG74" t="s">
        <v>61</v>
      </c>
      <c r="AH74" t="s">
        <v>357</v>
      </c>
      <c r="AI74" t="s">
        <v>61</v>
      </c>
      <c r="AJ74">
        <v>16.600000000000001</v>
      </c>
      <c r="AK74" s="2">
        <v>0.16600000000000001</v>
      </c>
      <c r="AL74" s="3">
        <v>0.159377504</v>
      </c>
      <c r="AN74" s="2">
        <v>2.7</v>
      </c>
      <c r="AO74" s="3">
        <v>3.495167017</v>
      </c>
      <c r="AP74" s="1" t="s">
        <v>356</v>
      </c>
      <c r="AQ74" s="4">
        <v>3.2479991912841801</v>
      </c>
      <c r="AR74" s="4">
        <v>4.7203487194131499</v>
      </c>
      <c r="AS74" s="4">
        <f t="shared" si="3"/>
        <v>47.242280716800018</v>
      </c>
      <c r="AT74" s="4">
        <f>-52.21+16.22*AL74*100-1.25*(100*AL74)^2+0.05*(100*AL74)^3-0.000712*(100*AL74)^4</f>
        <v>45.264663176783372</v>
      </c>
      <c r="AU74">
        <f t="shared" si="4"/>
        <v>61.881008284342819</v>
      </c>
    </row>
    <row r="75" spans="1:59" x14ac:dyDescent="0.3">
      <c r="A75">
        <v>80</v>
      </c>
      <c r="B75">
        <v>161</v>
      </c>
      <c r="C75">
        <v>0</v>
      </c>
      <c r="D75">
        <v>325.5</v>
      </c>
      <c r="E75">
        <v>6.5760440826415998</v>
      </c>
      <c r="F75">
        <v>2</v>
      </c>
      <c r="G75" t="s">
        <v>56</v>
      </c>
      <c r="H75">
        <v>10</v>
      </c>
      <c r="I75">
        <v>19</v>
      </c>
      <c r="J75">
        <v>35.086241592500002</v>
      </c>
      <c r="K75">
        <v>-120.535083303167</v>
      </c>
      <c r="L75">
        <v>83.8</v>
      </c>
      <c r="M75" t="s">
        <v>358</v>
      </c>
      <c r="N75" t="s">
        <v>359</v>
      </c>
      <c r="O75" s="1" t="s">
        <v>360</v>
      </c>
      <c r="Q75">
        <v>18.7</v>
      </c>
      <c r="AF75" t="s">
        <v>361</v>
      </c>
      <c r="AG75" t="s">
        <v>61</v>
      </c>
      <c r="AH75" t="s">
        <v>361</v>
      </c>
      <c r="AI75" t="s">
        <v>61</v>
      </c>
      <c r="AJ75">
        <v>18.7</v>
      </c>
      <c r="AK75" s="2">
        <v>0.187</v>
      </c>
      <c r="AL75" s="3">
        <v>0.176670259</v>
      </c>
      <c r="AN75" s="2">
        <v>3.4</v>
      </c>
      <c r="AO75" s="3">
        <v>3.9862751959999998</v>
      </c>
      <c r="AP75" s="1" t="s">
        <v>360</v>
      </c>
      <c r="AQ75" s="4">
        <v>3.6730034351348899</v>
      </c>
      <c r="AR75" s="4">
        <v>5.1089539699502904</v>
      </c>
      <c r="AS75" s="4">
        <f t="shared" si="3"/>
        <v>53.886085576800014</v>
      </c>
      <c r="AT75" s="4">
        <f>-52.21+16.22*AL75*100-1.25*(100*AL75)^2+0.05*(100*AL75)^3-0.000712*(100*AL75)^4</f>
        <v>50.545427894345991</v>
      </c>
      <c r="AU75">
        <f t="shared" si="4"/>
        <v>72.938298870816908</v>
      </c>
    </row>
    <row r="76" spans="1:59" x14ac:dyDescent="0.3">
      <c r="A76">
        <v>81</v>
      </c>
      <c r="B76">
        <v>162</v>
      </c>
      <c r="C76">
        <v>0.37040000000000001</v>
      </c>
      <c r="D76">
        <v>62.1</v>
      </c>
      <c r="E76">
        <v>56.830345153808601</v>
      </c>
      <c r="F76">
        <v>2</v>
      </c>
      <c r="G76" t="s">
        <v>56</v>
      </c>
      <c r="H76">
        <v>10</v>
      </c>
      <c r="I76">
        <v>19</v>
      </c>
      <c r="J76">
        <v>35.086283997833299</v>
      </c>
      <c r="K76">
        <v>-120.53503528900001</v>
      </c>
      <c r="L76">
        <v>82.6</v>
      </c>
      <c r="M76" t="s">
        <v>362</v>
      </c>
      <c r="N76" t="s">
        <v>363</v>
      </c>
      <c r="O76" s="1" t="s">
        <v>364</v>
      </c>
      <c r="Q76">
        <v>21</v>
      </c>
      <c r="AF76" t="s">
        <v>365</v>
      </c>
      <c r="AG76" t="s">
        <v>61</v>
      </c>
      <c r="AH76" t="s">
        <v>365</v>
      </c>
      <c r="AI76" t="s">
        <v>61</v>
      </c>
      <c r="AJ76">
        <v>21</v>
      </c>
      <c r="AK76" s="2">
        <v>0.21</v>
      </c>
      <c r="AL76" s="3">
        <v>0.174726719</v>
      </c>
      <c r="AN76" s="2">
        <v>3.7</v>
      </c>
      <c r="AO76" s="3">
        <v>3.6139414310000002</v>
      </c>
      <c r="AP76" s="1" t="s">
        <v>364</v>
      </c>
      <c r="AQ76" s="4">
        <v>3.88800001144409</v>
      </c>
      <c r="AR76" s="4">
        <v>5.2624101035542399</v>
      </c>
      <c r="AS76" s="4">
        <f t="shared" si="3"/>
        <v>61.739527999999979</v>
      </c>
      <c r="AT76" s="4">
        <f>-52.21+16.22*AL76*100-1.25*(100*AL76)^2+0.05*(100*AL76)^3-0.000712*(100*AL76)^4</f>
        <v>49.932567763168237</v>
      </c>
      <c r="AU76">
        <f t="shared" si="4"/>
        <v>78.636501532319159</v>
      </c>
    </row>
    <row r="77" spans="1:59" x14ac:dyDescent="0.3">
      <c r="A77">
        <v>82</v>
      </c>
      <c r="B77">
        <v>164</v>
      </c>
      <c r="C77">
        <v>0</v>
      </c>
      <c r="D77">
        <v>207.3</v>
      </c>
      <c r="E77">
        <v>159.33612060546901</v>
      </c>
      <c r="F77">
        <v>2</v>
      </c>
      <c r="G77" t="s">
        <v>56</v>
      </c>
      <c r="H77">
        <v>10</v>
      </c>
      <c r="I77">
        <v>19</v>
      </c>
      <c r="J77">
        <v>35.086153074499997</v>
      </c>
      <c r="K77">
        <v>-120.53511640883301</v>
      </c>
      <c r="L77">
        <v>84.4</v>
      </c>
      <c r="M77" t="s">
        <v>366</v>
      </c>
      <c r="N77" t="s">
        <v>367</v>
      </c>
      <c r="O77" s="1" t="s">
        <v>368</v>
      </c>
      <c r="Q77">
        <v>21.1</v>
      </c>
      <c r="AF77" t="s">
        <v>369</v>
      </c>
      <c r="AG77" t="s">
        <v>61</v>
      </c>
      <c r="AH77" t="s">
        <v>369</v>
      </c>
      <c r="AI77" t="s">
        <v>61</v>
      </c>
      <c r="AJ77">
        <v>21.1</v>
      </c>
      <c r="AK77" s="2">
        <v>0.21099999999999999</v>
      </c>
      <c r="AL77" s="3">
        <v>0.19688271199999999</v>
      </c>
      <c r="AN77" s="2">
        <v>3</v>
      </c>
      <c r="AO77" s="3">
        <v>3.6023287769999999</v>
      </c>
      <c r="AP77" s="1" t="s">
        <v>368</v>
      </c>
      <c r="AQ77" s="4">
        <v>3.39799833297729</v>
      </c>
      <c r="AR77" s="4">
        <v>5.4408473067246197</v>
      </c>
      <c r="AS77" s="4">
        <f t="shared" si="3"/>
        <v>62.089145800799997</v>
      </c>
      <c r="AT77" s="4">
        <f>-52.21+16.22*AL77*100-1.25*(100*AL77)^2+0.05*(100*AL77)^3-0.000712*(100*AL77)^4</f>
        <v>57.20310755711931</v>
      </c>
      <c r="AU77">
        <f t="shared" si="4"/>
        <v>69.591049339786878</v>
      </c>
    </row>
    <row r="78" spans="1:59" x14ac:dyDescent="0.3">
      <c r="A78">
        <v>83</v>
      </c>
      <c r="B78">
        <v>166</v>
      </c>
      <c r="C78">
        <v>0.1852</v>
      </c>
      <c r="D78">
        <v>220.8</v>
      </c>
      <c r="E78">
        <v>179.95034790039099</v>
      </c>
      <c r="F78">
        <v>2</v>
      </c>
      <c r="G78" t="s">
        <v>56</v>
      </c>
      <c r="H78">
        <v>10</v>
      </c>
      <c r="I78">
        <v>19</v>
      </c>
      <c r="J78">
        <v>35.086186185666698</v>
      </c>
      <c r="K78">
        <v>-120.535073183333</v>
      </c>
      <c r="L78">
        <v>84.8</v>
      </c>
      <c r="M78" t="s">
        <v>370</v>
      </c>
      <c r="N78" t="s">
        <v>371</v>
      </c>
      <c r="O78" s="1" t="s">
        <v>372</v>
      </c>
      <c r="Q78">
        <v>19.3</v>
      </c>
      <c r="AF78" t="s">
        <v>373</v>
      </c>
      <c r="AG78" t="s">
        <v>61</v>
      </c>
      <c r="AH78" t="s">
        <v>373</v>
      </c>
      <c r="AI78" t="s">
        <v>61</v>
      </c>
      <c r="AJ78">
        <v>19.3</v>
      </c>
      <c r="AK78" s="2">
        <v>0.193</v>
      </c>
      <c r="AL78" s="3">
        <v>0.20293866599999999</v>
      </c>
      <c r="AN78" s="2">
        <v>2.9</v>
      </c>
      <c r="AO78" s="3">
        <v>3.6553146839999999</v>
      </c>
      <c r="AP78" s="1" t="s">
        <v>372</v>
      </c>
      <c r="AQ78" s="4">
        <v>3.5619974136352499</v>
      </c>
      <c r="AR78" s="4">
        <v>4.8860251190291999</v>
      </c>
      <c r="AS78" s="4">
        <f t="shared" si="3"/>
        <v>55.887204328800081</v>
      </c>
      <c r="AT78" s="4">
        <f>-52.21+16.22*AL78*100-1.25*(100*AL78)^2+0.05*(100*AL78)^3-0.000712*(100*AL78)^4</f>
        <v>59.283101631853</v>
      </c>
      <c r="AU78">
        <f t="shared" si="4"/>
        <v>69.133008450582395</v>
      </c>
    </row>
    <row r="79" spans="1:59" x14ac:dyDescent="0.3">
      <c r="A79">
        <v>84</v>
      </c>
      <c r="B79">
        <v>167</v>
      </c>
      <c r="C79">
        <v>0.37040000000000001</v>
      </c>
      <c r="D79">
        <v>150</v>
      </c>
      <c r="E79">
        <v>159.40020751953099</v>
      </c>
      <c r="F79">
        <v>2</v>
      </c>
      <c r="G79" t="s">
        <v>56</v>
      </c>
      <c r="H79">
        <v>10</v>
      </c>
      <c r="I79">
        <v>19</v>
      </c>
      <c r="J79">
        <v>35.086216824166698</v>
      </c>
      <c r="K79">
        <v>-120.53501969533301</v>
      </c>
      <c r="L79">
        <v>83.9</v>
      </c>
      <c r="M79" t="s">
        <v>374</v>
      </c>
      <c r="N79" t="s">
        <v>375</v>
      </c>
      <c r="O79" s="1" t="s">
        <v>376</v>
      </c>
      <c r="Q79">
        <v>16.899999999999999</v>
      </c>
      <c r="AF79" t="s">
        <v>377</v>
      </c>
      <c r="AG79" t="s">
        <v>61</v>
      </c>
      <c r="AH79" t="s">
        <v>377</v>
      </c>
      <c r="AI79" t="s">
        <v>61</v>
      </c>
      <c r="AJ79">
        <v>16.899999999999999</v>
      </c>
      <c r="AK79" s="2">
        <v>0.16900000000000001</v>
      </c>
      <c r="AL79" s="3">
        <v>0.122860541</v>
      </c>
      <c r="AN79" s="2">
        <v>2.7</v>
      </c>
      <c r="AO79" s="3">
        <v>3.6949725149999999</v>
      </c>
      <c r="AP79" s="1" t="s">
        <v>376</v>
      </c>
      <c r="AQ79" s="4">
        <v>3.4229979515075701</v>
      </c>
      <c r="AR79" s="4">
        <v>4.7203487194131499</v>
      </c>
      <c r="AS79" s="4">
        <f t="shared" si="3"/>
        <v>48.155922664799981</v>
      </c>
      <c r="AT79" s="4">
        <f>-52.21+16.22*AL79*100-1.25*(100*AL79)^2+0.05*(100*AL79)^3-0.000712*(100*AL79)^4</f>
        <v>34.890173558755308</v>
      </c>
      <c r="AU79">
        <f t="shared" si="4"/>
        <v>65.231492862842316</v>
      </c>
    </row>
    <row r="80" spans="1:59" x14ac:dyDescent="0.3">
      <c r="A80">
        <v>85</v>
      </c>
      <c r="B80">
        <v>168</v>
      </c>
      <c r="C80">
        <v>0.1852</v>
      </c>
      <c r="D80">
        <v>13.2</v>
      </c>
      <c r="E80">
        <v>134.28466796875</v>
      </c>
      <c r="F80">
        <v>2</v>
      </c>
      <c r="G80" t="s">
        <v>56</v>
      </c>
      <c r="H80">
        <v>10</v>
      </c>
      <c r="I80">
        <v>19</v>
      </c>
      <c r="J80">
        <v>35.086243342666698</v>
      </c>
      <c r="K80">
        <v>-120.534986382333</v>
      </c>
      <c r="L80">
        <v>84.2</v>
      </c>
      <c r="M80" t="s">
        <v>378</v>
      </c>
      <c r="N80" t="s">
        <v>379</v>
      </c>
      <c r="O80" s="1" t="s">
        <v>380</v>
      </c>
      <c r="Q80">
        <v>17.5</v>
      </c>
      <c r="AF80" t="s">
        <v>381</v>
      </c>
      <c r="AG80" t="s">
        <v>61</v>
      </c>
      <c r="AH80" t="s">
        <v>381</v>
      </c>
      <c r="AI80" t="s">
        <v>61</v>
      </c>
      <c r="AJ80">
        <v>17.5</v>
      </c>
      <c r="AK80" s="2">
        <v>0.17499999999999999</v>
      </c>
      <c r="AL80" s="3">
        <v>0.16945447199999999</v>
      </c>
      <c r="AN80" s="2">
        <v>3.3</v>
      </c>
      <c r="AO80" s="3">
        <v>4.1972017289999997</v>
      </c>
      <c r="AP80" s="1" t="s">
        <v>380</v>
      </c>
      <c r="AQ80" s="4">
        <v>3.8699998855590798</v>
      </c>
      <c r="AR80" s="4">
        <v>4.82043791490117</v>
      </c>
      <c r="AS80" s="4">
        <f t="shared" si="3"/>
        <v>50.018437499999962</v>
      </c>
      <c r="AT80" s="4">
        <f>-52.21+16.22*AL80*100-1.25*(100*AL80)^2+0.05*(100*AL80)^3-0.000712*(100*AL80)^4</f>
        <v>48.295341045073911</v>
      </c>
      <c r="AU80">
        <f t="shared" si="4"/>
        <v>75.261247625117193</v>
      </c>
    </row>
    <row r="81" spans="1:59" x14ac:dyDescent="0.3">
      <c r="A81">
        <v>86</v>
      </c>
      <c r="B81">
        <v>191</v>
      </c>
      <c r="C81">
        <v>0</v>
      </c>
      <c r="D81">
        <v>43.9</v>
      </c>
      <c r="E81">
        <v>86.859100341796903</v>
      </c>
      <c r="F81">
        <v>2</v>
      </c>
      <c r="G81" t="s">
        <v>56</v>
      </c>
      <c r="H81">
        <v>10</v>
      </c>
      <c r="I81">
        <v>19</v>
      </c>
      <c r="J81">
        <v>35.086365630333297</v>
      </c>
      <c r="K81">
        <v>-120.535062802167</v>
      </c>
      <c r="L81">
        <v>81.900000000000006</v>
      </c>
      <c r="M81" t="s">
        <v>382</v>
      </c>
      <c r="N81" t="s">
        <v>383</v>
      </c>
      <c r="O81" s="1" t="s">
        <v>384</v>
      </c>
      <c r="Q81">
        <v>19</v>
      </c>
      <c r="AF81" t="s">
        <v>385</v>
      </c>
      <c r="AG81" t="s">
        <v>61</v>
      </c>
      <c r="AH81" t="s">
        <v>385</v>
      </c>
      <c r="AI81" t="s">
        <v>61</v>
      </c>
      <c r="AJ81">
        <v>19</v>
      </c>
      <c r="AK81" s="2">
        <v>0.19</v>
      </c>
      <c r="AL81" s="3">
        <v>0.155237236</v>
      </c>
      <c r="AN81" s="2">
        <v>3.8</v>
      </c>
      <c r="AO81" s="3">
        <v>4.6414251330000003</v>
      </c>
      <c r="AP81" s="1" t="s">
        <v>384</v>
      </c>
      <c r="AQ81" s="4">
        <v>3.9850034713745099</v>
      </c>
      <c r="AR81" s="4">
        <v>4.6865106579075997</v>
      </c>
      <c r="AS81" s="4">
        <f t="shared" si="3"/>
        <v>54.881448000000049</v>
      </c>
      <c r="AT81" s="4">
        <f>-52.21+16.22*AL81*100-1.25*(100*AL81)^2+0.05*(100*AL81)^3-0.000712*(100*AL81)^4</f>
        <v>44.053436569490373</v>
      </c>
      <c r="AU81">
        <f t="shared" si="4"/>
        <v>76.952541881626132</v>
      </c>
    </row>
    <row r="82" spans="1:59" x14ac:dyDescent="0.3">
      <c r="A82">
        <v>87</v>
      </c>
      <c r="B82">
        <v>192</v>
      </c>
      <c r="C82">
        <v>0.37040000000000001</v>
      </c>
      <c r="D82">
        <v>124.3</v>
      </c>
      <c r="E82">
        <v>141.85433959960901</v>
      </c>
      <c r="F82">
        <v>2</v>
      </c>
      <c r="G82" t="s">
        <v>56</v>
      </c>
      <c r="H82">
        <v>10</v>
      </c>
      <c r="I82">
        <v>19</v>
      </c>
      <c r="J82">
        <v>35.086325702333298</v>
      </c>
      <c r="K82">
        <v>-120.534994669333</v>
      </c>
      <c r="L82">
        <v>81.900000000000006</v>
      </c>
      <c r="M82" t="s">
        <v>386</v>
      </c>
      <c r="N82" t="s">
        <v>387</v>
      </c>
      <c r="O82" s="1" t="s">
        <v>388</v>
      </c>
      <c r="Q82">
        <v>18.399999999999999</v>
      </c>
      <c r="AF82" t="s">
        <v>389</v>
      </c>
      <c r="AG82" t="s">
        <v>61</v>
      </c>
      <c r="AH82" t="s">
        <v>389</v>
      </c>
      <c r="AI82" t="s">
        <v>61</v>
      </c>
      <c r="AJ82">
        <v>18.399999999999999</v>
      </c>
      <c r="AK82" s="2">
        <v>0.184</v>
      </c>
      <c r="AL82" s="3">
        <v>0.134071411</v>
      </c>
      <c r="AN82" s="2">
        <v>3.5</v>
      </c>
      <c r="AO82" s="3">
        <v>4.0388870240000001</v>
      </c>
      <c r="AP82" s="1" t="s">
        <v>388</v>
      </c>
      <c r="AQ82" s="4">
        <v>3.41199922561646</v>
      </c>
      <c r="AR82" s="4">
        <v>5.0462650440403198</v>
      </c>
      <c r="AS82" s="4">
        <f t="shared" si="3"/>
        <v>52.901713996799984</v>
      </c>
      <c r="AT82" s="4">
        <f>-52.21+16.22*AL82*100-1.25*(100*AL82)^2+0.05*(100*AL82)^3-0.000712*(100*AL82)^4</f>
        <v>38.057047790472069</v>
      </c>
      <c r="AU82">
        <f t="shared" si="4"/>
        <v>67.209153860184372</v>
      </c>
    </row>
    <row r="83" spans="1:59" s="5" customFormat="1" x14ac:dyDescent="0.3">
      <c r="A83" s="5">
        <v>88</v>
      </c>
      <c r="B83" s="5">
        <v>193</v>
      </c>
      <c r="C83" s="5">
        <v>0.1852</v>
      </c>
      <c r="D83" s="5">
        <v>236.8</v>
      </c>
      <c r="E83" s="5">
        <v>348.08914184570301</v>
      </c>
      <c r="F83" s="5">
        <v>2</v>
      </c>
      <c r="G83" s="5" t="s">
        <v>56</v>
      </c>
      <c r="H83" s="5">
        <v>10</v>
      </c>
      <c r="I83" s="5">
        <v>19</v>
      </c>
      <c r="J83" s="5">
        <v>35.086278788000001</v>
      </c>
      <c r="K83" s="5">
        <v>-120.534942109833</v>
      </c>
      <c r="L83" s="5">
        <v>83.7</v>
      </c>
      <c r="M83" s="5" t="s">
        <v>390</v>
      </c>
      <c r="N83" s="5" t="s">
        <v>391</v>
      </c>
      <c r="O83" s="6" t="s">
        <v>392</v>
      </c>
      <c r="Q83" s="5">
        <v>19.5</v>
      </c>
      <c r="AF83" s="5" t="s">
        <v>393</v>
      </c>
      <c r="AG83" s="5" t="s">
        <v>61</v>
      </c>
      <c r="AH83" s="5" t="s">
        <v>393</v>
      </c>
      <c r="AI83" s="5" t="s">
        <v>61</v>
      </c>
      <c r="AJ83" s="5">
        <v>19.5</v>
      </c>
      <c r="AK83" s="7">
        <v>0.19500000000000001</v>
      </c>
      <c r="AL83" s="8">
        <v>0.157694789</v>
      </c>
      <c r="AN83" s="7">
        <v>3.9</v>
      </c>
      <c r="AO83" s="8">
        <v>4.4995503430000001</v>
      </c>
      <c r="AP83" s="6" t="s">
        <v>392</v>
      </c>
      <c r="AQ83" s="4">
        <v>4.2279996871948198</v>
      </c>
      <c r="AR83" s="4">
        <v>5.0146267067967703</v>
      </c>
      <c r="AS83" s="9">
        <f t="shared" si="3"/>
        <v>56.563125500000083</v>
      </c>
      <c r="AT83" s="9">
        <f>-52.21+16.22*AL83*100-1.25*(100*AL83)^2+0.05*(100*AL83)^3-0.000712*(100*AL83)^4</f>
        <v>44.770211294281616</v>
      </c>
      <c r="AU83">
        <f t="shared" si="4"/>
        <v>84.888504225361203</v>
      </c>
      <c r="AV83" s="7"/>
      <c r="AX83" s="7"/>
      <c r="AZ83" s="7"/>
      <c r="BE83" s="7"/>
    </row>
    <row r="84" spans="1:59" x14ac:dyDescent="0.3">
      <c r="A84">
        <v>90</v>
      </c>
      <c r="B84">
        <v>206</v>
      </c>
      <c r="C84">
        <v>0.1852</v>
      </c>
      <c r="D84">
        <v>293.39999999999998</v>
      </c>
      <c r="E84">
        <v>214.95617675781199</v>
      </c>
      <c r="F84">
        <v>2</v>
      </c>
      <c r="G84" t="s">
        <v>56</v>
      </c>
      <c r="H84">
        <v>10</v>
      </c>
      <c r="I84">
        <v>19</v>
      </c>
      <c r="J84">
        <v>35.084461584833299</v>
      </c>
      <c r="K84">
        <v>-120.53622181666699</v>
      </c>
      <c r="L84">
        <v>78.400000000000006</v>
      </c>
      <c r="M84" t="s">
        <v>394</v>
      </c>
      <c r="N84" t="s">
        <v>395</v>
      </c>
      <c r="O84" s="1" t="s">
        <v>396</v>
      </c>
      <c r="Q84">
        <v>17.399999999999999</v>
      </c>
      <c r="AF84" t="s">
        <v>397</v>
      </c>
      <c r="AG84" t="s">
        <v>61</v>
      </c>
      <c r="AH84" t="s">
        <v>397</v>
      </c>
      <c r="AI84" t="s">
        <v>61</v>
      </c>
      <c r="AJ84">
        <v>17.399999999999999</v>
      </c>
      <c r="AK84" s="2">
        <v>0.17399999999999999</v>
      </c>
      <c r="AL84" s="3">
        <v>0.17448999400000001</v>
      </c>
      <c r="AN84" s="2">
        <v>2.1</v>
      </c>
      <c r="AO84" s="3">
        <v>2.6247704029999999</v>
      </c>
      <c r="AP84" s="1" t="s">
        <v>396</v>
      </c>
      <c r="AQ84" s="4">
        <v>2.4969999790191699</v>
      </c>
      <c r="AR84" s="4">
        <v>4.4424332232904797</v>
      </c>
      <c r="AS84" s="4">
        <f t="shared" si="3"/>
        <v>49.704704268800015</v>
      </c>
      <c r="AT84" s="4">
        <f>-52.21+16.22*AL84*100-1.25*(100*AL84)^2+0.05*(100*AL84)^3-0.000712*(100*AL84)^4</f>
        <v>49.858265078340096</v>
      </c>
      <c r="AU84">
        <f t="shared" si="4"/>
        <v>47.628051122031309</v>
      </c>
      <c r="AV84" s="2">
        <f>AVERAGE(AK84:AK98)</f>
        <v>0.15644444444444444</v>
      </c>
      <c r="AW84">
        <f>AVERAGE(AL84:AL98)</f>
        <v>0.12153381633333332</v>
      </c>
      <c r="AX84" s="2">
        <f>AVERAGE(AN84:AN98)</f>
        <v>2.2666666666666671</v>
      </c>
      <c r="AY84">
        <f>AVERAGE(AO84:AO98)</f>
        <v>2.5204749373333337</v>
      </c>
      <c r="AZ84" s="10">
        <f>AVERAGE(AS84:AS98)</f>
        <v>5.8321056279466577</v>
      </c>
      <c r="BA84" s="4">
        <f>AVERAGE(AT84:AT98)</f>
        <v>-0.33255222143175256</v>
      </c>
      <c r="BB84" s="10">
        <f>SUM(AS84:AS98)</f>
        <v>87.481584419199862</v>
      </c>
      <c r="BC84" s="4">
        <f>SUM(AT84:AT98)</f>
        <v>-4.9882833214762883</v>
      </c>
      <c r="BD84" s="4">
        <f>SUM(AU84:AU98)</f>
        <v>404.55510308812671</v>
      </c>
      <c r="BE84" s="10">
        <f>SUM(AS84:AS98)/(PI()*12.5^2)</f>
        <v>0.17821602034978037</v>
      </c>
      <c r="BF84" s="10">
        <f>SUM(AT84:AT98)/(PI()*12.5^2)</f>
        <v>-1.0162047336394359E-2</v>
      </c>
      <c r="BG84" s="10">
        <f>SUM(AU84:AU98)/(PI()*12.5^2)</f>
        <v>0.82415288844194123</v>
      </c>
    </row>
    <row r="85" spans="1:59" x14ac:dyDescent="0.3">
      <c r="A85">
        <v>91</v>
      </c>
      <c r="B85">
        <v>207</v>
      </c>
      <c r="C85">
        <v>1.1112</v>
      </c>
      <c r="D85">
        <v>106.4</v>
      </c>
      <c r="E85">
        <v>164.63781738281199</v>
      </c>
      <c r="F85">
        <v>2</v>
      </c>
      <c r="G85" t="s">
        <v>56</v>
      </c>
      <c r="H85">
        <v>10</v>
      </c>
      <c r="I85">
        <v>19</v>
      </c>
      <c r="J85">
        <v>35.084498918333303</v>
      </c>
      <c r="K85">
        <v>-120.536192875833</v>
      </c>
      <c r="L85">
        <v>83.3</v>
      </c>
      <c r="M85" t="s">
        <v>398</v>
      </c>
      <c r="N85" t="s">
        <v>399</v>
      </c>
      <c r="O85" s="1" t="s">
        <v>400</v>
      </c>
      <c r="Q85">
        <v>16.899999999999999</v>
      </c>
      <c r="AF85" t="s">
        <v>401</v>
      </c>
      <c r="AG85" t="s">
        <v>61</v>
      </c>
      <c r="AH85" t="s">
        <v>401</v>
      </c>
      <c r="AI85" t="s">
        <v>61</v>
      </c>
      <c r="AJ85">
        <v>16.899999999999999</v>
      </c>
      <c r="AK85" s="2">
        <v>0.16900000000000001</v>
      </c>
      <c r="AL85" s="3">
        <v>0.15561491599999999</v>
      </c>
      <c r="AN85" s="2">
        <v>2.5</v>
      </c>
      <c r="AO85" s="3">
        <v>2.6313865179999998</v>
      </c>
      <c r="AP85" s="1" t="s">
        <v>400</v>
      </c>
      <c r="AQ85" s="4">
        <v>2.7510025501251198</v>
      </c>
      <c r="AR85" s="4">
        <v>4.2220082456447496</v>
      </c>
      <c r="AS85" s="4">
        <f t="shared" si="3"/>
        <v>48.155922664799981</v>
      </c>
      <c r="AT85" s="4">
        <f>-52.21+16.22*AL85*100-1.25*(100*AL85)^2+0.05*(100*AL85)^3-0.000712*(100*AL85)^4</f>
        <v>44.163193535186252</v>
      </c>
      <c r="AU85">
        <f t="shared" si="4"/>
        <v>49.970318631570564</v>
      </c>
    </row>
    <row r="86" spans="1:59" x14ac:dyDescent="0.3">
      <c r="A86">
        <v>92</v>
      </c>
      <c r="B86">
        <v>208</v>
      </c>
      <c r="C86">
        <v>0.74080000000000001</v>
      </c>
      <c r="D86">
        <v>98</v>
      </c>
      <c r="E86">
        <v>192.97401428222699</v>
      </c>
      <c r="F86">
        <v>2</v>
      </c>
      <c r="G86" t="s">
        <v>56</v>
      </c>
      <c r="H86">
        <v>10</v>
      </c>
      <c r="I86">
        <v>19</v>
      </c>
      <c r="J86">
        <v>35.084530161499998</v>
      </c>
      <c r="K86">
        <v>-120.536143071</v>
      </c>
      <c r="L86">
        <v>84.5</v>
      </c>
      <c r="M86" t="s">
        <v>402</v>
      </c>
      <c r="N86" t="s">
        <v>403</v>
      </c>
      <c r="O86" s="1" t="s">
        <v>404</v>
      </c>
      <c r="P86">
        <v>2.5</v>
      </c>
      <c r="Q86">
        <v>17.399999999999999</v>
      </c>
      <c r="AF86" t="s">
        <v>405</v>
      </c>
      <c r="AG86" t="s">
        <v>61</v>
      </c>
      <c r="AH86" t="s">
        <v>405</v>
      </c>
      <c r="AI86" t="s">
        <v>61</v>
      </c>
      <c r="AJ86">
        <v>17.399999999999999</v>
      </c>
      <c r="AK86" s="2">
        <v>0.17399999999999999</v>
      </c>
      <c r="AL86" s="3">
        <v>9.7994102E-2</v>
      </c>
      <c r="AM86">
        <v>2.5</v>
      </c>
      <c r="AN86" s="2">
        <v>2.5</v>
      </c>
      <c r="AO86" s="3">
        <v>2.3916690350000001</v>
      </c>
      <c r="AP86" s="1" t="s">
        <v>404</v>
      </c>
      <c r="AQ86" s="4">
        <v>2.4420003890991202</v>
      </c>
      <c r="AR86" s="4">
        <v>4.1459297936560304</v>
      </c>
      <c r="AS86" s="4">
        <f t="shared" si="3"/>
        <v>49.704704268800015</v>
      </c>
      <c r="AT86" s="4">
        <f>-52.21+16.22*AL86*100-1.25*(100*AL86)^2+0.05*(100*AL86)^3-0.000712*(100*AL86)^4</f>
        <v>27.186306487441328</v>
      </c>
      <c r="AU86">
        <f t="shared" si="4"/>
        <v>44.852967645339014</v>
      </c>
    </row>
    <row r="87" spans="1:59" x14ac:dyDescent="0.3">
      <c r="A87">
        <v>93</v>
      </c>
      <c r="B87">
        <v>209</v>
      </c>
      <c r="C87">
        <v>0.37040000000000001</v>
      </c>
      <c r="D87">
        <v>18.2</v>
      </c>
      <c r="E87">
        <v>330.19039916992199</v>
      </c>
      <c r="F87">
        <v>2</v>
      </c>
      <c r="G87" t="s">
        <v>56</v>
      </c>
      <c r="H87">
        <v>10</v>
      </c>
      <c r="I87">
        <v>19</v>
      </c>
      <c r="J87">
        <v>35.084558512500003</v>
      </c>
      <c r="K87">
        <v>-120.536103582</v>
      </c>
      <c r="L87">
        <v>85.6</v>
      </c>
      <c r="M87" t="s">
        <v>406</v>
      </c>
      <c r="N87" t="s">
        <v>407</v>
      </c>
      <c r="O87" s="1" t="s">
        <v>408</v>
      </c>
      <c r="Q87">
        <v>14.6</v>
      </c>
      <c r="AF87" t="s">
        <v>409</v>
      </c>
      <c r="AG87" t="s">
        <v>61</v>
      </c>
      <c r="AH87" t="s">
        <v>409</v>
      </c>
      <c r="AI87" t="s">
        <v>61</v>
      </c>
      <c r="AJ87">
        <v>14.6</v>
      </c>
      <c r="AK87" s="2">
        <v>0.14599999999999999</v>
      </c>
      <c r="AL87" s="3">
        <v>0.121515123</v>
      </c>
      <c r="AN87" s="2">
        <v>2.2999999999999998</v>
      </c>
      <c r="AO87" s="3">
        <v>2.397351027</v>
      </c>
      <c r="AP87" s="1" t="s">
        <v>408</v>
      </c>
      <c r="AQ87" s="4">
        <v>2.5279982089996298</v>
      </c>
      <c r="AR87" s="4">
        <v>3.3377905890622701</v>
      </c>
      <c r="AS87" s="4">
        <f t="shared" si="3"/>
        <v>41.407523852800011</v>
      </c>
      <c r="AT87" s="4">
        <f>-52.21+16.22*AL87*100-1.25*(100*AL87)^2+0.05*(100*AL87)^3-0.000712*(100*AL87)^4</f>
        <v>34.503708704807039</v>
      </c>
      <c r="AU87">
        <f t="shared" si="4"/>
        <v>40.640854755693397</v>
      </c>
    </row>
    <row r="88" spans="1:59" x14ac:dyDescent="0.3">
      <c r="A88">
        <v>94</v>
      </c>
      <c r="B88">
        <v>211</v>
      </c>
      <c r="C88">
        <v>0.1852</v>
      </c>
      <c r="D88">
        <v>58.1</v>
      </c>
      <c r="E88">
        <v>89.857444763183594</v>
      </c>
      <c r="F88">
        <v>2</v>
      </c>
      <c r="G88" t="s">
        <v>56</v>
      </c>
      <c r="H88">
        <v>10</v>
      </c>
      <c r="I88">
        <v>19</v>
      </c>
      <c r="J88">
        <v>35.084432139833297</v>
      </c>
      <c r="K88">
        <v>-120.536184439167</v>
      </c>
      <c r="L88">
        <v>82.9</v>
      </c>
      <c r="M88" t="s">
        <v>410</v>
      </c>
      <c r="N88" t="s">
        <v>411</v>
      </c>
      <c r="O88" s="1" t="s">
        <v>412</v>
      </c>
      <c r="Q88">
        <v>14.4</v>
      </c>
      <c r="AF88" t="s">
        <v>413</v>
      </c>
      <c r="AG88" t="s">
        <v>61</v>
      </c>
      <c r="AH88" t="s">
        <v>413</v>
      </c>
      <c r="AI88" t="s">
        <v>61</v>
      </c>
      <c r="AJ88">
        <v>14.4</v>
      </c>
      <c r="AK88" s="2">
        <v>0.14399999999999999</v>
      </c>
      <c r="AL88" s="3">
        <v>0.13675832499999999</v>
      </c>
      <c r="AN88" s="2">
        <v>2</v>
      </c>
      <c r="AO88" s="3">
        <v>2.3688564300000001</v>
      </c>
      <c r="AP88" s="1" t="s">
        <v>412</v>
      </c>
      <c r="AQ88" s="4">
        <v>2.4819972515106201</v>
      </c>
      <c r="AR88" s="4">
        <v>4.2595379458899103</v>
      </c>
      <c r="AS88" s="4">
        <f t="shared" si="3"/>
        <v>40.842503244799985</v>
      </c>
      <c r="AT88" s="4">
        <f>-52.21+16.22*AL88*100-1.25*(100*AL88)^2+0.05*(100*AL88)^3-0.000712*(100*AL88)^4</f>
        <v>38.809470075972371</v>
      </c>
      <c r="AU88">
        <f t="shared" si="4"/>
        <v>46.182781099012104</v>
      </c>
    </row>
    <row r="89" spans="1:59" x14ac:dyDescent="0.3">
      <c r="A89">
        <v>95</v>
      </c>
      <c r="B89">
        <v>212</v>
      </c>
      <c r="C89">
        <v>0.55559999999999998</v>
      </c>
      <c r="D89">
        <v>47.7</v>
      </c>
      <c r="E89">
        <v>85.109199523925795</v>
      </c>
      <c r="F89">
        <v>2</v>
      </c>
      <c r="G89" t="s">
        <v>56</v>
      </c>
      <c r="H89">
        <v>10</v>
      </c>
      <c r="I89">
        <v>19</v>
      </c>
      <c r="J89">
        <v>35.084458136999999</v>
      </c>
      <c r="K89">
        <v>-120.536137126667</v>
      </c>
      <c r="L89">
        <v>85.5</v>
      </c>
      <c r="M89" t="s">
        <v>414</v>
      </c>
      <c r="N89" t="s">
        <v>415</v>
      </c>
      <c r="O89" s="1" t="s">
        <v>416</v>
      </c>
      <c r="Q89">
        <v>14.2</v>
      </c>
      <c r="AF89" t="s">
        <v>417</v>
      </c>
      <c r="AG89" t="s">
        <v>61</v>
      </c>
      <c r="AH89" t="s">
        <v>417</v>
      </c>
      <c r="AI89" t="s">
        <v>61</v>
      </c>
      <c r="AJ89">
        <v>14.2</v>
      </c>
      <c r="AK89" s="2">
        <v>0.14199999999999999</v>
      </c>
      <c r="AL89" s="3">
        <v>9.9659165999999993E-2</v>
      </c>
      <c r="AN89" s="2">
        <v>2</v>
      </c>
      <c r="AO89" s="3">
        <v>2.27346015</v>
      </c>
      <c r="AP89" s="1" t="s">
        <v>416</v>
      </c>
      <c r="AQ89" s="4">
        <v>2.1729991436004599</v>
      </c>
      <c r="AR89" s="4">
        <v>2.9854106607209201</v>
      </c>
      <c r="AS89" s="4">
        <f t="shared" si="3"/>
        <v>40.279413004799963</v>
      </c>
      <c r="AT89" s="4">
        <f>-52.21+16.22*AL89*100-1.25*(100*AL89)^2+0.05*(100*AL89)^3-0.000712*(100*AL89)^4</f>
        <v>27.75486407280836</v>
      </c>
      <c r="AU89">
        <f t="shared" si="4"/>
        <v>33.479739294765309</v>
      </c>
    </row>
    <row r="90" spans="1:59" x14ac:dyDescent="0.3">
      <c r="A90">
        <v>96</v>
      </c>
      <c r="B90">
        <v>213</v>
      </c>
      <c r="C90">
        <v>1.1112</v>
      </c>
      <c r="D90">
        <v>37.799999999999997</v>
      </c>
      <c r="E90">
        <v>71.277351379394503</v>
      </c>
      <c r="F90">
        <v>2</v>
      </c>
      <c r="G90" t="s">
        <v>56</v>
      </c>
      <c r="H90">
        <v>10</v>
      </c>
      <c r="I90">
        <v>19</v>
      </c>
      <c r="J90">
        <v>35.084481017999998</v>
      </c>
      <c r="K90">
        <v>-120.53609252516701</v>
      </c>
      <c r="L90">
        <v>85.2</v>
      </c>
      <c r="M90" t="s">
        <v>418</v>
      </c>
      <c r="N90" t="s">
        <v>419</v>
      </c>
      <c r="O90" s="1" t="s">
        <v>420</v>
      </c>
      <c r="Q90">
        <v>14.1</v>
      </c>
      <c r="AF90" t="s">
        <v>421</v>
      </c>
      <c r="AG90" t="s">
        <v>61</v>
      </c>
      <c r="AH90" t="s">
        <v>421</v>
      </c>
      <c r="AI90" t="s">
        <v>61</v>
      </c>
      <c r="AJ90">
        <v>14.1</v>
      </c>
      <c r="AK90" s="2">
        <v>0.14099999999999999</v>
      </c>
      <c r="AL90" s="3">
        <v>0.10620167699999999</v>
      </c>
      <c r="AN90" s="2">
        <v>2.2999999999999998</v>
      </c>
      <c r="AO90" s="3">
        <v>2.33988452</v>
      </c>
      <c r="AP90" s="1" t="s">
        <v>420</v>
      </c>
      <c r="AQ90" s="4">
        <v>2.5569992065429701</v>
      </c>
      <c r="AR90" s="4">
        <v>3.9088200952233598</v>
      </c>
      <c r="AS90" s="4">
        <f t="shared" si="3"/>
        <v>39.998453736799974</v>
      </c>
      <c r="AT90" s="4">
        <f>-52.21+16.22*AL90*100-1.25*(100*AL90)^2+0.05*(100*AL90)^3-0.000712*(100*AL90)^4</f>
        <v>29.898080611118569</v>
      </c>
      <c r="AU90">
        <f t="shared" si="4"/>
        <v>44.907122225143368</v>
      </c>
    </row>
    <row r="91" spans="1:59" x14ac:dyDescent="0.3">
      <c r="A91">
        <v>97</v>
      </c>
      <c r="B91">
        <v>214</v>
      </c>
      <c r="C91">
        <v>0.1852</v>
      </c>
      <c r="D91">
        <v>21.7</v>
      </c>
      <c r="E91">
        <v>354.177734375</v>
      </c>
      <c r="F91">
        <v>2</v>
      </c>
      <c r="G91" t="s">
        <v>56</v>
      </c>
      <c r="H91">
        <v>10</v>
      </c>
      <c r="I91">
        <v>19</v>
      </c>
      <c r="J91">
        <v>35.084517919500001</v>
      </c>
      <c r="K91">
        <v>-120.53605077</v>
      </c>
      <c r="L91">
        <v>85.1</v>
      </c>
      <c r="M91" t="s">
        <v>422</v>
      </c>
      <c r="N91" t="s">
        <v>423</v>
      </c>
      <c r="O91" s="1" t="s">
        <v>424</v>
      </c>
      <c r="Q91">
        <v>17.7</v>
      </c>
      <c r="AF91" t="s">
        <v>425</v>
      </c>
      <c r="AG91" t="s">
        <v>61</v>
      </c>
      <c r="AH91" t="s">
        <v>425</v>
      </c>
      <c r="AI91" t="s">
        <v>61</v>
      </c>
      <c r="AJ91">
        <v>17.7</v>
      </c>
      <c r="AK91" s="2">
        <v>0.17699999999999999</v>
      </c>
      <c r="AL91" s="3">
        <v>0.107800137</v>
      </c>
      <c r="AN91" s="2">
        <v>2.6</v>
      </c>
      <c r="AO91" s="3">
        <v>3.077125788</v>
      </c>
      <c r="AP91" s="1" t="s">
        <v>424</v>
      </c>
      <c r="AQ91" s="4">
        <v>2.78900098800659</v>
      </c>
      <c r="AR91" s="4">
        <v>4.82043791490117</v>
      </c>
      <c r="AS91" s="4">
        <f t="shared" si="3"/>
        <v>50.649905640799972</v>
      </c>
      <c r="AT91" s="4">
        <f>-52.21+16.22*AL91*100-1.25*(100*AL91)^2+0.05*(100*AL91)^3-0.000712*(100*AL91)^4</f>
        <v>30.402343260695478</v>
      </c>
      <c r="AU91">
        <f t="shared" si="4"/>
        <v>54.601918254146852</v>
      </c>
    </row>
    <row r="92" spans="1:59" x14ac:dyDescent="0.3">
      <c r="A92">
        <v>98</v>
      </c>
      <c r="B92">
        <v>215</v>
      </c>
      <c r="C92">
        <v>0.55559999999999998</v>
      </c>
      <c r="D92">
        <v>41.5</v>
      </c>
      <c r="E92">
        <v>319.70419311523398</v>
      </c>
      <c r="F92">
        <v>2</v>
      </c>
      <c r="G92" t="s">
        <v>56</v>
      </c>
      <c r="H92">
        <v>10</v>
      </c>
      <c r="I92">
        <v>19</v>
      </c>
      <c r="J92">
        <v>35.084545234499998</v>
      </c>
      <c r="K92">
        <v>-120.5360076625</v>
      </c>
      <c r="L92">
        <v>85.7</v>
      </c>
      <c r="M92" t="s">
        <v>426</v>
      </c>
      <c r="N92" t="s">
        <v>427</v>
      </c>
      <c r="O92" s="1" t="s">
        <v>428</v>
      </c>
      <c r="Q92">
        <v>14.1</v>
      </c>
      <c r="AF92" t="s">
        <v>429</v>
      </c>
      <c r="AG92" t="s">
        <v>61</v>
      </c>
      <c r="AH92" t="s">
        <v>429</v>
      </c>
      <c r="AI92" t="s">
        <v>61</v>
      </c>
      <c r="AJ92">
        <v>14.1</v>
      </c>
      <c r="AK92" s="2">
        <v>0.14099999999999999</v>
      </c>
      <c r="AL92" s="3">
        <v>9.3770907000000001E-2</v>
      </c>
      <c r="AN92" s="2">
        <v>2.1</v>
      </c>
      <c r="AO92" s="3">
        <v>2.579770565</v>
      </c>
      <c r="AP92" s="1" t="s">
        <v>428</v>
      </c>
      <c r="AQ92" s="4">
        <v>2.6420016288757302</v>
      </c>
      <c r="AR92" s="4">
        <v>3.47789816915102</v>
      </c>
      <c r="AS92" s="4">
        <f t="shared" si="3"/>
        <v>39.998453736799974</v>
      </c>
      <c r="AT92" s="4">
        <f>-52.21+16.22*AL92*100-1.25*(100*AL92)^2+0.05*(100*AL92)^3-0.000712*(100*AL92)^4</f>
        <v>25.695484852154262</v>
      </c>
      <c r="AU92">
        <f t="shared" si="4"/>
        <v>43.275350060424742</v>
      </c>
    </row>
    <row r="93" spans="1:59" x14ac:dyDescent="0.3">
      <c r="A93">
        <v>99</v>
      </c>
      <c r="B93">
        <v>218</v>
      </c>
      <c r="C93">
        <v>0.1852</v>
      </c>
      <c r="D93">
        <v>337.6</v>
      </c>
      <c r="E93">
        <v>35.451072692871101</v>
      </c>
      <c r="F93">
        <v>2</v>
      </c>
      <c r="G93" t="s">
        <v>56</v>
      </c>
      <c r="H93">
        <v>10</v>
      </c>
      <c r="I93">
        <v>19</v>
      </c>
      <c r="J93">
        <v>35.084388881999999</v>
      </c>
      <c r="K93">
        <v>-120.536129058667</v>
      </c>
      <c r="L93">
        <v>84.6</v>
      </c>
      <c r="M93" t="s">
        <v>430</v>
      </c>
      <c r="N93" t="s">
        <v>431</v>
      </c>
      <c r="O93" s="1" t="s">
        <v>432</v>
      </c>
      <c r="Q93">
        <v>17.8</v>
      </c>
      <c r="AF93" t="s">
        <v>433</v>
      </c>
      <c r="AG93" t="s">
        <v>61</v>
      </c>
      <c r="AH93" t="s">
        <v>433</v>
      </c>
      <c r="AI93" t="s">
        <v>61</v>
      </c>
      <c r="AS93" s="4">
        <f t="shared" si="3"/>
        <v>-52.21</v>
      </c>
      <c r="AT93" s="4">
        <f>-52.21+16.22*AL93*100-1.25*(100*AL93)^2+0.05*(100*AL93)^3-0.000712*(100*AL93)^4</f>
        <v>-52.21</v>
      </c>
      <c r="AU93">
        <f t="shared" si="4"/>
        <v>-0.16400000000000001</v>
      </c>
    </row>
    <row r="94" spans="1:59" x14ac:dyDescent="0.3">
      <c r="A94">
        <v>100</v>
      </c>
      <c r="B94">
        <v>219</v>
      </c>
      <c r="C94">
        <v>0.55559999999999998</v>
      </c>
      <c r="D94">
        <v>115.8</v>
      </c>
      <c r="E94">
        <v>128.28776550293</v>
      </c>
      <c r="F94">
        <v>2</v>
      </c>
      <c r="G94" t="s">
        <v>56</v>
      </c>
      <c r="H94">
        <v>10</v>
      </c>
      <c r="I94">
        <v>19</v>
      </c>
      <c r="J94">
        <v>35.084414945833302</v>
      </c>
      <c r="K94">
        <v>-120.536088503667</v>
      </c>
      <c r="L94">
        <v>84.9</v>
      </c>
      <c r="M94" t="s">
        <v>434</v>
      </c>
      <c r="N94" t="s">
        <v>435</v>
      </c>
      <c r="O94" s="1" t="s">
        <v>436</v>
      </c>
      <c r="Q94">
        <v>13.3</v>
      </c>
      <c r="AF94" t="s">
        <v>437</v>
      </c>
      <c r="AG94" t="s">
        <v>61</v>
      </c>
      <c r="AH94" t="s">
        <v>437</v>
      </c>
      <c r="AI94" t="s">
        <v>61</v>
      </c>
      <c r="AS94" s="4">
        <f t="shared" si="3"/>
        <v>-52.21</v>
      </c>
      <c r="AT94" s="4">
        <f>-52.21+16.22*AL94*100-1.25*(100*AL94)^2+0.05*(100*AL94)^3-0.000712*(100*AL94)^4</f>
        <v>-52.21</v>
      </c>
      <c r="AU94">
        <f t="shared" si="4"/>
        <v>-0.16400000000000001</v>
      </c>
    </row>
    <row r="95" spans="1:59" x14ac:dyDescent="0.3">
      <c r="A95">
        <v>101</v>
      </c>
      <c r="B95">
        <v>220</v>
      </c>
      <c r="C95">
        <v>0.1852</v>
      </c>
      <c r="D95">
        <v>199.9</v>
      </c>
      <c r="E95">
        <v>109.490676879883</v>
      </c>
      <c r="F95">
        <v>2</v>
      </c>
      <c r="G95" t="s">
        <v>56</v>
      </c>
      <c r="H95">
        <v>10</v>
      </c>
      <c r="I95">
        <v>19</v>
      </c>
      <c r="J95">
        <v>35.084451186166703</v>
      </c>
      <c r="K95">
        <v>-120.536046211333</v>
      </c>
      <c r="L95">
        <v>85.9</v>
      </c>
      <c r="M95" t="s">
        <v>438</v>
      </c>
      <c r="N95" t="s">
        <v>439</v>
      </c>
      <c r="O95" s="1" t="s">
        <v>440</v>
      </c>
      <c r="Q95">
        <v>15.5</v>
      </c>
      <c r="AF95" t="s">
        <v>441</v>
      </c>
      <c r="AG95" t="s">
        <v>61</v>
      </c>
      <c r="AH95" t="s">
        <v>441</v>
      </c>
      <c r="AI95" t="s">
        <v>61</v>
      </c>
      <c r="AS95" s="4">
        <f t="shared" si="3"/>
        <v>-52.21</v>
      </c>
      <c r="AT95" s="4">
        <f>-52.21+16.22*AL95*100-1.25*(100*AL95)^2+0.05*(100*AL95)^3-0.000712*(100*AL95)^4</f>
        <v>-52.21</v>
      </c>
      <c r="AU95">
        <f t="shared" si="4"/>
        <v>-0.16400000000000001</v>
      </c>
    </row>
    <row r="96" spans="1:59" x14ac:dyDescent="0.3">
      <c r="A96">
        <v>102</v>
      </c>
      <c r="B96">
        <v>221</v>
      </c>
      <c r="C96">
        <v>0.1852</v>
      </c>
      <c r="D96">
        <v>15.3</v>
      </c>
      <c r="E96">
        <v>75.212356567382798</v>
      </c>
      <c r="F96">
        <v>2</v>
      </c>
      <c r="G96" t="s">
        <v>56</v>
      </c>
      <c r="H96">
        <v>10</v>
      </c>
      <c r="I96">
        <v>19</v>
      </c>
      <c r="J96">
        <v>35.084484632833302</v>
      </c>
      <c r="K96">
        <v>-120.5360050825</v>
      </c>
      <c r="L96">
        <v>83.9</v>
      </c>
      <c r="M96" t="s">
        <v>442</v>
      </c>
      <c r="N96" t="s">
        <v>443</v>
      </c>
      <c r="O96" s="1" t="s">
        <v>444</v>
      </c>
      <c r="Q96">
        <v>16.399999999999999</v>
      </c>
      <c r="AF96" t="s">
        <v>445</v>
      </c>
      <c r="AG96" t="s">
        <v>61</v>
      </c>
      <c r="AH96" t="s">
        <v>445</v>
      </c>
      <c r="AI96" t="s">
        <v>61</v>
      </c>
      <c r="AS96" s="4">
        <f t="shared" si="3"/>
        <v>-52.21</v>
      </c>
      <c r="AT96" s="4">
        <f>-52.21+16.22*AL96*100-1.25*(100*AL96)^2+0.05*(100*AL96)^3-0.000712*(100*AL96)^4</f>
        <v>-52.21</v>
      </c>
      <c r="AU96">
        <f t="shared" si="4"/>
        <v>-0.16400000000000001</v>
      </c>
    </row>
    <row r="97" spans="1:59" x14ac:dyDescent="0.3">
      <c r="A97">
        <v>103</v>
      </c>
      <c r="B97">
        <v>223</v>
      </c>
      <c r="C97">
        <v>0.1852</v>
      </c>
      <c r="D97">
        <v>152.4</v>
      </c>
      <c r="E97">
        <v>147.90367126464801</v>
      </c>
      <c r="F97">
        <v>2</v>
      </c>
      <c r="G97" t="s">
        <v>56</v>
      </c>
      <c r="H97">
        <v>10</v>
      </c>
      <c r="I97">
        <v>19</v>
      </c>
      <c r="J97">
        <v>35.084384290166703</v>
      </c>
      <c r="K97">
        <v>-120.536031009167</v>
      </c>
      <c r="L97">
        <v>85.3</v>
      </c>
      <c r="M97" t="s">
        <v>446</v>
      </c>
      <c r="N97" t="s">
        <v>447</v>
      </c>
      <c r="O97" s="1" t="s">
        <v>448</v>
      </c>
      <c r="Q97">
        <v>16.3</v>
      </c>
      <c r="AF97" t="s">
        <v>449</v>
      </c>
      <c r="AG97" t="s">
        <v>61</v>
      </c>
      <c r="AH97" t="s">
        <v>449</v>
      </c>
      <c r="AI97" t="s">
        <v>61</v>
      </c>
      <c r="AS97" s="4">
        <f t="shared" si="3"/>
        <v>-52.21</v>
      </c>
      <c r="AT97" s="4">
        <f>-52.21+16.22*AL97*100-1.25*(100*AL97)^2+0.05*(100*AL97)^3-0.000712*(100*AL97)^4</f>
        <v>-52.21</v>
      </c>
      <c r="AU97">
        <f t="shared" si="4"/>
        <v>-0.16400000000000001</v>
      </c>
    </row>
    <row r="98" spans="1:59" s="5" customFormat="1" x14ac:dyDescent="0.3">
      <c r="A98" s="5">
        <v>104</v>
      </c>
      <c r="B98" s="5">
        <v>224</v>
      </c>
      <c r="C98" s="5">
        <v>0.37040000000000001</v>
      </c>
      <c r="D98" s="5">
        <v>256.39999999999998</v>
      </c>
      <c r="E98" s="5">
        <v>257.20153808593801</v>
      </c>
      <c r="F98" s="5">
        <v>2</v>
      </c>
      <c r="G98" s="5" t="s">
        <v>56</v>
      </c>
      <c r="H98" s="5">
        <v>10</v>
      </c>
      <c r="I98" s="5">
        <v>19</v>
      </c>
      <c r="J98" s="5">
        <v>35.084415960500003</v>
      </c>
      <c r="K98" s="5">
        <v>-120.535984347667</v>
      </c>
      <c r="L98" s="5">
        <v>87</v>
      </c>
      <c r="M98" s="5" t="s">
        <v>450</v>
      </c>
      <c r="N98" s="5" t="s">
        <v>451</v>
      </c>
      <c r="O98" s="6" t="s">
        <v>452</v>
      </c>
      <c r="Q98" s="5">
        <v>12.8</v>
      </c>
      <c r="AF98" s="5" t="s">
        <v>453</v>
      </c>
      <c r="AG98" s="5" t="s">
        <v>61</v>
      </c>
      <c r="AH98" s="5" t="s">
        <v>453</v>
      </c>
      <c r="AI98" s="5" t="s">
        <v>61</v>
      </c>
      <c r="AK98" s="7"/>
      <c r="AL98" s="8"/>
      <c r="AN98" s="7"/>
      <c r="AO98" s="8"/>
      <c r="AP98" s="6"/>
      <c r="AS98" s="9">
        <f t="shared" ref="AS98:AS129" si="5">-52.21+16.22*AK98*100-1.25*(100*AK98)^2+0.05*(100*AK98)^3-0.000712*(100*AK98)^4</f>
        <v>-52.21</v>
      </c>
      <c r="AT98" s="9">
        <f>-52.21+16.22*AL98*100-1.25*(100*AL98)^2+0.05*(100*AL98)^3-0.000712*(100*AL98)^4</f>
        <v>-52.21</v>
      </c>
      <c r="AU98">
        <f t="shared" si="4"/>
        <v>-0.16400000000000001</v>
      </c>
      <c r="AV98" s="7"/>
      <c r="AX98" s="7"/>
      <c r="AZ98" s="7"/>
      <c r="BE98" s="7"/>
    </row>
    <row r="99" spans="1:59" x14ac:dyDescent="0.3">
      <c r="A99">
        <v>106</v>
      </c>
      <c r="B99">
        <v>227</v>
      </c>
      <c r="C99">
        <v>0.37040000000000001</v>
      </c>
      <c r="D99">
        <v>208.6</v>
      </c>
      <c r="E99">
        <v>100.55002593994099</v>
      </c>
      <c r="F99">
        <v>2</v>
      </c>
      <c r="G99" t="s">
        <v>56</v>
      </c>
      <c r="H99">
        <v>10</v>
      </c>
      <c r="I99">
        <v>19</v>
      </c>
      <c r="J99">
        <v>35.084820341333298</v>
      </c>
      <c r="K99">
        <v>-120.535760356167</v>
      </c>
      <c r="L99">
        <v>83.8</v>
      </c>
      <c r="M99" t="s">
        <v>454</v>
      </c>
      <c r="N99" t="s">
        <v>455</v>
      </c>
      <c r="O99" s="1" t="s">
        <v>456</v>
      </c>
      <c r="Q99">
        <v>16.600000000000001</v>
      </c>
      <c r="AF99" t="s">
        <v>457</v>
      </c>
      <c r="AG99" t="s">
        <v>61</v>
      </c>
      <c r="AH99" t="s">
        <v>457</v>
      </c>
      <c r="AI99" t="s">
        <v>61</v>
      </c>
      <c r="AS99" s="4">
        <f t="shared" si="5"/>
        <v>-52.21</v>
      </c>
      <c r="AT99" s="4">
        <f>-52.21+16.22*AL99*100-1.25*(100*AL99)^2+0.05*(100*AL99)^3-0.000712*(100*AL99)^4</f>
        <v>-52.21</v>
      </c>
      <c r="AU99">
        <f t="shared" si="4"/>
        <v>-0.16400000000000001</v>
      </c>
      <c r="AV99" s="2" t="e">
        <f>AVERAGE(AK99:AK106)</f>
        <v>#DIV/0!</v>
      </c>
      <c r="AW99" s="2" t="e">
        <f>AVERAGE(AL99:AL106)</f>
        <v>#DIV/0!</v>
      </c>
      <c r="AX99" s="2" t="e">
        <f>AVERAGE(AN99:AN106)</f>
        <v>#DIV/0!</v>
      </c>
      <c r="AY99" s="2" t="e">
        <f>AVERAGE(AO99:AO106)</f>
        <v>#DIV/0!</v>
      </c>
      <c r="AZ99" s="10">
        <f>AVERAGE(AS99:AS106)</f>
        <v>-52.209999999999994</v>
      </c>
      <c r="BA99" s="10">
        <f>AVERAGE(AT99:AT106)</f>
        <v>-52.209999999999994</v>
      </c>
      <c r="BB99" s="10">
        <f>SUM(AS99:AS106)</f>
        <v>-417.67999999999995</v>
      </c>
      <c r="BC99" s="10">
        <f>SUM(AT99:AT106)</f>
        <v>-417.67999999999995</v>
      </c>
      <c r="BD99" s="10">
        <f>SUM(AU99:AU106)</f>
        <v>-1.3120000000000001</v>
      </c>
      <c r="BE99" s="10">
        <f>SUM(AS99:AS106)/(PI()*12.5^2)</f>
        <v>-0.85089070887197227</v>
      </c>
      <c r="BF99" s="10">
        <f>SUM(AT99:AT106)/(PI()*12.5^2)</f>
        <v>-0.85089070887197227</v>
      </c>
      <c r="BG99" s="10">
        <f>SUM(AU99:AU106)/(PI()*12.5^2)</f>
        <v>-2.6727844523080535E-3</v>
      </c>
    </row>
    <row r="100" spans="1:59" x14ac:dyDescent="0.3">
      <c r="A100">
        <v>107</v>
      </c>
      <c r="B100">
        <v>228</v>
      </c>
      <c r="C100">
        <v>0.1852</v>
      </c>
      <c r="D100">
        <v>127.3</v>
      </c>
      <c r="E100">
        <v>211.49073791503901</v>
      </c>
      <c r="F100">
        <v>2</v>
      </c>
      <c r="G100" t="s">
        <v>56</v>
      </c>
      <c r="H100">
        <v>10</v>
      </c>
      <c r="I100">
        <v>19</v>
      </c>
      <c r="J100">
        <v>35.084852119499999</v>
      </c>
      <c r="K100">
        <v>-120.5357137255</v>
      </c>
      <c r="L100">
        <v>83.8</v>
      </c>
      <c r="M100" t="s">
        <v>458</v>
      </c>
      <c r="N100" t="s">
        <v>459</v>
      </c>
      <c r="O100" s="1" t="s">
        <v>460</v>
      </c>
      <c r="Q100">
        <v>15.8</v>
      </c>
      <c r="AF100" t="s">
        <v>461</v>
      </c>
      <c r="AG100" t="s">
        <v>61</v>
      </c>
      <c r="AH100" t="s">
        <v>461</v>
      </c>
      <c r="AI100" t="s">
        <v>61</v>
      </c>
      <c r="AS100" s="4">
        <f t="shared" si="5"/>
        <v>-52.21</v>
      </c>
      <c r="AT100" s="4">
        <f>-52.21+16.22*AL100*100-1.25*(100*AL100)^2+0.05*(100*AL100)^3-0.000712*(100*AL100)^4</f>
        <v>-52.21</v>
      </c>
      <c r="AU100">
        <f t="shared" si="4"/>
        <v>-0.16400000000000001</v>
      </c>
    </row>
    <row r="101" spans="1:59" x14ac:dyDescent="0.3">
      <c r="A101">
        <v>108</v>
      </c>
      <c r="B101">
        <v>230</v>
      </c>
      <c r="C101">
        <v>0</v>
      </c>
      <c r="D101">
        <v>280.8</v>
      </c>
      <c r="E101">
        <v>247.69419860839801</v>
      </c>
      <c r="F101">
        <v>2</v>
      </c>
      <c r="G101" t="s">
        <v>56</v>
      </c>
      <c r="H101">
        <v>10</v>
      </c>
      <c r="I101">
        <v>19</v>
      </c>
      <c r="J101">
        <v>35.084771905666699</v>
      </c>
      <c r="K101">
        <v>-120.53569967200001</v>
      </c>
      <c r="L101">
        <v>86.8</v>
      </c>
      <c r="M101" t="s">
        <v>462</v>
      </c>
      <c r="N101" t="s">
        <v>463</v>
      </c>
      <c r="O101" s="1" t="s">
        <v>464</v>
      </c>
      <c r="Q101">
        <v>14.4</v>
      </c>
      <c r="AF101" t="s">
        <v>465</v>
      </c>
      <c r="AG101" t="s">
        <v>61</v>
      </c>
      <c r="AH101" t="s">
        <v>465</v>
      </c>
      <c r="AI101" t="s">
        <v>61</v>
      </c>
      <c r="AS101" s="4">
        <f t="shared" si="5"/>
        <v>-52.21</v>
      </c>
      <c r="AT101" s="4">
        <f>-52.21+16.22*AL101*100-1.25*(100*AL101)^2+0.05*(100*AL101)^3-0.000712*(100*AL101)^4</f>
        <v>-52.21</v>
      </c>
      <c r="AU101">
        <f t="shared" si="4"/>
        <v>-0.16400000000000001</v>
      </c>
    </row>
    <row r="102" spans="1:59" x14ac:dyDescent="0.3">
      <c r="A102">
        <v>109</v>
      </c>
      <c r="B102">
        <v>231</v>
      </c>
      <c r="C102">
        <v>0.37040000000000001</v>
      </c>
      <c r="D102">
        <v>130.5</v>
      </c>
      <c r="E102">
        <v>179.49562072753901</v>
      </c>
      <c r="F102">
        <v>2</v>
      </c>
      <c r="G102" t="s">
        <v>56</v>
      </c>
      <c r="H102">
        <v>10</v>
      </c>
      <c r="I102">
        <v>19</v>
      </c>
      <c r="J102">
        <v>35.084806809</v>
      </c>
      <c r="K102">
        <v>-120.53566590200001</v>
      </c>
      <c r="L102">
        <v>85</v>
      </c>
      <c r="M102" t="s">
        <v>466</v>
      </c>
      <c r="N102" t="s">
        <v>467</v>
      </c>
      <c r="O102" s="1" t="s">
        <v>468</v>
      </c>
      <c r="AF102" t="s">
        <v>469</v>
      </c>
      <c r="AG102" t="s">
        <v>61</v>
      </c>
      <c r="AH102" t="s">
        <v>469</v>
      </c>
      <c r="AI102" t="s">
        <v>61</v>
      </c>
      <c r="AS102" s="4">
        <f t="shared" si="5"/>
        <v>-52.21</v>
      </c>
      <c r="AT102" s="4">
        <f>-52.21+16.22*AL102*100-1.25*(100*AL102)^2+0.05*(100*AL102)^3-0.000712*(100*AL102)^4</f>
        <v>-52.21</v>
      </c>
      <c r="AU102">
        <f t="shared" si="4"/>
        <v>-0.16400000000000001</v>
      </c>
    </row>
    <row r="103" spans="1:59" x14ac:dyDescent="0.3">
      <c r="A103">
        <v>110</v>
      </c>
      <c r="B103">
        <v>233</v>
      </c>
      <c r="C103">
        <v>0.1852</v>
      </c>
      <c r="D103">
        <v>161.19999999999999</v>
      </c>
      <c r="E103">
        <v>207.72985839843801</v>
      </c>
      <c r="F103">
        <v>2</v>
      </c>
      <c r="G103" t="s">
        <v>56</v>
      </c>
      <c r="H103">
        <v>10</v>
      </c>
      <c r="I103">
        <v>19</v>
      </c>
      <c r="J103">
        <v>35.084735559833298</v>
      </c>
      <c r="K103">
        <v>-120.535655297167</v>
      </c>
      <c r="L103">
        <v>84.4</v>
      </c>
      <c r="M103" t="s">
        <v>470</v>
      </c>
      <c r="N103" t="s">
        <v>471</v>
      </c>
      <c r="O103" s="1" t="s">
        <v>472</v>
      </c>
      <c r="Q103">
        <v>16.600000000000001</v>
      </c>
      <c r="AF103" t="s">
        <v>473</v>
      </c>
      <c r="AG103" t="s">
        <v>61</v>
      </c>
      <c r="AH103" t="s">
        <v>473</v>
      </c>
      <c r="AI103" t="s">
        <v>61</v>
      </c>
      <c r="AS103" s="4">
        <f t="shared" si="5"/>
        <v>-52.21</v>
      </c>
      <c r="AT103" s="4">
        <f>-52.21+16.22*AL103*100-1.25*(100*AL103)^2+0.05*(100*AL103)^3-0.000712*(100*AL103)^4</f>
        <v>-52.21</v>
      </c>
      <c r="AU103">
        <f t="shared" si="4"/>
        <v>-0.16400000000000001</v>
      </c>
    </row>
    <row r="104" spans="1:59" x14ac:dyDescent="0.3">
      <c r="A104">
        <v>111</v>
      </c>
      <c r="B104">
        <v>234</v>
      </c>
      <c r="C104">
        <v>0</v>
      </c>
      <c r="D104">
        <v>92</v>
      </c>
      <c r="E104">
        <v>185.718826293945</v>
      </c>
      <c r="F104">
        <v>2</v>
      </c>
      <c r="G104" t="s">
        <v>56</v>
      </c>
      <c r="H104">
        <v>10</v>
      </c>
      <c r="I104">
        <v>19</v>
      </c>
      <c r="J104">
        <v>35.0847705241667</v>
      </c>
      <c r="K104">
        <v>-120.535614075333</v>
      </c>
      <c r="L104">
        <v>85.7</v>
      </c>
      <c r="M104" t="s">
        <v>474</v>
      </c>
      <c r="N104" t="s">
        <v>475</v>
      </c>
      <c r="O104" s="1" t="s">
        <v>476</v>
      </c>
      <c r="AF104" t="s">
        <v>477</v>
      </c>
      <c r="AG104" t="s">
        <v>61</v>
      </c>
      <c r="AH104" t="s">
        <v>477</v>
      </c>
      <c r="AI104" t="s">
        <v>61</v>
      </c>
      <c r="AS104" s="4">
        <f t="shared" si="5"/>
        <v>-52.21</v>
      </c>
      <c r="AT104" s="4">
        <f>-52.21+16.22*AL104*100-1.25*(100*AL104)^2+0.05*(100*AL104)^3-0.000712*(100*AL104)^4</f>
        <v>-52.21</v>
      </c>
      <c r="AU104">
        <f t="shared" si="4"/>
        <v>-0.16400000000000001</v>
      </c>
    </row>
    <row r="105" spans="1:59" x14ac:dyDescent="0.3">
      <c r="A105">
        <v>112</v>
      </c>
      <c r="B105">
        <v>236</v>
      </c>
      <c r="C105">
        <v>0.74080000000000001</v>
      </c>
      <c r="D105">
        <v>156.19999999999999</v>
      </c>
      <c r="E105">
        <v>249.460372924805</v>
      </c>
      <c r="F105">
        <v>2</v>
      </c>
      <c r="G105" t="s">
        <v>56</v>
      </c>
      <c r="H105">
        <v>10</v>
      </c>
      <c r="I105">
        <v>19</v>
      </c>
      <c r="J105">
        <v>35.084724444333297</v>
      </c>
      <c r="K105">
        <v>-120.53557200416699</v>
      </c>
      <c r="L105">
        <v>86.9</v>
      </c>
      <c r="M105" t="s">
        <v>478</v>
      </c>
      <c r="N105" t="s">
        <v>479</v>
      </c>
      <c r="O105" s="1" t="s">
        <v>480</v>
      </c>
      <c r="P105">
        <v>2.2000000000000002</v>
      </c>
      <c r="Q105">
        <v>13.4</v>
      </c>
      <c r="AF105" t="s">
        <v>481</v>
      </c>
      <c r="AG105" t="s">
        <v>61</v>
      </c>
      <c r="AH105" t="s">
        <v>481</v>
      </c>
      <c r="AI105" t="s">
        <v>61</v>
      </c>
      <c r="AS105" s="4">
        <f t="shared" si="5"/>
        <v>-52.21</v>
      </c>
      <c r="AT105" s="4">
        <f>-52.21+16.22*AL105*100-1.25*(100*AL105)^2+0.05*(100*AL105)^3-0.000712*(100*AL105)^4</f>
        <v>-52.21</v>
      </c>
      <c r="AU105">
        <f t="shared" si="4"/>
        <v>-0.16400000000000001</v>
      </c>
    </row>
    <row r="106" spans="1:59" s="5" customFormat="1" x14ac:dyDescent="0.3">
      <c r="A106" s="5">
        <v>113</v>
      </c>
      <c r="B106" s="5">
        <v>238</v>
      </c>
      <c r="C106" s="5">
        <v>0.55559999999999998</v>
      </c>
      <c r="D106" s="5">
        <v>129.1</v>
      </c>
      <c r="E106" s="5">
        <v>114.552352905273</v>
      </c>
      <c r="F106" s="5">
        <v>2</v>
      </c>
      <c r="G106" s="5" t="s">
        <v>56</v>
      </c>
      <c r="H106" s="5">
        <v>10</v>
      </c>
      <c r="I106" s="5">
        <v>19</v>
      </c>
      <c r="J106" s="5">
        <v>35.0848972565</v>
      </c>
      <c r="K106" s="5">
        <v>-120.535549882667</v>
      </c>
      <c r="L106" s="5">
        <v>82.9</v>
      </c>
      <c r="M106" s="5" t="s">
        <v>482</v>
      </c>
      <c r="N106" s="5" t="s">
        <v>483</v>
      </c>
      <c r="O106" s="6" t="s">
        <v>484</v>
      </c>
      <c r="Q106" s="5">
        <v>18.100000000000001</v>
      </c>
      <c r="AF106" s="5" t="s">
        <v>485</v>
      </c>
      <c r="AG106" s="5" t="s">
        <v>61</v>
      </c>
      <c r="AH106" s="5" t="s">
        <v>485</v>
      </c>
      <c r="AI106" s="5" t="s">
        <v>61</v>
      </c>
      <c r="AK106" s="7"/>
      <c r="AL106" s="8"/>
      <c r="AN106" s="7"/>
      <c r="AO106" s="8"/>
      <c r="AP106" s="6"/>
      <c r="AS106" s="9">
        <f t="shared" si="5"/>
        <v>-52.21</v>
      </c>
      <c r="AT106" s="9">
        <f>-52.21+16.22*AL106*100-1.25*(100*AL106)^2+0.05*(100*AL106)^3-0.000712*(100*AL106)^4</f>
        <v>-52.21</v>
      </c>
      <c r="AU106">
        <f t="shared" si="4"/>
        <v>-0.16400000000000001</v>
      </c>
      <c r="AV106" s="7"/>
      <c r="AX106" s="7"/>
      <c r="AZ106" s="7"/>
      <c r="BE106" s="7"/>
    </row>
    <row r="107" spans="1:59" x14ac:dyDescent="0.3">
      <c r="A107">
        <v>115</v>
      </c>
      <c r="B107">
        <v>39</v>
      </c>
      <c r="C107">
        <v>0.1852</v>
      </c>
      <c r="D107">
        <v>258.89999999999998</v>
      </c>
      <c r="E107">
        <v>255.63293457031199</v>
      </c>
      <c r="F107">
        <v>2</v>
      </c>
      <c r="G107" t="s">
        <v>56</v>
      </c>
      <c r="H107">
        <v>10</v>
      </c>
      <c r="I107">
        <v>19</v>
      </c>
      <c r="J107">
        <v>35.085225217999998</v>
      </c>
      <c r="K107">
        <v>-120.5352927215</v>
      </c>
      <c r="L107">
        <v>82.1</v>
      </c>
      <c r="M107" t="s">
        <v>486</v>
      </c>
      <c r="N107" t="s">
        <v>487</v>
      </c>
      <c r="O107" s="1" t="s">
        <v>488</v>
      </c>
      <c r="P107">
        <v>2.4</v>
      </c>
      <c r="Q107">
        <v>17.3</v>
      </c>
      <c r="AF107" t="s">
        <v>489</v>
      </c>
      <c r="AG107" t="s">
        <v>61</v>
      </c>
      <c r="AH107" t="s">
        <v>489</v>
      </c>
      <c r="AI107" t="s">
        <v>61</v>
      </c>
      <c r="AJ107">
        <v>17.3</v>
      </c>
      <c r="AK107" s="2">
        <v>0.17299999999999999</v>
      </c>
      <c r="AL107" s="3">
        <v>0.21107674800000001</v>
      </c>
      <c r="AM107">
        <v>2.4</v>
      </c>
      <c r="AN107" s="2">
        <v>2.4</v>
      </c>
      <c r="AO107" s="3">
        <v>2.7193744180000001</v>
      </c>
      <c r="AP107" s="1" t="s">
        <v>488</v>
      </c>
      <c r="AQ107">
        <v>2.6719982624053999</v>
      </c>
      <c r="AR107">
        <v>4.9827874851668801</v>
      </c>
      <c r="AS107" s="4">
        <f t="shared" si="5"/>
        <v>49.392303080799962</v>
      </c>
      <c r="AT107" s="4">
        <f>-52.21+16.22*AL107*100-1.25*(100*AL107)^2+0.05*(100*AL107)^3-0.000712*(100*AL107)^4</f>
        <v>62.115989827284608</v>
      </c>
      <c r="AU107">
        <f t="shared" si="4"/>
        <v>53.860739205206855</v>
      </c>
      <c r="AV107" s="2">
        <f>AVERAGE(AK107:AK120)</f>
        <v>0.17585714285714288</v>
      </c>
      <c r="AW107" s="2">
        <f>AVERAGE(AL107:AL120)</f>
        <v>0.16842861057142858</v>
      </c>
      <c r="AX107" s="2">
        <f>AVERAGE(AN107:AN120)</f>
        <v>2.6928571428571431</v>
      </c>
      <c r="AY107">
        <f>AVERAGE(AO107:AO120)</f>
        <v>3.2886094706428572</v>
      </c>
      <c r="AZ107" s="10">
        <f>AVERAGE(AS107:AS120)</f>
        <v>50.437517005371411</v>
      </c>
      <c r="BA107" s="10">
        <f>AVERAGE(AT107:AT120)</f>
        <v>48.680050789955608</v>
      </c>
      <c r="BB107" s="10">
        <f>SUM(AS107:AS120)</f>
        <v>706.12523807519972</v>
      </c>
      <c r="BC107" s="10">
        <f>SUM(AT107:AT120)</f>
        <v>681.52071105937853</v>
      </c>
      <c r="BD107" s="10">
        <f>SUM(AU107:AU120)</f>
        <v>841.00538626246487</v>
      </c>
      <c r="BE107" s="10">
        <f>SUM(AS107:AS120)/(PI()*12.5^2)</f>
        <v>1.438506522644601</v>
      </c>
      <c r="BF107" s="10">
        <f>SUM(AT107:AT120)/(PI()*12.5^2)</f>
        <v>1.388382591802924</v>
      </c>
      <c r="BG107" s="10">
        <f>SUM(AU107:AU120)/(PI()*12.5^2)</f>
        <v>1.7132821041994246</v>
      </c>
    </row>
    <row r="108" spans="1:59" x14ac:dyDescent="0.3">
      <c r="A108">
        <v>116</v>
      </c>
      <c r="B108">
        <v>40</v>
      </c>
      <c r="C108">
        <v>0.55559999999999998</v>
      </c>
      <c r="D108">
        <v>180.8</v>
      </c>
      <c r="E108">
        <v>193.40679931640599</v>
      </c>
      <c r="F108">
        <v>2</v>
      </c>
      <c r="G108" t="s">
        <v>56</v>
      </c>
      <c r="H108">
        <v>10</v>
      </c>
      <c r="I108">
        <v>19</v>
      </c>
      <c r="J108">
        <v>35.085252466833303</v>
      </c>
      <c r="K108">
        <v>-120.53525107166701</v>
      </c>
      <c r="L108">
        <v>83.3</v>
      </c>
      <c r="M108" t="s">
        <v>490</v>
      </c>
      <c r="N108" t="s">
        <v>491</v>
      </c>
      <c r="O108" s="1" t="s">
        <v>492</v>
      </c>
      <c r="P108">
        <v>2.6</v>
      </c>
      <c r="Q108">
        <v>17.600000000000001</v>
      </c>
      <c r="AF108" t="s">
        <v>493</v>
      </c>
      <c r="AG108" t="s">
        <v>61</v>
      </c>
      <c r="AH108" t="s">
        <v>493</v>
      </c>
      <c r="AI108" t="s">
        <v>61</v>
      </c>
      <c r="AJ108">
        <v>17.600000000000001</v>
      </c>
      <c r="AK108" s="2">
        <v>0.17599999999999999</v>
      </c>
      <c r="AL108" s="3">
        <v>0.20755700899999999</v>
      </c>
      <c r="AM108">
        <v>2.6</v>
      </c>
      <c r="AN108" s="2">
        <v>2.6</v>
      </c>
      <c r="AO108" s="3">
        <v>2.8923935890000001</v>
      </c>
      <c r="AP108" s="1" t="s">
        <v>492</v>
      </c>
      <c r="AQ108">
        <v>2.9920017719268799</v>
      </c>
      <c r="AR108">
        <v>5.1708829458264098</v>
      </c>
      <c r="AS108" s="4">
        <f t="shared" si="5"/>
        <v>50.333504588799954</v>
      </c>
      <c r="AT108" s="4">
        <f>-52.21+16.22*AL108*100-1.25*(100*AL108)^2+0.05*(100*AL108)^3-0.000712*(100*AL108)^4</f>
        <v>60.886881020340724</v>
      </c>
      <c r="AU108">
        <f t="shared" si="4"/>
        <v>60.328496336634743</v>
      </c>
    </row>
    <row r="109" spans="1:59" x14ac:dyDescent="0.3">
      <c r="A109">
        <v>117</v>
      </c>
      <c r="B109">
        <v>41</v>
      </c>
      <c r="C109">
        <v>0</v>
      </c>
      <c r="D109">
        <v>150.5</v>
      </c>
      <c r="E109">
        <v>159.45956420898401</v>
      </c>
      <c r="F109">
        <v>2</v>
      </c>
      <c r="G109" t="s">
        <v>56</v>
      </c>
      <c r="H109">
        <v>10</v>
      </c>
      <c r="I109">
        <v>19</v>
      </c>
      <c r="J109">
        <v>35.085154392500002</v>
      </c>
      <c r="K109">
        <v>-120.535289468833</v>
      </c>
      <c r="L109">
        <v>82.4</v>
      </c>
      <c r="M109" t="s">
        <v>494</v>
      </c>
      <c r="N109" t="s">
        <v>495</v>
      </c>
      <c r="O109" s="1" t="s">
        <v>496</v>
      </c>
      <c r="P109">
        <v>2.8</v>
      </c>
      <c r="Q109">
        <v>17.399999999999999</v>
      </c>
      <c r="AF109" t="s">
        <v>497</v>
      </c>
      <c r="AG109" t="s">
        <v>61</v>
      </c>
      <c r="AH109" t="s">
        <v>497</v>
      </c>
      <c r="AI109" t="s">
        <v>61</v>
      </c>
      <c r="AJ109">
        <v>17.399999999999999</v>
      </c>
      <c r="AK109" s="2">
        <v>0.17399999999999999</v>
      </c>
      <c r="AL109" s="3">
        <v>0.12611410200000001</v>
      </c>
      <c r="AM109">
        <v>2.8</v>
      </c>
      <c r="AN109" s="2">
        <v>2.8</v>
      </c>
      <c r="AO109" s="3">
        <v>3.3740212920000001</v>
      </c>
      <c r="AP109" s="1" t="s">
        <v>496</v>
      </c>
      <c r="AQ109">
        <v>3.2190029621124299</v>
      </c>
      <c r="AR109">
        <v>4.3701937223683203</v>
      </c>
      <c r="AS109" s="4">
        <f t="shared" si="5"/>
        <v>49.704704268800015</v>
      </c>
      <c r="AT109" s="4">
        <f>-52.21+16.22*AL109*100-1.25*(100*AL109)^2+0.05*(100*AL109)^3-0.000712*(100*AL109)^4</f>
        <v>35.81739180244881</v>
      </c>
      <c r="AU109">
        <f t="shared" si="4"/>
        <v>58.986286552693073</v>
      </c>
    </row>
    <row r="110" spans="1:59" x14ac:dyDescent="0.3">
      <c r="A110">
        <v>118</v>
      </c>
      <c r="B110">
        <v>42</v>
      </c>
      <c r="C110">
        <v>0.74080000000000001</v>
      </c>
      <c r="D110">
        <v>102.5</v>
      </c>
      <c r="E110">
        <v>167.19100952148401</v>
      </c>
      <c r="F110">
        <v>2</v>
      </c>
      <c r="G110" t="s">
        <v>56</v>
      </c>
      <c r="H110">
        <v>10</v>
      </c>
      <c r="I110">
        <v>19</v>
      </c>
      <c r="J110">
        <v>35.085177602666697</v>
      </c>
      <c r="K110">
        <v>-120.53525011000001</v>
      </c>
      <c r="L110">
        <v>84.1</v>
      </c>
      <c r="M110" t="s">
        <v>498</v>
      </c>
      <c r="N110" t="s">
        <v>499</v>
      </c>
      <c r="O110" s="1" t="s">
        <v>500</v>
      </c>
      <c r="P110">
        <v>2.6</v>
      </c>
      <c r="Q110">
        <v>18.2</v>
      </c>
      <c r="AF110" t="s">
        <v>501</v>
      </c>
      <c r="AG110" t="s">
        <v>61</v>
      </c>
      <c r="AH110" t="s">
        <v>501</v>
      </c>
      <c r="AI110" t="s">
        <v>61</v>
      </c>
      <c r="AJ110">
        <v>18.2</v>
      </c>
      <c r="AK110" s="2">
        <v>0.182</v>
      </c>
      <c r="AL110" s="3">
        <v>0.16095937399999999</v>
      </c>
      <c r="AM110">
        <v>2.6</v>
      </c>
      <c r="AN110" s="2">
        <v>2.6</v>
      </c>
      <c r="AO110" s="3">
        <v>2.8964502809999999</v>
      </c>
      <c r="AP110" s="1" t="s">
        <v>500</v>
      </c>
      <c r="AQ110">
        <v>3.0429992675781201</v>
      </c>
      <c r="AR110">
        <v>4.5486418414672301</v>
      </c>
      <c r="AS110" s="4">
        <f t="shared" si="5"/>
        <v>52.251804428799957</v>
      </c>
      <c r="AT110" s="4">
        <f>-52.21+16.22*AL110*100-1.25*(100*AL110)^2+0.05*(100*AL110)^3-0.000712*(100*AL110)^4</f>
        <v>45.732346537919689</v>
      </c>
      <c r="AU110">
        <f t="shared" si="4"/>
        <v>57.024113429994856</v>
      </c>
    </row>
    <row r="111" spans="1:59" x14ac:dyDescent="0.3">
      <c r="A111">
        <v>119</v>
      </c>
      <c r="B111">
        <v>46</v>
      </c>
      <c r="C111">
        <v>0.37040000000000001</v>
      </c>
      <c r="D111">
        <v>53</v>
      </c>
      <c r="E111">
        <v>287.39749145507801</v>
      </c>
      <c r="F111">
        <v>2</v>
      </c>
      <c r="G111" t="s">
        <v>56</v>
      </c>
      <c r="H111">
        <v>10</v>
      </c>
      <c r="I111">
        <v>19</v>
      </c>
      <c r="J111">
        <v>35.085108452500002</v>
      </c>
      <c r="K111">
        <v>-120.535242002167</v>
      </c>
      <c r="L111">
        <v>84.2</v>
      </c>
      <c r="M111" t="s">
        <v>502</v>
      </c>
      <c r="N111" t="s">
        <v>503</v>
      </c>
      <c r="O111" s="1" t="s">
        <v>504</v>
      </c>
      <c r="P111">
        <v>2.9</v>
      </c>
      <c r="Q111">
        <v>17.5</v>
      </c>
      <c r="AF111" t="s">
        <v>505</v>
      </c>
      <c r="AG111" t="s">
        <v>61</v>
      </c>
      <c r="AH111" t="s">
        <v>506</v>
      </c>
      <c r="AI111" t="s">
        <v>61</v>
      </c>
      <c r="AJ111">
        <v>17.5</v>
      </c>
      <c r="AK111" s="2">
        <v>0.17499999999999999</v>
      </c>
      <c r="AL111" s="3">
        <v>0.12782001100000001</v>
      </c>
      <c r="AM111">
        <v>2.9</v>
      </c>
      <c r="AN111" s="2">
        <v>2.9</v>
      </c>
      <c r="AO111" s="3">
        <v>3.8288323879999999</v>
      </c>
      <c r="AP111" s="1" t="s">
        <v>504</v>
      </c>
      <c r="AQ111">
        <v>3.3079969882965101</v>
      </c>
      <c r="AR111">
        <v>4.2220082456447496</v>
      </c>
      <c r="AS111" s="4">
        <f t="shared" si="5"/>
        <v>50.018437499999962</v>
      </c>
      <c r="AT111" s="4">
        <f>-52.21+16.22*AL111*100-1.25*(100*AL111)^2+0.05*(100*AL111)^3-0.000712*(100*AL111)^4</f>
        <v>36.300169265165465</v>
      </c>
      <c r="AU111">
        <f t="shared" si="4"/>
        <v>59.656077987230276</v>
      </c>
    </row>
    <row r="112" spans="1:59" x14ac:dyDescent="0.3">
      <c r="A112">
        <v>120</v>
      </c>
      <c r="B112">
        <v>47</v>
      </c>
      <c r="C112">
        <v>0</v>
      </c>
      <c r="D112">
        <v>90.6</v>
      </c>
      <c r="E112">
        <v>73.195701599121094</v>
      </c>
      <c r="F112">
        <v>2</v>
      </c>
      <c r="G112" t="s">
        <v>56</v>
      </c>
      <c r="H112">
        <v>10</v>
      </c>
      <c r="I112">
        <v>19</v>
      </c>
      <c r="J112">
        <v>35.085151419166699</v>
      </c>
      <c r="K112">
        <v>-120.5351985365</v>
      </c>
      <c r="L112">
        <v>85.4</v>
      </c>
      <c r="M112" t="s">
        <v>507</v>
      </c>
      <c r="N112" t="s">
        <v>508</v>
      </c>
      <c r="O112" s="1" t="s">
        <v>509</v>
      </c>
      <c r="P112">
        <v>3</v>
      </c>
      <c r="Q112">
        <v>16.899999999999999</v>
      </c>
      <c r="AF112" t="s">
        <v>510</v>
      </c>
      <c r="AG112" t="s">
        <v>61</v>
      </c>
      <c r="AH112" t="s">
        <v>510</v>
      </c>
      <c r="AI112" t="s">
        <v>61</v>
      </c>
      <c r="AJ112">
        <v>16.899999999999999</v>
      </c>
      <c r="AK112" s="2">
        <v>0.16900000000000001</v>
      </c>
      <c r="AL112" s="3">
        <v>0.14233816099999999</v>
      </c>
      <c r="AM112">
        <v>3</v>
      </c>
      <c r="AN112" s="2">
        <v>3</v>
      </c>
      <c r="AO112" s="3">
        <v>3.5534207819999999</v>
      </c>
      <c r="AP112" s="1" t="s">
        <v>509</v>
      </c>
      <c r="AQ112">
        <v>3.4420008659362802</v>
      </c>
      <c r="AR112">
        <v>4.9184907593659304</v>
      </c>
      <c r="AS112" s="4">
        <f t="shared" si="5"/>
        <v>48.155922664799981</v>
      </c>
      <c r="AT112" s="4">
        <f>-52.21+16.22*AL112*100-1.25*(100*AL112)^2+0.05*(100*AL112)^3-0.000712*(100*AL112)^4</f>
        <v>40.374503724225676</v>
      </c>
      <c r="AU112">
        <f t="shared" si="4"/>
        <v>66.939394598907228</v>
      </c>
    </row>
    <row r="113" spans="1:59" x14ac:dyDescent="0.3">
      <c r="A113">
        <v>121</v>
      </c>
      <c r="B113">
        <v>48</v>
      </c>
      <c r="C113">
        <v>0</v>
      </c>
      <c r="D113">
        <v>199.4</v>
      </c>
      <c r="E113">
        <v>54.737281799316399</v>
      </c>
      <c r="F113">
        <v>2</v>
      </c>
      <c r="G113" t="s">
        <v>56</v>
      </c>
      <c r="H113">
        <v>10</v>
      </c>
      <c r="I113">
        <v>19</v>
      </c>
      <c r="J113">
        <v>35.085171376166699</v>
      </c>
      <c r="K113">
        <v>-120.53515961366701</v>
      </c>
      <c r="L113">
        <v>85.9</v>
      </c>
      <c r="M113" t="s">
        <v>511</v>
      </c>
      <c r="N113" t="s">
        <v>512</v>
      </c>
      <c r="O113" s="1" t="s">
        <v>513</v>
      </c>
      <c r="AF113" t="s">
        <v>514</v>
      </c>
      <c r="AG113" t="s">
        <v>61</v>
      </c>
      <c r="AH113" t="s">
        <v>515</v>
      </c>
      <c r="AI113" t="s">
        <v>61</v>
      </c>
      <c r="AK113" s="2">
        <v>0.17499999999999999</v>
      </c>
      <c r="AL113" s="3">
        <v>0.157632882</v>
      </c>
      <c r="AN113" s="2">
        <v>2.6</v>
      </c>
      <c r="AO113" s="3">
        <v>3.0890758040000001</v>
      </c>
      <c r="AP113" s="1" t="s">
        <v>513</v>
      </c>
      <c r="AQ113">
        <v>3.1120026111602801</v>
      </c>
      <c r="AR113">
        <v>4.7203487194131499</v>
      </c>
      <c r="AS113" s="4">
        <f t="shared" si="5"/>
        <v>50.018437499999962</v>
      </c>
      <c r="AT113" s="4">
        <f>-52.21+16.22*AL113*100-1.25*(100*AL113)^2+0.05*(100*AL113)^3-0.000712*(100*AL113)^4</f>
        <v>44.752078628567489</v>
      </c>
      <c r="AU113">
        <f t="shared" si="4"/>
        <v>59.39863480451281</v>
      </c>
    </row>
    <row r="114" spans="1:59" x14ac:dyDescent="0.3">
      <c r="A114">
        <v>122</v>
      </c>
      <c r="B114">
        <v>49</v>
      </c>
      <c r="C114">
        <v>0</v>
      </c>
      <c r="D114">
        <v>138.19999999999999</v>
      </c>
      <c r="E114">
        <v>160.29689025878901</v>
      </c>
      <c r="F114">
        <v>2</v>
      </c>
      <c r="G114" t="s">
        <v>56</v>
      </c>
      <c r="H114">
        <v>10</v>
      </c>
      <c r="I114">
        <v>19</v>
      </c>
      <c r="J114">
        <v>35.085194725000001</v>
      </c>
      <c r="K114">
        <v>-120.535111792167</v>
      </c>
      <c r="L114">
        <v>85.7</v>
      </c>
      <c r="M114" t="s">
        <v>516</v>
      </c>
      <c r="N114" t="s">
        <v>517</v>
      </c>
      <c r="O114" s="1" t="s">
        <v>518</v>
      </c>
      <c r="AF114" t="s">
        <v>519</v>
      </c>
      <c r="AG114" t="s">
        <v>61</v>
      </c>
      <c r="AH114" t="s">
        <v>519</v>
      </c>
      <c r="AI114" t="s">
        <v>61</v>
      </c>
      <c r="AK114" s="2">
        <v>0.16200000000000001</v>
      </c>
      <c r="AL114" s="3">
        <v>0.135236474</v>
      </c>
      <c r="AN114" s="2">
        <v>3</v>
      </c>
      <c r="AO114" s="3">
        <v>3.5896673200000002</v>
      </c>
      <c r="AP114" s="1" t="s">
        <v>518</v>
      </c>
      <c r="AQ114">
        <v>3.3130006790161102</v>
      </c>
      <c r="AR114">
        <v>4.7203487194131499</v>
      </c>
      <c r="AS114" s="4">
        <f t="shared" si="5"/>
        <v>46.041575436799974</v>
      </c>
      <c r="AT114" s="4">
        <f>-52.21+16.22*AL114*100-1.25*(100*AL114)^2+0.05*(100*AL114)^3-0.000712*(100*AL114)^4</f>
        <v>38.383344698960649</v>
      </c>
      <c r="AU114">
        <f t="shared" si="4"/>
        <v>63.10499082424316</v>
      </c>
    </row>
    <row r="115" spans="1:59" x14ac:dyDescent="0.3">
      <c r="A115">
        <v>123</v>
      </c>
      <c r="B115">
        <v>52</v>
      </c>
      <c r="C115">
        <v>0.37040000000000001</v>
      </c>
      <c r="D115">
        <v>225.8</v>
      </c>
      <c r="E115">
        <v>182.34182739257801</v>
      </c>
      <c r="F115">
        <v>2</v>
      </c>
      <c r="G115" t="s">
        <v>56</v>
      </c>
      <c r="H115">
        <v>10</v>
      </c>
      <c r="I115">
        <v>19</v>
      </c>
      <c r="J115">
        <v>35.085103365000002</v>
      </c>
      <c r="K115">
        <v>-120.535146846667</v>
      </c>
      <c r="L115">
        <v>85.6</v>
      </c>
      <c r="M115" t="s">
        <v>520</v>
      </c>
      <c r="N115" t="s">
        <v>521</v>
      </c>
      <c r="O115" s="1" t="s">
        <v>522</v>
      </c>
      <c r="AF115" t="s">
        <v>523</v>
      </c>
      <c r="AG115" t="s">
        <v>61</v>
      </c>
      <c r="AH115" t="s">
        <v>523</v>
      </c>
      <c r="AI115" t="s">
        <v>61</v>
      </c>
      <c r="AK115" s="2">
        <v>0.20799999999999999</v>
      </c>
      <c r="AL115" s="3">
        <v>0.237689238</v>
      </c>
      <c r="AN115" s="2">
        <v>2.8</v>
      </c>
      <c r="AO115" s="3">
        <v>3.544127703</v>
      </c>
      <c r="AP115" s="1" t="s">
        <v>522</v>
      </c>
      <c r="AQ115">
        <v>3.6249988079071001</v>
      </c>
      <c r="AR115">
        <v>5.3523723484583101</v>
      </c>
      <c r="AS115" s="4">
        <f t="shared" si="5"/>
        <v>61.04131284479999</v>
      </c>
      <c r="AT115" s="4">
        <f>-52.21+16.22*AL115*100-1.25*(100*AL115)^2+0.05*(100*AL115)^3-0.000712*(100*AL115)^4</f>
        <v>71.288979061769112</v>
      </c>
      <c r="AU115">
        <f t="shared" si="4"/>
        <v>73.571034850655494</v>
      </c>
    </row>
    <row r="116" spans="1:59" x14ac:dyDescent="0.3">
      <c r="A116">
        <v>124</v>
      </c>
      <c r="B116">
        <v>53</v>
      </c>
      <c r="C116">
        <v>0.1852</v>
      </c>
      <c r="D116">
        <v>160</v>
      </c>
      <c r="E116">
        <v>271.96981811523398</v>
      </c>
      <c r="F116">
        <v>2</v>
      </c>
      <c r="G116" t="s">
        <v>56</v>
      </c>
      <c r="H116">
        <v>10</v>
      </c>
      <c r="I116">
        <v>19</v>
      </c>
      <c r="J116">
        <v>35.085133389333301</v>
      </c>
      <c r="K116">
        <v>-120.535105425167</v>
      </c>
      <c r="L116">
        <v>85.2</v>
      </c>
      <c r="M116" t="s">
        <v>524</v>
      </c>
      <c r="N116" t="s">
        <v>525</v>
      </c>
      <c r="O116" s="1" t="s">
        <v>526</v>
      </c>
      <c r="AF116" t="s">
        <v>527</v>
      </c>
      <c r="AG116" t="s">
        <v>61</v>
      </c>
      <c r="AH116" t="s">
        <v>527</v>
      </c>
      <c r="AI116" t="s">
        <v>61</v>
      </c>
      <c r="AK116" s="2">
        <v>0.14699999999999999</v>
      </c>
      <c r="AL116" s="3">
        <v>0.124948877</v>
      </c>
      <c r="AN116" s="2">
        <v>2.6</v>
      </c>
      <c r="AO116" s="3">
        <v>3.3355510229999998</v>
      </c>
      <c r="AP116" s="1" t="s">
        <v>526</v>
      </c>
      <c r="AQ116">
        <v>2.8930013179779102</v>
      </c>
      <c r="AR116">
        <v>4.3701937223683203</v>
      </c>
      <c r="AS116" s="4">
        <f t="shared" si="5"/>
        <v>41.690889672800026</v>
      </c>
      <c r="AT116" s="4">
        <f>-52.21+16.22*AL116*100-1.25*(100*AL116)^2+0.05*(100*AL116)^3-0.000712*(100*AL116)^4</f>
        <v>35.486391893811984</v>
      </c>
      <c r="AU116">
        <f t="shared" si="4"/>
        <v>53.267744267647721</v>
      </c>
    </row>
    <row r="117" spans="1:59" x14ac:dyDescent="0.3">
      <c r="A117">
        <v>125</v>
      </c>
      <c r="B117">
        <v>54</v>
      </c>
      <c r="C117">
        <v>0.37040000000000001</v>
      </c>
      <c r="D117">
        <v>33.9</v>
      </c>
      <c r="E117">
        <v>347.35064697265602</v>
      </c>
      <c r="F117">
        <v>2</v>
      </c>
      <c r="G117" t="s">
        <v>56</v>
      </c>
      <c r="H117">
        <v>10</v>
      </c>
      <c r="I117">
        <v>19</v>
      </c>
      <c r="J117">
        <v>35.085159684499999</v>
      </c>
      <c r="K117">
        <v>-120.5350641805</v>
      </c>
      <c r="L117">
        <v>85.6</v>
      </c>
      <c r="M117" t="s">
        <v>528</v>
      </c>
      <c r="N117" t="s">
        <v>529</v>
      </c>
      <c r="O117" s="1" t="s">
        <v>530</v>
      </c>
      <c r="AF117" t="s">
        <v>531</v>
      </c>
      <c r="AG117" t="s">
        <v>61</v>
      </c>
      <c r="AH117" t="s">
        <v>531</v>
      </c>
      <c r="AI117" t="s">
        <v>61</v>
      </c>
      <c r="AK117" s="2">
        <v>0.16500000000000001</v>
      </c>
      <c r="AL117" s="3">
        <v>0.13788716300000001</v>
      </c>
      <c r="AN117" s="2">
        <v>2.5</v>
      </c>
      <c r="AO117" s="3">
        <v>3.5627179149999999</v>
      </c>
      <c r="AP117" s="1" t="s">
        <v>530</v>
      </c>
      <c r="AQ117">
        <v>2.9839994907379199</v>
      </c>
      <c r="AR117">
        <v>4.82043791490117</v>
      </c>
      <c r="AS117" s="4">
        <f t="shared" si="5"/>
        <v>46.94026550000001</v>
      </c>
      <c r="AT117" s="4">
        <f>-52.21+16.22*AL117*100-1.25*(100*AL117)^2+0.05*(100*AL117)^3-0.000712*(100*AL117)^4</f>
        <v>39.125608086136495</v>
      </c>
      <c r="AU117">
        <f t="shared" si="4"/>
        <v>57.832753164563229</v>
      </c>
    </row>
    <row r="118" spans="1:59" x14ac:dyDescent="0.3">
      <c r="A118">
        <v>126</v>
      </c>
      <c r="B118">
        <v>43</v>
      </c>
      <c r="C118">
        <v>0.55559999999999998</v>
      </c>
      <c r="D118">
        <v>4.4000000000000004</v>
      </c>
      <c r="E118">
        <v>316.93026733398398</v>
      </c>
      <c r="F118">
        <v>2</v>
      </c>
      <c r="G118" t="s">
        <v>56</v>
      </c>
      <c r="H118">
        <v>10</v>
      </c>
      <c r="I118">
        <v>19</v>
      </c>
      <c r="J118">
        <v>35.085210845166699</v>
      </c>
      <c r="K118">
        <v>-120.535199451167</v>
      </c>
      <c r="L118">
        <v>83.5</v>
      </c>
      <c r="M118" t="s">
        <v>532</v>
      </c>
      <c r="N118" t="s">
        <v>533</v>
      </c>
      <c r="O118" s="1" t="s">
        <v>534</v>
      </c>
      <c r="P118">
        <v>2.6</v>
      </c>
      <c r="Q118">
        <v>17</v>
      </c>
      <c r="AF118" t="s">
        <v>535</v>
      </c>
      <c r="AG118" t="s">
        <v>61</v>
      </c>
      <c r="AH118" t="s">
        <v>536</v>
      </c>
      <c r="AI118" t="s">
        <v>114</v>
      </c>
      <c r="AJ118">
        <v>17</v>
      </c>
      <c r="AK118" s="2">
        <v>0.17</v>
      </c>
      <c r="AL118" s="3">
        <v>0.20922882400000001</v>
      </c>
      <c r="AM118">
        <v>2.6</v>
      </c>
      <c r="AN118" s="2">
        <v>2.6</v>
      </c>
      <c r="AO118" s="3">
        <v>2.9597315790000001</v>
      </c>
      <c r="AP118" s="1" t="s">
        <v>534</v>
      </c>
      <c r="AQ118">
        <v>2.82500195503235</v>
      </c>
      <c r="AR118">
        <v>4.5135166683820502</v>
      </c>
      <c r="AS118" s="4">
        <f t="shared" si="5"/>
        <v>48.463048000000008</v>
      </c>
      <c r="AT118" s="4">
        <f>-52.21+16.22*AL118*100-1.25*(100*AL118)^2+0.05*(100*AL118)^3-0.000712*(100*AL118)^4</f>
        <v>61.470127195063071</v>
      </c>
      <c r="AU118">
        <f t="shared" si="4"/>
        <v>53.116392630049241</v>
      </c>
    </row>
    <row r="119" spans="1:59" x14ac:dyDescent="0.3">
      <c r="A119">
        <v>127</v>
      </c>
      <c r="B119">
        <v>44</v>
      </c>
      <c r="C119">
        <v>0.1852</v>
      </c>
      <c r="D119">
        <v>167.7</v>
      </c>
      <c r="E119">
        <v>230.60504150390599</v>
      </c>
      <c r="F119">
        <v>2</v>
      </c>
      <c r="G119" t="s">
        <v>56</v>
      </c>
      <c r="H119">
        <v>10</v>
      </c>
      <c r="I119">
        <v>19</v>
      </c>
      <c r="J119">
        <v>35.085238586000003</v>
      </c>
      <c r="K119">
        <v>-120.5351611525</v>
      </c>
      <c r="L119">
        <v>85.2</v>
      </c>
      <c r="M119" t="s">
        <v>537</v>
      </c>
      <c r="N119" t="s">
        <v>538</v>
      </c>
      <c r="O119" s="1" t="s">
        <v>539</v>
      </c>
      <c r="P119">
        <v>2.5</v>
      </c>
      <c r="Q119">
        <v>17.600000000000001</v>
      </c>
      <c r="AF119" t="s">
        <v>540</v>
      </c>
      <c r="AG119" t="s">
        <v>61</v>
      </c>
      <c r="AH119" t="s">
        <v>541</v>
      </c>
      <c r="AI119" t="s">
        <v>114</v>
      </c>
      <c r="AJ119">
        <v>17.600000000000001</v>
      </c>
      <c r="AK119" s="2">
        <v>0.17599999999999999</v>
      </c>
      <c r="AL119" s="3">
        <v>0.17694766000000001</v>
      </c>
      <c r="AM119">
        <v>2.5</v>
      </c>
      <c r="AN119" s="2">
        <v>2.5</v>
      </c>
      <c r="AO119" s="3">
        <v>2.7215342520000001</v>
      </c>
      <c r="AP119" s="1" t="s">
        <v>539</v>
      </c>
      <c r="AQ119">
        <v>2.8750019073486301</v>
      </c>
      <c r="AR119">
        <v>4.78730736481719</v>
      </c>
      <c r="AS119" s="4">
        <f t="shared" si="5"/>
        <v>50.333504588799954</v>
      </c>
      <c r="AT119" s="4">
        <f>-52.21+16.22*AL119*100-1.25*(100*AL119)^2+0.05*(100*AL119)^3-0.000712*(100*AL119)^4</f>
        <v>50.633312145675717</v>
      </c>
      <c r="AU119">
        <f t="shared" si="4"/>
        <v>55.776953791250904</v>
      </c>
    </row>
    <row r="120" spans="1:59" s="5" customFormat="1" x14ac:dyDescent="0.3">
      <c r="A120" s="5">
        <v>128</v>
      </c>
      <c r="B120" s="5">
        <v>51</v>
      </c>
      <c r="C120" s="5">
        <v>0.1852</v>
      </c>
      <c r="D120" s="5">
        <v>243.8</v>
      </c>
      <c r="E120" s="5">
        <v>334.33731079101602</v>
      </c>
      <c r="F120" s="5">
        <v>2</v>
      </c>
      <c r="G120" s="5" t="s">
        <v>56</v>
      </c>
      <c r="H120" s="5">
        <v>10</v>
      </c>
      <c r="I120" s="5">
        <v>19</v>
      </c>
      <c r="J120" s="5">
        <v>35.085067558666701</v>
      </c>
      <c r="K120" s="5">
        <v>-120.535191685833</v>
      </c>
      <c r="L120" s="5">
        <v>86.3</v>
      </c>
      <c r="M120" s="5" t="s">
        <v>542</v>
      </c>
      <c r="N120" s="5" t="s">
        <v>543</v>
      </c>
      <c r="O120" s="6" t="s">
        <v>544</v>
      </c>
      <c r="AF120" s="5" t="s">
        <v>545</v>
      </c>
      <c r="AG120" s="5" t="s">
        <v>61</v>
      </c>
      <c r="AH120" s="5" t="s">
        <v>546</v>
      </c>
      <c r="AI120" s="5" t="s">
        <v>114</v>
      </c>
      <c r="AK120" s="7">
        <v>0.21</v>
      </c>
      <c r="AL120" s="8">
        <v>0.20256402500000001</v>
      </c>
      <c r="AN120" s="7">
        <v>2.8</v>
      </c>
      <c r="AO120" s="8">
        <v>3.9736342429999998</v>
      </c>
      <c r="AP120" s="6" t="s">
        <v>544</v>
      </c>
      <c r="AQ120">
        <v>3.4699976444244398</v>
      </c>
      <c r="AR120">
        <v>5.0146267067967703</v>
      </c>
      <c r="AS120" s="9">
        <f t="shared" si="5"/>
        <v>61.739527999999979</v>
      </c>
      <c r="AT120" s="9">
        <f>-52.21+16.22*AL120*100-1.25*(100*AL120)^2+0.05*(100*AL120)^3-0.000712*(100*AL120)^4</f>
        <v>59.153587172009082</v>
      </c>
      <c r="AU120">
        <f t="shared" si="4"/>
        <v>68.141773818875294</v>
      </c>
      <c r="AV120" s="7"/>
      <c r="AX120" s="7"/>
      <c r="AZ120" s="7"/>
      <c r="BE120" s="7"/>
    </row>
    <row r="121" spans="1:59" x14ac:dyDescent="0.3">
      <c r="A121">
        <v>130</v>
      </c>
      <c r="B121">
        <v>56</v>
      </c>
      <c r="C121">
        <v>0.1852</v>
      </c>
      <c r="D121">
        <v>178.6</v>
      </c>
      <c r="E121">
        <v>278.37930297851602</v>
      </c>
      <c r="F121">
        <v>2</v>
      </c>
      <c r="G121" t="s">
        <v>56</v>
      </c>
      <c r="H121">
        <v>10</v>
      </c>
      <c r="I121">
        <v>19</v>
      </c>
      <c r="J121">
        <v>35.085561037833301</v>
      </c>
      <c r="K121">
        <v>-120.53482663516699</v>
      </c>
      <c r="L121">
        <v>86</v>
      </c>
      <c r="M121" t="s">
        <v>547</v>
      </c>
      <c r="N121" t="s">
        <v>548</v>
      </c>
      <c r="O121" s="1" t="s">
        <v>549</v>
      </c>
      <c r="AF121" t="s">
        <v>550</v>
      </c>
      <c r="AG121" t="s">
        <v>61</v>
      </c>
      <c r="AH121" t="s">
        <v>550</v>
      </c>
      <c r="AI121" t="s">
        <v>61</v>
      </c>
      <c r="AK121" s="2">
        <v>0.17499999999999999</v>
      </c>
      <c r="AL121" s="3">
        <v>0.16220781500000001</v>
      </c>
      <c r="AN121" s="2">
        <v>3.1</v>
      </c>
      <c r="AO121" s="3">
        <v>3.795485497</v>
      </c>
      <c r="AP121" s="1" t="s">
        <v>549</v>
      </c>
      <c r="AQ121">
        <v>3.5039987564086901</v>
      </c>
      <c r="AR121">
        <v>5.0777062519298104</v>
      </c>
      <c r="AS121" s="4">
        <f t="shared" si="5"/>
        <v>50.018437499999962</v>
      </c>
      <c r="AT121" s="4">
        <f>-52.21+16.22*AL121*100-1.25*(100*AL121)^2+0.05*(100*AL121)^3-0.000712*(100*AL121)^4</f>
        <v>46.103480886886558</v>
      </c>
      <c r="AU121">
        <f t="shared" si="4"/>
        <v>69.246843983189791</v>
      </c>
      <c r="AV121" s="2">
        <f>AVERAGE(AK121:AK135)</f>
        <v>0.17540000000000003</v>
      </c>
      <c r="AW121">
        <f>AVERAGE(AL121:AL135)</f>
        <v>0.14999403120000002</v>
      </c>
      <c r="AX121" s="2">
        <f>AVERAGE(AN121:AN135)</f>
        <v>2.813333333333333</v>
      </c>
      <c r="AY121">
        <f>AVERAGE(AO121:AO135)</f>
        <v>3.5234724362000001</v>
      </c>
      <c r="AZ121" s="10">
        <f>AVERAGE(AS121:AS135)</f>
        <v>50.251283272479981</v>
      </c>
      <c r="BA121" s="4">
        <f>AVERAGE(AT121:AT135)</f>
        <v>42.650947433008668</v>
      </c>
      <c r="BB121" s="10">
        <f>SUM(AS121:AS135)</f>
        <v>753.76924908719968</v>
      </c>
      <c r="BC121" s="4">
        <f>SUM(AT121:AT135)</f>
        <v>639.76421149512998</v>
      </c>
      <c r="BD121" s="4">
        <f>SUM(AU121:AU135)</f>
        <v>971.73403058948429</v>
      </c>
      <c r="BE121" s="10">
        <f>SUM(AS121:AS135)/(PI()*12.5^2)</f>
        <v>1.5355661048690425</v>
      </c>
      <c r="BF121" s="10">
        <f>SUM(AT121:AT135)/(PI()*12.5^2)</f>
        <v>1.3033169494110555</v>
      </c>
      <c r="BG121" s="10">
        <f>SUM(AU121:AU135)/(PI()*12.5^2)</f>
        <v>1.9796003115382714</v>
      </c>
    </row>
    <row r="122" spans="1:59" x14ac:dyDescent="0.3">
      <c r="A122">
        <v>131</v>
      </c>
      <c r="B122">
        <v>58</v>
      </c>
      <c r="C122">
        <v>0</v>
      </c>
      <c r="D122">
        <v>53.3</v>
      </c>
      <c r="E122">
        <v>4.5596551895141602</v>
      </c>
      <c r="F122">
        <v>2</v>
      </c>
      <c r="G122" t="s">
        <v>56</v>
      </c>
      <c r="H122">
        <v>10</v>
      </c>
      <c r="I122">
        <v>19</v>
      </c>
      <c r="J122">
        <v>35.085489885333303</v>
      </c>
      <c r="K122">
        <v>-120.534824032</v>
      </c>
      <c r="L122">
        <v>87.6</v>
      </c>
      <c r="M122" t="s">
        <v>551</v>
      </c>
      <c r="N122" t="s">
        <v>552</v>
      </c>
      <c r="O122" s="1" t="s">
        <v>553</v>
      </c>
      <c r="AF122" t="s">
        <v>554</v>
      </c>
      <c r="AG122" t="s">
        <v>61</v>
      </c>
      <c r="AH122" t="s">
        <v>554</v>
      </c>
      <c r="AI122" t="s">
        <v>61</v>
      </c>
      <c r="AK122" s="2">
        <v>0.16800000000000001</v>
      </c>
      <c r="AL122" s="3">
        <v>8.0929608E-2</v>
      </c>
      <c r="AN122" s="2">
        <v>2.5</v>
      </c>
      <c r="AO122" s="3">
        <v>3.3889620300000001</v>
      </c>
      <c r="AP122" s="1" t="s">
        <v>553</v>
      </c>
      <c r="AQ122">
        <v>3.0549964904785201</v>
      </c>
      <c r="AR122">
        <v>4.9827874851668801</v>
      </c>
      <c r="AS122" s="4">
        <f t="shared" si="5"/>
        <v>47.850094668800004</v>
      </c>
      <c r="AT122" s="4">
        <f>-52.21+16.22*AL122*100-1.25*(100*AL122)^2+0.05*(100*AL122)^3-0.000712*(100*AL122)^4</f>
        <v>20.636353660780834</v>
      </c>
      <c r="AU122">
        <f t="shared" si="4"/>
        <v>60.155879983292635</v>
      </c>
    </row>
    <row r="123" spans="1:59" x14ac:dyDescent="0.3">
      <c r="A123">
        <v>132</v>
      </c>
      <c r="B123">
        <v>59</v>
      </c>
      <c r="C123">
        <v>0.1852</v>
      </c>
      <c r="D123">
        <v>152.5</v>
      </c>
      <c r="E123">
        <v>206.04634094238301</v>
      </c>
      <c r="F123">
        <v>2</v>
      </c>
      <c r="G123" t="s">
        <v>56</v>
      </c>
      <c r="H123">
        <v>10</v>
      </c>
      <c r="I123">
        <v>19</v>
      </c>
      <c r="J123">
        <v>35.085520508499997</v>
      </c>
      <c r="K123">
        <v>-120.534780302833</v>
      </c>
      <c r="L123">
        <v>87.9</v>
      </c>
      <c r="M123" t="s">
        <v>555</v>
      </c>
      <c r="N123" t="s">
        <v>556</v>
      </c>
      <c r="O123" s="1" t="s">
        <v>557</v>
      </c>
      <c r="AF123" t="s">
        <v>558</v>
      </c>
      <c r="AG123" t="s">
        <v>61</v>
      </c>
      <c r="AH123" t="s">
        <v>558</v>
      </c>
      <c r="AI123" t="s">
        <v>61</v>
      </c>
      <c r="AK123" s="2">
        <v>0.186</v>
      </c>
      <c r="AL123" s="3">
        <v>0.18871880899999999</v>
      </c>
      <c r="AN123" s="2">
        <v>2.8</v>
      </c>
      <c r="AO123" s="3">
        <v>3.6581168169999998</v>
      </c>
      <c r="AP123" s="1" t="s">
        <v>557</v>
      </c>
      <c r="AQ123">
        <v>3.3220012187957799</v>
      </c>
      <c r="AR123">
        <v>5.2624101035542399</v>
      </c>
      <c r="AS123" s="4">
        <f t="shared" si="5"/>
        <v>53.556715020800041</v>
      </c>
      <c r="AT123" s="4">
        <f>-52.21+16.22*AL123*100-1.25*(100*AL123)^2+0.05*(100*AL123)^3-0.000712*(100*AL123)^4</f>
        <v>54.455055375230671</v>
      </c>
      <c r="AU123">
        <f t="shared" si="4"/>
        <v>66.924456317263491</v>
      </c>
    </row>
    <row r="124" spans="1:59" x14ac:dyDescent="0.3">
      <c r="A124">
        <v>133</v>
      </c>
      <c r="B124">
        <v>60</v>
      </c>
      <c r="C124">
        <v>0</v>
      </c>
      <c r="D124">
        <v>132</v>
      </c>
      <c r="E124">
        <v>138.185134887695</v>
      </c>
      <c r="F124">
        <v>2</v>
      </c>
      <c r="G124" t="s">
        <v>56</v>
      </c>
      <c r="H124">
        <v>10</v>
      </c>
      <c r="I124">
        <v>19</v>
      </c>
      <c r="J124">
        <v>35.085553312666697</v>
      </c>
      <c r="K124">
        <v>-120.534739087167</v>
      </c>
      <c r="L124">
        <v>87.9</v>
      </c>
      <c r="M124" t="s">
        <v>559</v>
      </c>
      <c r="N124" t="s">
        <v>560</v>
      </c>
      <c r="O124" s="1" t="s">
        <v>561</v>
      </c>
      <c r="AF124" t="s">
        <v>562</v>
      </c>
      <c r="AG124" t="s">
        <v>61</v>
      </c>
      <c r="AH124" t="s">
        <v>562</v>
      </c>
      <c r="AI124" t="s">
        <v>61</v>
      </c>
      <c r="AK124" s="2">
        <v>0.16400000000000001</v>
      </c>
      <c r="AL124" s="3">
        <v>0.15699811999999999</v>
      </c>
      <c r="AN124" s="2">
        <v>2.8</v>
      </c>
      <c r="AO124" s="3">
        <v>3.3862762449999999</v>
      </c>
      <c r="AP124" s="1" t="s">
        <v>561</v>
      </c>
      <c r="AQ124">
        <v>3.2829973697662398</v>
      </c>
      <c r="AR124">
        <v>4.9184907593659304</v>
      </c>
      <c r="AS124" s="4">
        <f t="shared" si="5"/>
        <v>46.639489100799949</v>
      </c>
      <c r="AT124" s="4">
        <f>-52.21+16.22*AL124*100-1.25*(100*AL124)^2+0.05*(100*AL124)^3-0.000712*(100*AL124)^4</f>
        <v>44.56638874622724</v>
      </c>
      <c r="AU124">
        <f t="shared" si="4"/>
        <v>63.870508675322895</v>
      </c>
    </row>
    <row r="125" spans="1:59" x14ac:dyDescent="0.3">
      <c r="A125">
        <v>134</v>
      </c>
      <c r="B125">
        <v>61</v>
      </c>
      <c r="C125">
        <v>0</v>
      </c>
      <c r="D125">
        <v>149.9</v>
      </c>
      <c r="E125">
        <v>256.13000488281199</v>
      </c>
      <c r="F125">
        <v>2</v>
      </c>
      <c r="G125" t="s">
        <v>56</v>
      </c>
      <c r="H125">
        <v>10</v>
      </c>
      <c r="I125">
        <v>19</v>
      </c>
      <c r="J125">
        <v>35.0855831583333</v>
      </c>
      <c r="K125">
        <v>-120.534697071</v>
      </c>
      <c r="L125">
        <v>87.4</v>
      </c>
      <c r="M125" t="s">
        <v>563</v>
      </c>
      <c r="N125" t="s">
        <v>564</v>
      </c>
      <c r="O125" s="1" t="s">
        <v>565</v>
      </c>
      <c r="AF125" t="s">
        <v>566</v>
      </c>
      <c r="AG125" t="s">
        <v>61</v>
      </c>
      <c r="AH125" t="s">
        <v>566</v>
      </c>
      <c r="AI125" t="s">
        <v>61</v>
      </c>
      <c r="AK125" s="2">
        <v>0.20200000000000001</v>
      </c>
      <c r="AL125" s="3">
        <v>0.21765984799999999</v>
      </c>
      <c r="AN125" s="2">
        <v>2.6</v>
      </c>
      <c r="AO125" s="3">
        <v>3.3796963689999999</v>
      </c>
      <c r="AP125" s="1" t="s">
        <v>565</v>
      </c>
      <c r="AQ125">
        <v>3.27200126647949</v>
      </c>
      <c r="AR125">
        <v>5.5279063915413698</v>
      </c>
      <c r="AS125" s="4">
        <f t="shared" si="5"/>
        <v>58.958791180799949</v>
      </c>
      <c r="AT125" s="4">
        <f>-52.21+16.22*AL125*100-1.25*(100*AL125)^2+0.05*(100*AL125)^3-0.000712*(100*AL125)^4</f>
        <v>64.421156416656515</v>
      </c>
      <c r="AU125">
        <f t="shared" si="4"/>
        <v>67.765007881183934</v>
      </c>
    </row>
    <row r="126" spans="1:59" x14ac:dyDescent="0.3">
      <c r="A126">
        <v>135</v>
      </c>
      <c r="B126">
        <v>63</v>
      </c>
      <c r="C126">
        <v>0.1852</v>
      </c>
      <c r="D126">
        <v>85.8</v>
      </c>
      <c r="E126">
        <v>351.46762084960898</v>
      </c>
      <c r="F126">
        <v>2</v>
      </c>
      <c r="G126" t="s">
        <v>56</v>
      </c>
      <c r="H126">
        <v>10</v>
      </c>
      <c r="I126">
        <v>19</v>
      </c>
      <c r="J126">
        <v>35.085454617333298</v>
      </c>
      <c r="K126">
        <v>-120.5347767685</v>
      </c>
      <c r="L126">
        <v>88.1</v>
      </c>
      <c r="M126" t="s">
        <v>567</v>
      </c>
      <c r="N126" t="s">
        <v>568</v>
      </c>
      <c r="O126" s="1" t="s">
        <v>569</v>
      </c>
      <c r="AF126" t="s">
        <v>570</v>
      </c>
      <c r="AG126" t="s">
        <v>61</v>
      </c>
      <c r="AH126" t="s">
        <v>570</v>
      </c>
      <c r="AI126" t="s">
        <v>61</v>
      </c>
      <c r="AK126" s="2">
        <v>0.16500000000000001</v>
      </c>
      <c r="AL126" s="3">
        <v>0.138430672</v>
      </c>
      <c r="AN126" s="2">
        <v>2.7</v>
      </c>
      <c r="AO126" s="3">
        <v>3.1178298</v>
      </c>
      <c r="AP126" s="1" t="s">
        <v>569</v>
      </c>
      <c r="AQ126">
        <v>3.08700323104858</v>
      </c>
      <c r="AR126">
        <v>4.7203487194131499</v>
      </c>
      <c r="AS126" s="4">
        <f t="shared" si="5"/>
        <v>46.94026550000001</v>
      </c>
      <c r="AT126" s="4">
        <f>-52.21+16.22*AL126*100-1.25*(100*AL126)^2+0.05*(100*AL126)^3-0.000712*(100*AL126)^4</f>
        <v>39.277870588934562</v>
      </c>
      <c r="AU126">
        <f t="shared" si="4"/>
        <v>58.95386716385805</v>
      </c>
    </row>
    <row r="127" spans="1:59" x14ac:dyDescent="0.3">
      <c r="A127">
        <v>136</v>
      </c>
      <c r="B127">
        <v>68</v>
      </c>
      <c r="C127">
        <v>0</v>
      </c>
      <c r="D127">
        <v>114.1</v>
      </c>
      <c r="E127">
        <v>171.96421813964801</v>
      </c>
      <c r="F127">
        <v>2</v>
      </c>
      <c r="G127" t="s">
        <v>56</v>
      </c>
      <c r="H127">
        <v>10</v>
      </c>
      <c r="I127">
        <v>19</v>
      </c>
      <c r="J127">
        <v>35.085421123333298</v>
      </c>
      <c r="K127">
        <v>-120.534723061167</v>
      </c>
      <c r="L127">
        <v>87.9</v>
      </c>
      <c r="M127" t="s">
        <v>571</v>
      </c>
      <c r="N127" t="s">
        <v>572</v>
      </c>
      <c r="O127" s="1" t="s">
        <v>573</v>
      </c>
      <c r="AF127" t="s">
        <v>574</v>
      </c>
      <c r="AG127" t="s">
        <v>61</v>
      </c>
      <c r="AH127" t="s">
        <v>574</v>
      </c>
      <c r="AI127" t="s">
        <v>61</v>
      </c>
      <c r="AK127" s="2">
        <v>0.185</v>
      </c>
      <c r="AL127" s="3">
        <v>0.16113066500000001</v>
      </c>
      <c r="AN127" s="2">
        <v>2.9</v>
      </c>
      <c r="AO127" s="3">
        <v>3.752139568</v>
      </c>
      <c r="AP127" s="1" t="s">
        <v>573</v>
      </c>
      <c r="AQ127">
        <v>3.5899975299835201</v>
      </c>
      <c r="AR127">
        <v>4.82043791490117</v>
      </c>
      <c r="AS127" s="4">
        <f t="shared" si="5"/>
        <v>53.228585500000008</v>
      </c>
      <c r="AT127" s="4">
        <f>-52.21+16.22*AL127*100-1.25*(100*AL127)^2+0.05*(100*AL127)^3-0.000712*(100*AL127)^4</f>
        <v>45.783160276616968</v>
      </c>
      <c r="AU127">
        <f t="shared" si="4"/>
        <v>69.26634326866079</v>
      </c>
    </row>
    <row r="128" spans="1:59" x14ac:dyDescent="0.3">
      <c r="A128">
        <v>137</v>
      </c>
      <c r="B128">
        <v>65</v>
      </c>
      <c r="C128">
        <v>0.1852</v>
      </c>
      <c r="D128">
        <v>35.1</v>
      </c>
      <c r="E128">
        <v>246.46636962890599</v>
      </c>
      <c r="F128">
        <v>2</v>
      </c>
      <c r="G128" t="s">
        <v>56</v>
      </c>
      <c r="H128">
        <v>10</v>
      </c>
      <c r="I128">
        <v>19</v>
      </c>
      <c r="J128">
        <v>35.085514666166702</v>
      </c>
      <c r="K128">
        <v>-120.53468234716701</v>
      </c>
      <c r="L128">
        <v>87.6</v>
      </c>
      <c r="M128" t="s">
        <v>575</v>
      </c>
      <c r="N128" t="s">
        <v>576</v>
      </c>
      <c r="O128" s="1" t="s">
        <v>577</v>
      </c>
      <c r="S128" t="s">
        <v>578</v>
      </c>
      <c r="AF128" t="s">
        <v>579</v>
      </c>
      <c r="AG128" t="s">
        <v>61</v>
      </c>
      <c r="AH128" t="s">
        <v>580</v>
      </c>
      <c r="AI128" t="s">
        <v>61</v>
      </c>
      <c r="AK128" s="2">
        <v>0.16</v>
      </c>
      <c r="AL128" s="3">
        <v>0.120981401</v>
      </c>
      <c r="AN128" s="2">
        <v>3.2</v>
      </c>
      <c r="AO128" s="3">
        <v>3.7459495070000002</v>
      </c>
      <c r="AP128" s="1" t="s">
        <v>577</v>
      </c>
      <c r="AQ128">
        <v>3.50999784469604</v>
      </c>
      <c r="AR128">
        <v>5.1400117269569199</v>
      </c>
      <c r="AS128" s="4">
        <f t="shared" si="5"/>
        <v>45.448367999999988</v>
      </c>
      <c r="AT128" s="4">
        <f>-52.21+16.22*AL128*100-1.25*(100*AL128)^2+0.05*(100*AL128)^3-0.000712*(100*AL128)^4</f>
        <v>34.349829616806417</v>
      </c>
      <c r="AU128">
        <f t="shared" si="4"/>
        <v>69.786922498662392</v>
      </c>
    </row>
    <row r="129" spans="1:47" x14ac:dyDescent="0.3">
      <c r="A129">
        <v>138</v>
      </c>
      <c r="B129">
        <v>66</v>
      </c>
      <c r="C129">
        <v>0</v>
      </c>
      <c r="D129">
        <v>269.3</v>
      </c>
      <c r="E129">
        <v>243.40838623046901</v>
      </c>
      <c r="F129">
        <v>2</v>
      </c>
      <c r="G129" t="s">
        <v>56</v>
      </c>
      <c r="H129">
        <v>10</v>
      </c>
      <c r="I129">
        <v>19</v>
      </c>
      <c r="J129">
        <v>35.085539632833303</v>
      </c>
      <c r="K129">
        <v>-120.5346413035</v>
      </c>
      <c r="L129">
        <v>87.1</v>
      </c>
      <c r="M129" t="s">
        <v>581</v>
      </c>
      <c r="N129" t="s">
        <v>582</v>
      </c>
      <c r="O129" s="1" t="s">
        <v>583</v>
      </c>
      <c r="S129" t="s">
        <v>578</v>
      </c>
      <c r="AF129" t="s">
        <v>584</v>
      </c>
      <c r="AG129" t="s">
        <v>61</v>
      </c>
      <c r="AH129" t="s">
        <v>585</v>
      </c>
      <c r="AI129" t="s">
        <v>61</v>
      </c>
      <c r="AK129" s="2">
        <v>0.17599999999999999</v>
      </c>
      <c r="AL129" s="3">
        <v>0.14468887599999999</v>
      </c>
      <c r="AN129" s="2">
        <v>2.5</v>
      </c>
      <c r="AO129" s="3">
        <v>3.3189246649999999</v>
      </c>
      <c r="AP129" s="1" t="s">
        <v>583</v>
      </c>
      <c r="AQ129">
        <v>3.2160005569457999</v>
      </c>
      <c r="AR129">
        <v>5.1089539699502904</v>
      </c>
      <c r="AS129" s="4">
        <f t="shared" si="5"/>
        <v>50.333504588799954</v>
      </c>
      <c r="AT129" s="4">
        <f>-52.21+16.22*AL129*100-1.25*(100*AL129)^2+0.05*(100*AL129)^3-0.000712*(100*AL129)^4</f>
        <v>41.036878162921056</v>
      </c>
      <c r="AU129">
        <f t="shared" si="4"/>
        <v>63.902693218896701</v>
      </c>
    </row>
    <row r="130" spans="1:47" x14ac:dyDescent="0.3">
      <c r="A130">
        <v>139</v>
      </c>
      <c r="B130">
        <v>64</v>
      </c>
      <c r="C130">
        <v>0</v>
      </c>
      <c r="D130">
        <v>94.2</v>
      </c>
      <c r="E130">
        <v>16.747005462646499</v>
      </c>
      <c r="F130">
        <v>2</v>
      </c>
      <c r="G130" t="s">
        <v>56</v>
      </c>
      <c r="H130">
        <v>10</v>
      </c>
      <c r="I130">
        <v>19</v>
      </c>
      <c r="J130">
        <v>35.085484893500002</v>
      </c>
      <c r="K130">
        <v>-120.534731942167</v>
      </c>
      <c r="L130">
        <v>87.9</v>
      </c>
      <c r="M130" t="s">
        <v>586</v>
      </c>
      <c r="N130" t="s">
        <v>587</v>
      </c>
      <c r="O130" s="1" t="s">
        <v>588</v>
      </c>
      <c r="S130" t="s">
        <v>578</v>
      </c>
      <c r="AF130" t="s">
        <v>589</v>
      </c>
      <c r="AG130" t="s">
        <v>61</v>
      </c>
      <c r="AH130" t="s">
        <v>590</v>
      </c>
      <c r="AI130" t="s">
        <v>61</v>
      </c>
      <c r="AK130" s="2">
        <v>0.17699999999999999</v>
      </c>
      <c r="AL130" s="3">
        <v>0.152037277</v>
      </c>
      <c r="AN130" s="2">
        <v>2.7</v>
      </c>
      <c r="AO130" s="3">
        <v>3.4821574690000001</v>
      </c>
      <c r="AP130" s="1" t="s">
        <v>588</v>
      </c>
      <c r="AQ130">
        <v>3.055997133255</v>
      </c>
      <c r="AR130">
        <v>5.2320789569544903</v>
      </c>
      <c r="AS130" s="4">
        <f t="shared" ref="AS130:AS135" si="6">-52.21+16.22*AK130*100-1.25*(100*AK130)^2+0.05*(100*AK130)^3-0.000712*(100*AK130)^4</f>
        <v>50.649905640799972</v>
      </c>
      <c r="AT130" s="4">
        <f>-52.21+16.22*AL130*100-1.25*(100*AL130)^2+0.05*(100*AL130)^3-0.000712*(100*AL130)^4</f>
        <v>43.128924490715328</v>
      </c>
      <c r="AU130">
        <f t="shared" si="4"/>
        <v>61.851161413491894</v>
      </c>
    </row>
    <row r="131" spans="1:47" x14ac:dyDescent="0.3">
      <c r="A131">
        <v>140</v>
      </c>
      <c r="B131">
        <v>72</v>
      </c>
      <c r="C131">
        <v>0</v>
      </c>
      <c r="D131">
        <v>262.5</v>
      </c>
      <c r="E131">
        <v>312.89102172851602</v>
      </c>
      <c r="F131">
        <v>2</v>
      </c>
      <c r="G131" t="s">
        <v>56</v>
      </c>
      <c r="H131">
        <v>10</v>
      </c>
      <c r="I131">
        <v>19</v>
      </c>
      <c r="J131">
        <v>35.085503779666702</v>
      </c>
      <c r="K131">
        <v>-120.53458691533299</v>
      </c>
      <c r="L131">
        <v>88.4</v>
      </c>
      <c r="M131" t="s">
        <v>591</v>
      </c>
      <c r="N131" t="s">
        <v>592</v>
      </c>
      <c r="O131" s="1" t="s">
        <v>593</v>
      </c>
      <c r="AF131" t="s">
        <v>594</v>
      </c>
      <c r="AG131" t="s">
        <v>61</v>
      </c>
      <c r="AH131" t="s">
        <v>594</v>
      </c>
      <c r="AI131" t="s">
        <v>61</v>
      </c>
      <c r="AK131" s="2">
        <v>0.17899999999999999</v>
      </c>
      <c r="AL131" s="3">
        <v>0.14424314299999999</v>
      </c>
      <c r="AN131" s="2">
        <v>2.9</v>
      </c>
      <c r="AO131" s="3">
        <v>3.8114681240000001</v>
      </c>
      <c r="AP131" s="1" t="s">
        <v>593</v>
      </c>
      <c r="AQ131">
        <v>3.4550025463104199</v>
      </c>
      <c r="AR131">
        <v>5.2624101035542399</v>
      </c>
      <c r="AS131" s="4">
        <f t="shared" si="6"/>
        <v>51.286701512799993</v>
      </c>
      <c r="AT131" s="4">
        <f>-52.21+16.22*AL131*100-1.25*(100*AL131)^2+0.05*(100*AL131)^3-0.000712*(100*AL131)^4</f>
        <v>40.911081977381009</v>
      </c>
      <c r="AU131">
        <f t="shared" ref="AU131:AU135" si="7">-0.164+6.73*AR131+2.87*AQ131^2</f>
        <v>69.511332244602997</v>
      </c>
    </row>
    <row r="132" spans="1:47" x14ac:dyDescent="0.3">
      <c r="A132">
        <v>141</v>
      </c>
      <c r="B132">
        <v>182</v>
      </c>
      <c r="C132">
        <v>0.55559999999999998</v>
      </c>
      <c r="D132">
        <v>156.1</v>
      </c>
      <c r="E132">
        <v>121.73110961914099</v>
      </c>
      <c r="F132">
        <v>2</v>
      </c>
      <c r="G132" t="s">
        <v>56</v>
      </c>
      <c r="H132">
        <v>10</v>
      </c>
      <c r="I132">
        <v>19</v>
      </c>
      <c r="J132">
        <v>35.085583715666701</v>
      </c>
      <c r="K132">
        <v>-120.534605345667</v>
      </c>
      <c r="L132">
        <v>87.9</v>
      </c>
      <c r="M132" t="s">
        <v>595</v>
      </c>
      <c r="N132" t="s">
        <v>596</v>
      </c>
      <c r="O132" s="1" t="s">
        <v>597</v>
      </c>
      <c r="P132">
        <v>2.9</v>
      </c>
      <c r="Q132">
        <v>20</v>
      </c>
      <c r="AF132" t="s">
        <v>598</v>
      </c>
      <c r="AG132" t="s">
        <v>61</v>
      </c>
      <c r="AH132" t="s">
        <v>598</v>
      </c>
      <c r="AI132" t="s">
        <v>61</v>
      </c>
      <c r="AJ132">
        <v>20</v>
      </c>
      <c r="AK132" s="2">
        <v>0.2</v>
      </c>
      <c r="AL132" s="3">
        <v>0.165608954</v>
      </c>
      <c r="AM132">
        <v>2.9</v>
      </c>
      <c r="AN132" s="2">
        <v>2.9</v>
      </c>
      <c r="AO132" s="3">
        <v>3.5980694290000002</v>
      </c>
      <c r="AP132" s="1" t="s">
        <v>597</v>
      </c>
      <c r="AQ132">
        <v>3.4390032291412398</v>
      </c>
      <c r="AR132">
        <v>5.3225538860924102</v>
      </c>
      <c r="AS132" s="4">
        <f t="shared" si="6"/>
        <v>58.27000000000001</v>
      </c>
      <c r="AT132" s="4">
        <f>-52.21+16.22*AL132*100-1.25*(100*AL132)^2+0.05*(100*AL132)^3-0.000712*(100*AL132)^4</f>
        <v>47.124030239247922</v>
      </c>
      <c r="AU132">
        <f t="shared" si="7"/>
        <v>69.599540666227838</v>
      </c>
    </row>
    <row r="133" spans="1:47" x14ac:dyDescent="0.3">
      <c r="A133">
        <v>142</v>
      </c>
      <c r="B133">
        <v>57</v>
      </c>
      <c r="C133">
        <v>0</v>
      </c>
      <c r="D133">
        <v>91</v>
      </c>
      <c r="E133">
        <v>54.486370086669901</v>
      </c>
      <c r="F133">
        <v>2</v>
      </c>
      <c r="G133" t="s">
        <v>56</v>
      </c>
      <c r="H133">
        <v>10</v>
      </c>
      <c r="I133">
        <v>19</v>
      </c>
      <c r="J133">
        <v>35.085589039666701</v>
      </c>
      <c r="K133">
        <v>-120.534793446667</v>
      </c>
      <c r="L133">
        <v>86.3</v>
      </c>
      <c r="M133" t="s">
        <v>599</v>
      </c>
      <c r="N133" t="s">
        <v>600</v>
      </c>
      <c r="O133" s="1" t="s">
        <v>601</v>
      </c>
      <c r="AF133" t="s">
        <v>602</v>
      </c>
      <c r="AG133" t="s">
        <v>61</v>
      </c>
      <c r="AH133" t="s">
        <v>603</v>
      </c>
      <c r="AI133" t="s">
        <v>114</v>
      </c>
      <c r="AK133" s="2">
        <v>0.17</v>
      </c>
      <c r="AL133" s="3">
        <v>0.102993643</v>
      </c>
      <c r="AN133" s="2">
        <v>2.5</v>
      </c>
      <c r="AO133" s="3">
        <v>3.1954278949999999</v>
      </c>
      <c r="AP133" s="1" t="s">
        <v>601</v>
      </c>
      <c r="AQ133">
        <v>2.8339989185333301</v>
      </c>
      <c r="AR133">
        <v>5.2925674284012301</v>
      </c>
      <c r="AS133" s="4">
        <f t="shared" si="6"/>
        <v>48.463048000000008</v>
      </c>
      <c r="AT133" s="4">
        <f>-52.21+16.22*AL133*100-1.25*(100*AL133)^2+0.05*(100*AL133)^3-0.000712*(100*AL133)^4</f>
        <v>28.864147571292623</v>
      </c>
      <c r="AU133">
        <f t="shared" si="7"/>
        <v>58.505526920752281</v>
      </c>
    </row>
    <row r="134" spans="1:47" x14ac:dyDescent="0.3">
      <c r="A134">
        <v>143</v>
      </c>
      <c r="B134">
        <v>69</v>
      </c>
      <c r="C134">
        <v>0.1852</v>
      </c>
      <c r="D134">
        <v>101.5</v>
      </c>
      <c r="E134">
        <v>85.022117614746094</v>
      </c>
      <c r="F134">
        <v>2</v>
      </c>
      <c r="G134" t="s">
        <v>56</v>
      </c>
      <c r="H134">
        <v>10</v>
      </c>
      <c r="I134">
        <v>19</v>
      </c>
      <c r="J134">
        <v>35.085444510666697</v>
      </c>
      <c r="K134">
        <v>-120.534679159833</v>
      </c>
      <c r="L134">
        <v>88.6</v>
      </c>
      <c r="M134" t="s">
        <v>604</v>
      </c>
      <c r="N134" t="s">
        <v>605</v>
      </c>
      <c r="O134" s="1" t="s">
        <v>606</v>
      </c>
      <c r="AF134" t="s">
        <v>607</v>
      </c>
      <c r="AG134" t="s">
        <v>61</v>
      </c>
      <c r="AH134" t="s">
        <v>608</v>
      </c>
      <c r="AI134" t="s">
        <v>114</v>
      </c>
      <c r="AK134" s="2">
        <v>0.156</v>
      </c>
      <c r="AL134" s="3">
        <v>0.14317658999999999</v>
      </c>
      <c r="AN134" s="2">
        <v>3.1</v>
      </c>
      <c r="AO134" s="3">
        <v>3.3480999470000001</v>
      </c>
      <c r="AP134" s="1" t="s">
        <v>606</v>
      </c>
      <c r="AQ134">
        <v>3.1259973049163801</v>
      </c>
      <c r="AR134">
        <v>4.82043791490117</v>
      </c>
      <c r="AS134" s="4">
        <f t="shared" si="6"/>
        <v>44.275248204799986</v>
      </c>
      <c r="AT134" s="4">
        <f>-52.21+16.22*AL134*100-1.25*(100*AL134)^2+0.05*(100*AL134)^3-0.000712*(100*AL134)^4</f>
        <v>40.610467154133929</v>
      </c>
      <c r="AU134">
        <f t="shared" si="7"/>
        <v>60.322782928773506</v>
      </c>
    </row>
    <row r="135" spans="1:47" x14ac:dyDescent="0.3">
      <c r="A135">
        <v>144</v>
      </c>
      <c r="B135">
        <v>70</v>
      </c>
      <c r="C135">
        <v>0</v>
      </c>
      <c r="D135">
        <v>73.099999999999994</v>
      </c>
      <c r="E135">
        <v>137.28314208984401</v>
      </c>
      <c r="F135">
        <v>2</v>
      </c>
      <c r="G135" t="s">
        <v>56</v>
      </c>
      <c r="H135">
        <v>10</v>
      </c>
      <c r="I135">
        <v>19</v>
      </c>
      <c r="J135">
        <v>35.085476148833301</v>
      </c>
      <c r="K135">
        <v>-120.5346364055</v>
      </c>
      <c r="L135">
        <v>87.7</v>
      </c>
      <c r="M135" t="s">
        <v>609</v>
      </c>
      <c r="N135" t="s">
        <v>610</v>
      </c>
      <c r="O135" s="1" t="s">
        <v>611</v>
      </c>
      <c r="AF135" t="s">
        <v>612</v>
      </c>
      <c r="AG135" t="s">
        <v>61</v>
      </c>
      <c r="AH135" t="s">
        <v>613</v>
      </c>
      <c r="AI135" t="s">
        <v>114</v>
      </c>
      <c r="AK135" s="2">
        <v>0.16800000000000001</v>
      </c>
      <c r="AL135" s="3">
        <v>0.17010504700000001</v>
      </c>
      <c r="AN135" s="2">
        <v>3</v>
      </c>
      <c r="AO135" s="3">
        <v>3.8734831810000001</v>
      </c>
      <c r="AP135" s="1" t="s">
        <v>611</v>
      </c>
      <c r="AQ135">
        <v>3.23399758338928</v>
      </c>
      <c r="AR135">
        <v>4.78730736481719</v>
      </c>
      <c r="AS135" s="4">
        <f t="shared" si="6"/>
        <v>47.850094668800004</v>
      </c>
      <c r="AT135" s="4">
        <f>-52.21+16.22*AL135*100-1.25*(100*AL135)^2+0.05*(100*AL135)^3-0.000712*(100*AL135)^4</f>
        <v>48.495386331298285</v>
      </c>
      <c r="AU135">
        <f t="shared" si="7"/>
        <v>62.071163425305002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4"/>
  <sheetViews>
    <sheetView tabSelected="1" zoomScale="51" zoomScaleNormal="85" workbookViewId="0">
      <selection activeCell="AG5" sqref="AG5"/>
    </sheetView>
  </sheetViews>
  <sheetFormatPr defaultRowHeight="14.4" x14ac:dyDescent="0.3"/>
  <cols>
    <col min="2" max="8" width="20.6640625" customWidth="1"/>
  </cols>
  <sheetData>
    <row r="3" spans="2:8" ht="24" customHeight="1" thickBot="1" x14ac:dyDescent="0.35">
      <c r="B3" s="13" t="s">
        <v>614</v>
      </c>
      <c r="C3" s="27" t="s">
        <v>615</v>
      </c>
      <c r="D3" s="28"/>
      <c r="E3" s="28"/>
      <c r="F3" s="28"/>
      <c r="G3" s="28"/>
      <c r="H3" s="29"/>
    </row>
    <row r="4" spans="2:8" ht="24" customHeight="1" thickBot="1" x14ac:dyDescent="0.35">
      <c r="B4" s="14" t="s">
        <v>616</v>
      </c>
      <c r="C4" s="15" t="s">
        <v>617</v>
      </c>
      <c r="D4" s="15" t="s">
        <v>618</v>
      </c>
      <c r="E4" s="15" t="s">
        <v>643</v>
      </c>
      <c r="F4" s="15" t="s">
        <v>644</v>
      </c>
      <c r="G4" s="15" t="s">
        <v>619</v>
      </c>
      <c r="H4" s="16" t="s">
        <v>620</v>
      </c>
    </row>
    <row r="5" spans="2:8" ht="24" customHeight="1" thickBot="1" x14ac:dyDescent="0.35">
      <c r="B5" s="17" t="s">
        <v>621</v>
      </c>
      <c r="C5" s="24">
        <f>Sheet1!BE56</f>
        <v>1.5261880642223751</v>
      </c>
      <c r="D5" s="24">
        <f>Sheet1!BF56</f>
        <v>1.3356576783955094</v>
      </c>
      <c r="E5" s="24">
        <f>Sheet1!BG56</f>
        <v>1.9668425815900612</v>
      </c>
      <c r="F5" s="18" t="s">
        <v>614</v>
      </c>
      <c r="G5" s="18" t="s">
        <v>614</v>
      </c>
      <c r="H5" s="19" t="s">
        <v>622</v>
      </c>
    </row>
    <row r="6" spans="2:8" ht="24" customHeight="1" thickBot="1" x14ac:dyDescent="0.35">
      <c r="B6" s="14" t="s">
        <v>623</v>
      </c>
      <c r="C6" s="25">
        <f>Sheet1!BE71</f>
        <v>1.4356127670154211</v>
      </c>
      <c r="D6" s="25">
        <f>Sheet1!BF71</f>
        <v>1.2613973981673898</v>
      </c>
      <c r="E6" s="25">
        <f>Sheet1!BG71</f>
        <v>1.9350835362280239</v>
      </c>
      <c r="F6" s="20" t="s">
        <v>614</v>
      </c>
      <c r="G6" s="20" t="s">
        <v>614</v>
      </c>
      <c r="H6" s="16" t="s">
        <v>624</v>
      </c>
    </row>
    <row r="7" spans="2:8" ht="24" customHeight="1" thickBot="1" x14ac:dyDescent="0.35">
      <c r="B7" s="17" t="s">
        <v>625</v>
      </c>
      <c r="C7" s="24">
        <f>Sheet1!BE2</f>
        <v>1.2934454670239428</v>
      </c>
      <c r="D7" s="24">
        <f>Sheet1!BF2</f>
        <v>1.1031791877123724</v>
      </c>
      <c r="E7" s="24">
        <f>Sheet1!BG2</f>
        <v>1.4086668886953086</v>
      </c>
      <c r="F7" s="18" t="s">
        <v>614</v>
      </c>
      <c r="G7" s="18" t="s">
        <v>614</v>
      </c>
      <c r="H7" s="19" t="s">
        <v>626</v>
      </c>
    </row>
    <row r="8" spans="2:8" ht="24" customHeight="1" thickBot="1" x14ac:dyDescent="0.35">
      <c r="B8" s="14" t="s">
        <v>627</v>
      </c>
      <c r="C8" s="25">
        <f>Sheet1!BE15</f>
        <v>1.460459002640401</v>
      </c>
      <c r="D8" s="25">
        <f>Sheet1!BF15</f>
        <v>1.249740156086852</v>
      </c>
      <c r="E8" s="25">
        <f>Sheet1!BG15</f>
        <v>1.6955869510010175</v>
      </c>
      <c r="F8" s="20" t="s">
        <v>614</v>
      </c>
      <c r="G8" s="20" t="s">
        <v>614</v>
      </c>
      <c r="H8" s="16" t="s">
        <v>628</v>
      </c>
    </row>
    <row r="9" spans="2:8" ht="24" customHeight="1" thickBot="1" x14ac:dyDescent="0.35">
      <c r="B9" s="17" t="s">
        <v>629</v>
      </c>
      <c r="C9" s="24">
        <f>Sheet1!BE28</f>
        <v>1.4261853000701319</v>
      </c>
      <c r="D9" s="24">
        <f>Sheet1!BF28</f>
        <v>1.0123342390877426</v>
      </c>
      <c r="E9" s="24">
        <f>Sheet1!BG28</f>
        <v>1.9538924577741321</v>
      </c>
      <c r="F9" s="18" t="s">
        <v>614</v>
      </c>
      <c r="G9" s="18" t="s">
        <v>614</v>
      </c>
      <c r="H9" s="19" t="s">
        <v>630</v>
      </c>
    </row>
    <row r="10" spans="2:8" ht="24" customHeight="1" thickBot="1" x14ac:dyDescent="0.35">
      <c r="B10" s="14" t="s">
        <v>631</v>
      </c>
      <c r="C10" s="25">
        <f>Sheet1!BE42</f>
        <v>1.4042650238626002</v>
      </c>
      <c r="D10" s="25">
        <f>Sheet1!BF42</f>
        <v>1.1893766941166519</v>
      </c>
      <c r="E10" s="25">
        <f>Sheet1!BG42</f>
        <v>1.9220669185158179</v>
      </c>
      <c r="F10" s="20" t="s">
        <v>614</v>
      </c>
      <c r="G10" s="20" t="s">
        <v>614</v>
      </c>
      <c r="H10" s="16" t="s">
        <v>632</v>
      </c>
    </row>
    <row r="11" spans="2:8" s="34" customFormat="1" ht="24" customHeight="1" thickBot="1" x14ac:dyDescent="0.35">
      <c r="B11" s="30" t="s">
        <v>633</v>
      </c>
      <c r="C11" s="31">
        <f>Sheet1!BE84</f>
        <v>0.17821602034978037</v>
      </c>
      <c r="D11" s="31">
        <f>Sheet1!BF84</f>
        <v>-1.0162047336394359E-2</v>
      </c>
      <c r="E11" s="31">
        <f>Sheet1!BG84</f>
        <v>0.82415288844194123</v>
      </c>
      <c r="F11" s="32" t="s">
        <v>614</v>
      </c>
      <c r="G11" s="32" t="s">
        <v>614</v>
      </c>
      <c r="H11" s="33" t="s">
        <v>634</v>
      </c>
    </row>
    <row r="12" spans="2:8" s="34" customFormat="1" ht="24" customHeight="1" thickBot="1" x14ac:dyDescent="0.35">
      <c r="B12" s="35" t="s">
        <v>635</v>
      </c>
      <c r="C12" s="36">
        <f>Sheet1!BE99</f>
        <v>-0.85089070887197227</v>
      </c>
      <c r="D12" s="36">
        <f>Sheet1!BF99</f>
        <v>-0.85089070887197227</v>
      </c>
      <c r="E12" s="36">
        <f>Sheet1!BG99</f>
        <v>-2.6727844523080535E-3</v>
      </c>
      <c r="F12" s="37" t="s">
        <v>614</v>
      </c>
      <c r="G12" s="37" t="s">
        <v>614</v>
      </c>
      <c r="H12" s="38" t="s">
        <v>636</v>
      </c>
    </row>
    <row r="13" spans="2:8" ht="24" customHeight="1" thickBot="1" x14ac:dyDescent="0.35">
      <c r="B13" s="17" t="s">
        <v>637</v>
      </c>
      <c r="C13" s="24">
        <f>Sheet1!BE107</f>
        <v>1.438506522644601</v>
      </c>
      <c r="D13" s="24">
        <f>Sheet1!BF107</f>
        <v>1.388382591802924</v>
      </c>
      <c r="E13" s="24">
        <f>Sheet1!BG107</f>
        <v>1.7132821041994246</v>
      </c>
      <c r="F13" s="18" t="s">
        <v>614</v>
      </c>
      <c r="G13" s="18" t="s">
        <v>614</v>
      </c>
      <c r="H13" s="19" t="s">
        <v>638</v>
      </c>
    </row>
    <row r="14" spans="2:8" ht="23.25" customHeight="1" x14ac:dyDescent="0.3">
      <c r="B14" s="21" t="s">
        <v>639</v>
      </c>
      <c r="C14" s="26">
        <f>Sheet1!BE121</f>
        <v>1.5355661048690425</v>
      </c>
      <c r="D14" s="26">
        <f>Sheet1!BF121</f>
        <v>1.3033169494110555</v>
      </c>
      <c r="E14" s="26">
        <f>Sheet1!BG121</f>
        <v>1.9796003115382714</v>
      </c>
      <c r="F14" s="22" t="s">
        <v>614</v>
      </c>
      <c r="G14" s="22" t="s">
        <v>614</v>
      </c>
      <c r="H14" s="23" t="s">
        <v>640</v>
      </c>
    </row>
  </sheetData>
  <mergeCells count="1">
    <mergeCell ref="C3:H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dcd392-3ee9-4d06-88ea-ad7766167949">
      <Terms xmlns="http://schemas.microsoft.com/office/infopath/2007/PartnerControls"/>
    </lcf76f155ced4ddcb4097134ff3c332f>
    <TaxCatchAll xmlns="2c5b2244-1ce7-4605-8f42-28eaedf524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19C75002DEE3429DC7DE240781D046" ma:contentTypeVersion="11" ma:contentTypeDescription="Create a new document." ma:contentTypeScope="" ma:versionID="a0d1c7d29eff4a1bc9a6cd17ab2d1970">
  <xsd:schema xmlns:xsd="http://www.w3.org/2001/XMLSchema" xmlns:xs="http://www.w3.org/2001/XMLSchema" xmlns:p="http://schemas.microsoft.com/office/2006/metadata/properties" xmlns:ns2="d9dcd392-3ee9-4d06-88ea-ad7766167949" xmlns:ns3="2c5b2244-1ce7-4605-8f42-28eaedf52429" targetNamespace="http://schemas.microsoft.com/office/2006/metadata/properties" ma:root="true" ma:fieldsID="104a0bfe3d357bd7c87198d95854f059" ns2:_="" ns3:_="">
    <xsd:import namespace="d9dcd392-3ee9-4d06-88ea-ad7766167949"/>
    <xsd:import namespace="2c5b2244-1ce7-4605-8f42-28eaedf524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d392-3ee9-4d06-88ea-ad7766167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b2244-1ce7-4605-8f42-28eaedf524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ebe93bd-f13e-46c0-ae90-9bf3619edf03}" ma:internalName="TaxCatchAll" ma:showField="CatchAllData" ma:web="2c5b2244-1ce7-4605-8f42-28eaedf524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FF487D-6926-4075-90FE-F92D22E484C0}">
  <ds:schemaRefs>
    <ds:schemaRef ds:uri="http://schemas.microsoft.com/office/2006/documentManagement/types"/>
    <ds:schemaRef ds:uri="d9dcd392-3ee9-4d06-88ea-ad7766167949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2c5b2244-1ce7-4605-8f42-28eaedf5242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3BF8A46-D68C-4810-BA5B-581DC1A0DC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62DD5B-937B-474F-AF8B-101E6C98D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dcd392-3ee9-4d06-88ea-ad7766167949"/>
    <ds:schemaRef ds:uri="2c5b2244-1ce7-4605-8f42-28eaedf524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 Davis</cp:lastModifiedBy>
  <dcterms:created xsi:type="dcterms:W3CDTF">2026-10-20T19:16:38Z</dcterms:created>
  <dcterms:modified xsi:type="dcterms:W3CDTF">2026-10-21T02:28:25Z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0x0101008319C75002DEE3429DC7DE240781D046</vt:lpwstr>
  </property>
  <property fmtid="{D5CDD505-2E9C-101B-9397-08002B2CF9AE}" pid="3" name="MediaServiceImageTags">
    <vt:lpwstr/>
  </property>
</Properties>
</file>