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sk10\OneDrive - Cal Poly\Tree Biomass Estimation Research - Documents\Arboretum Info\Arb Excel Workbooks\"/>
    </mc:Choice>
  </mc:AlternateContent>
  <xr:revisionPtr revIDLastSave="304" documentId="11_94B860C88F903D2FBC46EEA75D0345358AC2D139" xr6:coauthVersionLast="47" xr6:coauthVersionMax="47" xr10:uidLastSave="{9139003E-280E-4508-A6E8-48595F0989E3}"/>
  <bookViews>
    <workbookView xWindow="0" yWindow="0" windowWidth="19200" windowHeight="6350" firstSheet="7" activeTab="7" xr2:uid="{00000000-000D-0000-FFFF-FFFF00000000}"/>
  </bookViews>
  <sheets>
    <sheet name="Refined Data" sheetId="1" state="hidden" r:id="rId1"/>
    <sheet name="Footprint Trees" sheetId="7" r:id="rId2"/>
    <sheet name="Biomass Calcs" sheetId="9" r:id="rId3"/>
    <sheet name="6_17_18" sheetId="11" r:id="rId4"/>
    <sheet name="5_29 " sheetId="8" r:id="rId5"/>
    <sheet name="New Coordinates" sheetId="5" state="hidden" r:id="rId6"/>
    <sheet name="Graphs" sheetId="6" state="hidden" r:id="rId7"/>
    <sheet name="TreePlotter Data" sheetId="3" r:id="rId8"/>
    <sheet name="OG DATA" sheetId="2" state="hidden" r:id="rId9"/>
  </sheets>
  <definedNames>
    <definedName name="_xlnm._FilterDatabase" localSheetId="2" hidden="1">'Biomass Calcs'!$Z$13:$AC$13</definedName>
    <definedName name="_xlnm._FilterDatabase" localSheetId="8" hidden="1">'OG DATA'!$A$1:$W$185</definedName>
    <definedName name="_xlnm._FilterDatabase" localSheetId="0" hidden="1">'Refined Data'!$A$1:$AE$1</definedName>
    <definedName name="_xlnm._FilterDatabase" localSheetId="7" hidden="1">'TreePlotter Data'!$A$1:$Z$73</definedName>
    <definedName name="_xlnm.Extract" localSheetId="0">'Refined Data'!$AE$4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2" i="3"/>
  <c r="AD89" i="9"/>
  <c r="AC89" i="9"/>
  <c r="AC90" i="9" s="1"/>
  <c r="AC91" i="9" s="1"/>
  <c r="AC92" i="9" s="1"/>
  <c r="AC93" i="9" s="1"/>
  <c r="AC94" i="9" s="1"/>
  <c r="AC95" i="9" s="1"/>
  <c r="AC96" i="9" s="1"/>
  <c r="AC97" i="9" s="1"/>
  <c r="AC98" i="9" s="1"/>
  <c r="AC99" i="9" s="1"/>
  <c r="AC100" i="9" s="1"/>
  <c r="AC101" i="9" s="1"/>
  <c r="AC102" i="9" s="1"/>
  <c r="AC103" i="9" s="1"/>
  <c r="AC104" i="9" s="1"/>
  <c r="AC105" i="9" s="1"/>
  <c r="AC106" i="9" s="1"/>
  <c r="AC107" i="9" s="1"/>
  <c r="AC108" i="9" s="1"/>
  <c r="AC109" i="9" s="1"/>
  <c r="AC110" i="9" s="1"/>
  <c r="AC111" i="9" s="1"/>
  <c r="AC112" i="9" s="1"/>
  <c r="AC113" i="9" s="1"/>
  <c r="AC114" i="9" s="1"/>
  <c r="AC115" i="9" s="1"/>
  <c r="AC116" i="9" s="1"/>
  <c r="AC117" i="9" s="1"/>
  <c r="AC118" i="9" s="1"/>
  <c r="AC119" i="9" s="1"/>
  <c r="AC120" i="9" s="1"/>
  <c r="AC121" i="9" s="1"/>
  <c r="AC122" i="9" s="1"/>
  <c r="AC123" i="9" s="1"/>
  <c r="AC124" i="9" s="1"/>
  <c r="AC125" i="9" s="1"/>
  <c r="AC126" i="9" s="1"/>
  <c r="AC127" i="9" s="1"/>
  <c r="AC128" i="9" s="1"/>
  <c r="AC129" i="9" s="1"/>
  <c r="AC130" i="9" s="1"/>
  <c r="AC131" i="9" s="1"/>
  <c r="AC132" i="9" s="1"/>
  <c r="AC133" i="9" s="1"/>
  <c r="AC134" i="9" s="1"/>
  <c r="AC135" i="9" s="1"/>
  <c r="AC136" i="9" s="1"/>
  <c r="AC137" i="9" s="1"/>
  <c r="AC138" i="9" s="1"/>
  <c r="AC139" i="9" s="1"/>
  <c r="AC140" i="9" s="1"/>
  <c r="AC141" i="9" s="1"/>
  <c r="AC142" i="9" s="1"/>
  <c r="AC143" i="9" s="1"/>
  <c r="AC144" i="9" s="1"/>
  <c r="AC145" i="9" s="1"/>
  <c r="AC146" i="9" s="1"/>
  <c r="AC147" i="9" s="1"/>
  <c r="AC148" i="9" s="1"/>
  <c r="AC149" i="9" s="1"/>
  <c r="AC150" i="9" s="1"/>
  <c r="AC151" i="9" s="1"/>
  <c r="AC152" i="9" s="1"/>
  <c r="AC153" i="9" s="1"/>
  <c r="AC154" i="9" s="1"/>
  <c r="AC155" i="9" s="1"/>
  <c r="AC156" i="9" s="1"/>
  <c r="AC157" i="9" s="1"/>
  <c r="AC158" i="9" s="1"/>
  <c r="AC159" i="9" s="1"/>
  <c r="AC160" i="9" s="1"/>
  <c r="AC161" i="9" s="1"/>
  <c r="AC162" i="9" s="1"/>
  <c r="AC163" i="9" s="1"/>
  <c r="AC164" i="9" s="1"/>
  <c r="AC165" i="9" s="1"/>
  <c r="AC166" i="9" s="1"/>
  <c r="AC167" i="9" s="1"/>
  <c r="AC168" i="9" s="1"/>
  <c r="AC169" i="9" s="1"/>
  <c r="AB89" i="9"/>
  <c r="AA89" i="9"/>
  <c r="AA90" i="9" s="1"/>
  <c r="AA91" i="9" s="1"/>
  <c r="AA92" i="9" s="1"/>
  <c r="AA93" i="9" s="1"/>
  <c r="AA94" i="9" s="1"/>
  <c r="AA95" i="9" s="1"/>
  <c r="AA96" i="9" s="1"/>
  <c r="AA97" i="9" s="1"/>
  <c r="AA98" i="9" s="1"/>
  <c r="AA99" i="9" s="1"/>
  <c r="AA100" i="9" s="1"/>
  <c r="AA101" i="9" s="1"/>
  <c r="AA102" i="9" s="1"/>
  <c r="AA103" i="9" s="1"/>
  <c r="AA104" i="9" s="1"/>
  <c r="AA105" i="9" s="1"/>
  <c r="AA106" i="9" s="1"/>
  <c r="AA107" i="9" s="1"/>
  <c r="AA108" i="9" s="1"/>
  <c r="AA109" i="9" s="1"/>
  <c r="AA110" i="9" s="1"/>
  <c r="AA111" i="9" s="1"/>
  <c r="AA112" i="9" s="1"/>
  <c r="AA113" i="9" s="1"/>
  <c r="AA114" i="9" s="1"/>
  <c r="AA115" i="9" s="1"/>
  <c r="AA116" i="9" s="1"/>
  <c r="AA117" i="9" s="1"/>
  <c r="AA118" i="9" s="1"/>
  <c r="AA119" i="9" s="1"/>
  <c r="AA120" i="9" s="1"/>
  <c r="AA121" i="9" s="1"/>
  <c r="AA122" i="9" s="1"/>
  <c r="AA123" i="9" s="1"/>
  <c r="AA124" i="9" s="1"/>
  <c r="AA125" i="9" s="1"/>
  <c r="AA126" i="9" s="1"/>
  <c r="AA127" i="9" s="1"/>
  <c r="AA128" i="9" s="1"/>
  <c r="AA129" i="9" s="1"/>
  <c r="AA130" i="9" s="1"/>
  <c r="AA131" i="9" s="1"/>
  <c r="AA132" i="9" s="1"/>
  <c r="AA133" i="9" s="1"/>
  <c r="AA134" i="9" s="1"/>
  <c r="AA135" i="9" s="1"/>
  <c r="AA136" i="9" s="1"/>
  <c r="AA137" i="9" s="1"/>
  <c r="AA138" i="9" s="1"/>
  <c r="AA139" i="9" s="1"/>
  <c r="AA140" i="9" s="1"/>
  <c r="AA141" i="9" s="1"/>
  <c r="AA142" i="9" s="1"/>
  <c r="AA143" i="9" s="1"/>
  <c r="AA144" i="9" s="1"/>
  <c r="AA145" i="9" s="1"/>
  <c r="AA146" i="9" s="1"/>
  <c r="AA147" i="9" s="1"/>
  <c r="AA148" i="9" s="1"/>
  <c r="AA149" i="9" s="1"/>
  <c r="AA150" i="9" s="1"/>
  <c r="AA151" i="9" s="1"/>
  <c r="AA152" i="9" s="1"/>
  <c r="AA153" i="9" s="1"/>
  <c r="AA154" i="9" s="1"/>
  <c r="AA155" i="9" s="1"/>
  <c r="AA156" i="9" s="1"/>
  <c r="AA157" i="9" s="1"/>
  <c r="AA158" i="9" s="1"/>
  <c r="AA159" i="9" s="1"/>
  <c r="AA160" i="9" s="1"/>
  <c r="AA161" i="9" s="1"/>
  <c r="AA162" i="9" s="1"/>
  <c r="AA163" i="9" s="1"/>
  <c r="AA164" i="9" s="1"/>
  <c r="AA165" i="9" s="1"/>
  <c r="AA166" i="9" s="1"/>
  <c r="AA167" i="9" s="1"/>
  <c r="AA168" i="9" s="1"/>
  <c r="AA169" i="9" s="1"/>
  <c r="AB172" i="7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84" i="7" s="1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215" i="7" s="1"/>
  <c r="AB216" i="7" s="1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46" i="7" s="1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B268" i="7" s="1"/>
  <c r="AB269" i="7" s="1"/>
  <c r="AB270" i="7" s="1"/>
  <c r="AB271" i="7" s="1"/>
  <c r="AB272" i="7" s="1"/>
  <c r="AB273" i="7" s="1"/>
  <c r="AB274" i="7" s="1"/>
  <c r="AB275" i="7" s="1"/>
  <c r="AB276" i="7" s="1"/>
  <c r="AB277" i="7" s="1"/>
  <c r="AB278" i="7" s="1"/>
  <c r="AB279" i="7" s="1"/>
  <c r="AB280" i="7" s="1"/>
  <c r="AB281" i="7" s="1"/>
  <c r="AB282" i="7" s="1"/>
  <c r="AB283" i="7" s="1"/>
  <c r="AB284" i="7" s="1"/>
  <c r="AB285" i="7" s="1"/>
  <c r="AB286" i="7" s="1"/>
  <c r="AB287" i="7" s="1"/>
  <c r="AB288" i="7" s="1"/>
  <c r="AB289" i="7" s="1"/>
  <c r="AB290" i="7" s="1"/>
  <c r="AB291" i="7" s="1"/>
  <c r="AB292" i="7" s="1"/>
  <c r="AB293" i="7" s="1"/>
  <c r="AB294" i="7" s="1"/>
  <c r="AB295" i="7" s="1"/>
  <c r="AB296" i="7" s="1"/>
  <c r="AB297" i="7" s="1"/>
  <c r="AB298" i="7" s="1"/>
  <c r="AB299" i="7" s="1"/>
  <c r="AB300" i="7" s="1"/>
  <c r="AB301" i="7" s="1"/>
  <c r="AB302" i="7" s="1"/>
  <c r="AB303" i="7" s="1"/>
  <c r="AB304" i="7" s="1"/>
  <c r="AB305" i="7" s="1"/>
  <c r="AB306" i="7" s="1"/>
  <c r="AB307" i="7" s="1"/>
  <c r="AB308" i="7" s="1"/>
  <c r="AB309" i="7" s="1"/>
  <c r="AB310" i="7" s="1"/>
  <c r="AB311" i="7" s="1"/>
  <c r="AB312" i="7" s="1"/>
  <c r="AB313" i="7" s="1"/>
  <c r="AB314" i="7" s="1"/>
  <c r="AB315" i="7" s="1"/>
  <c r="AB316" i="7" s="1"/>
  <c r="AB317" i="7" s="1"/>
  <c r="AB318" i="7" s="1"/>
  <c r="AB319" i="7" s="1"/>
  <c r="AB320" i="7" s="1"/>
  <c r="AB321" i="7" s="1"/>
  <c r="AB322" i="7" s="1"/>
  <c r="AB323" i="7" s="1"/>
  <c r="AB324" i="7" s="1"/>
  <c r="AB325" i="7" s="1"/>
  <c r="AB326" i="7" s="1"/>
  <c r="AB327" i="7" s="1"/>
  <c r="AB328" i="7" s="1"/>
  <c r="AB329" i="7" s="1"/>
  <c r="AB330" i="7" s="1"/>
  <c r="AB331" i="7" s="1"/>
  <c r="AB332" i="7" s="1"/>
  <c r="AB333" i="7" s="1"/>
  <c r="AB334" i="7" s="1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73" i="7"/>
  <c r="AA172" i="7"/>
  <c r="Z89" i="9"/>
  <c r="Z90" i="9" s="1"/>
  <c r="Z91" i="9" s="1"/>
  <c r="Y89" i="9"/>
  <c r="Y90" i="9" s="1"/>
  <c r="Y91" i="9" s="1"/>
  <c r="Y92" i="9" s="1"/>
  <c r="Y93" i="9" s="1"/>
  <c r="Y94" i="9" s="1"/>
  <c r="Y95" i="9" s="1"/>
  <c r="Y96" i="9" s="1"/>
  <c r="Y97" i="9" s="1"/>
  <c r="Y98" i="9" s="1"/>
  <c r="Y99" i="9" s="1"/>
  <c r="Y100" i="9" s="1"/>
  <c r="Y101" i="9" s="1"/>
  <c r="Y102" i="9" s="1"/>
  <c r="Y103" i="9" s="1"/>
  <c r="Y104" i="9" s="1"/>
  <c r="Y105" i="9" s="1"/>
  <c r="Y106" i="9" s="1"/>
  <c r="Y107" i="9" s="1"/>
  <c r="Y108" i="9" s="1"/>
  <c r="Y109" i="9" s="1"/>
  <c r="Y110" i="9" s="1"/>
  <c r="Y111" i="9" s="1"/>
  <c r="Y112" i="9" s="1"/>
  <c r="Y113" i="9" s="1"/>
  <c r="Y114" i="9" s="1"/>
  <c r="Y115" i="9" s="1"/>
  <c r="Y116" i="9" s="1"/>
  <c r="Y117" i="9" s="1"/>
  <c r="Y118" i="9" s="1"/>
  <c r="Y119" i="9" s="1"/>
  <c r="Y120" i="9" s="1"/>
  <c r="Y121" i="9" s="1"/>
  <c r="Y122" i="9" s="1"/>
  <c r="Y123" i="9" s="1"/>
  <c r="Y124" i="9" s="1"/>
  <c r="Y125" i="9" s="1"/>
  <c r="Y126" i="9" s="1"/>
  <c r="Y127" i="9" s="1"/>
  <c r="Y128" i="9" s="1"/>
  <c r="Y129" i="9" s="1"/>
  <c r="Y130" i="9" s="1"/>
  <c r="Y131" i="9" s="1"/>
  <c r="Y132" i="9" s="1"/>
  <c r="Y133" i="9" s="1"/>
  <c r="Y134" i="9" s="1"/>
  <c r="Y135" i="9" s="1"/>
  <c r="Y136" i="9" s="1"/>
  <c r="Y137" i="9" s="1"/>
  <c r="Y138" i="9" s="1"/>
  <c r="Y139" i="9" s="1"/>
  <c r="Y140" i="9" s="1"/>
  <c r="Y141" i="9" s="1"/>
  <c r="Y142" i="9" s="1"/>
  <c r="Y143" i="9" s="1"/>
  <c r="Y144" i="9" s="1"/>
  <c r="Y145" i="9" s="1"/>
  <c r="Y146" i="9" s="1"/>
  <c r="Y147" i="9" s="1"/>
  <c r="Y148" i="9" s="1"/>
  <c r="Y149" i="9" s="1"/>
  <c r="Y150" i="9" s="1"/>
  <c r="Y151" i="9" s="1"/>
  <c r="Y152" i="9" s="1"/>
  <c r="Y153" i="9" s="1"/>
  <c r="Y154" i="9" s="1"/>
  <c r="Y155" i="9" s="1"/>
  <c r="Y156" i="9" s="1"/>
  <c r="Y157" i="9" s="1"/>
  <c r="Y158" i="9" s="1"/>
  <c r="Y159" i="9" s="1"/>
  <c r="Y160" i="9" s="1"/>
  <c r="Y161" i="9" s="1"/>
  <c r="Y162" i="9" s="1"/>
  <c r="Y163" i="9" s="1"/>
  <c r="Y164" i="9" s="1"/>
  <c r="Y165" i="9" s="1"/>
  <c r="Y166" i="9" s="1"/>
  <c r="Y167" i="9" s="1"/>
  <c r="Y168" i="9" s="1"/>
  <c r="Y169" i="9" s="1"/>
  <c r="P9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2" i="9"/>
  <c r="V2" i="9"/>
  <c r="M87" i="9"/>
  <c r="L87" i="9"/>
  <c r="N89" i="9"/>
  <c r="X6" i="9"/>
  <c r="K113" i="9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G169" i="7"/>
  <c r="J174" i="7" s="1"/>
  <c r="F169" i="7"/>
  <c r="J173" i="7" s="1"/>
  <c r="W89" i="9"/>
  <c r="I2" i="9" a="1"/>
  <c r="I2" i="9"/>
  <c r="I89" i="9" s="1"/>
  <c r="K2" i="9" a="1"/>
  <c r="A2" i="9" a="1"/>
  <c r="C3" i="7" a="1"/>
  <c r="C3" i="7" s="1"/>
  <c r="V170" i="7"/>
  <c r="V168" i="7"/>
  <c r="V167" i="7"/>
  <c r="AI87" i="7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4" i="6"/>
  <c r="M4" i="6"/>
  <c r="N3" i="6"/>
  <c r="M3" i="6"/>
  <c r="AD10" i="1"/>
  <c r="AC3" i="1"/>
  <c r="B17" i="5"/>
  <c r="B18" i="5"/>
  <c r="B19" i="5"/>
  <c r="B20" i="5"/>
  <c r="B21" i="5"/>
  <c r="B22" i="5"/>
  <c r="B23" i="5"/>
  <c r="B24" i="5"/>
  <c r="B25" i="5"/>
  <c r="B26" i="5"/>
  <c r="B27" i="5"/>
  <c r="B16" i="5"/>
  <c r="AD6" i="1"/>
  <c r="AD7" i="1"/>
  <c r="AD8" i="1"/>
  <c r="AD9" i="1"/>
  <c r="AD11" i="1"/>
  <c r="AD12" i="1"/>
  <c r="AD5" i="1"/>
  <c r="AD13" i="1"/>
  <c r="P98" i="9" l="1" a="1"/>
  <c r="P98" i="9" s="1"/>
  <c r="P97" i="9" a="1"/>
  <c r="P97" i="9" s="1"/>
  <c r="P96" i="9" a="1"/>
  <c r="P96" i="9" s="1"/>
  <c r="Z92" i="9"/>
  <c r="Z93" i="9" s="1"/>
  <c r="Z94" i="9" s="1"/>
  <c r="Z95" i="9" s="1"/>
  <c r="Z96" i="9" s="1"/>
  <c r="Z97" i="9" s="1"/>
  <c r="Z98" i="9" s="1"/>
  <c r="Z99" i="9" s="1"/>
  <c r="Z100" i="9" s="1"/>
  <c r="Z101" i="9" s="1"/>
  <c r="Z102" i="9" s="1"/>
  <c r="Z103" i="9" s="1"/>
  <c r="Z104" i="9" s="1"/>
  <c r="Z105" i="9" s="1"/>
  <c r="Z106" i="9" s="1"/>
  <c r="Z107" i="9" s="1"/>
  <c r="Z108" i="9" s="1"/>
  <c r="Z109" i="9" s="1"/>
  <c r="Z110" i="9" s="1"/>
  <c r="Z111" i="9" s="1"/>
  <c r="Z112" i="9" s="1"/>
  <c r="Z113" i="9" s="1"/>
  <c r="Z114" i="9" s="1"/>
  <c r="Z115" i="9" s="1"/>
  <c r="Z116" i="9" s="1"/>
  <c r="Z117" i="9" s="1"/>
  <c r="Z118" i="9" s="1"/>
  <c r="Z119" i="9" s="1"/>
  <c r="Z120" i="9" s="1"/>
  <c r="Z121" i="9" s="1"/>
  <c r="Z122" i="9" s="1"/>
  <c r="Z123" i="9" s="1"/>
  <c r="Z124" i="9" s="1"/>
  <c r="Z125" i="9" s="1"/>
  <c r="Z126" i="9" s="1"/>
  <c r="Z127" i="9" s="1"/>
  <c r="Z128" i="9" s="1"/>
  <c r="Z129" i="9" s="1"/>
  <c r="Z130" i="9" s="1"/>
  <c r="Z131" i="9" s="1"/>
  <c r="Z132" i="9" s="1"/>
  <c r="Z133" i="9" s="1"/>
  <c r="Z134" i="9" s="1"/>
  <c r="Z135" i="9" s="1"/>
  <c r="Z136" i="9" s="1"/>
  <c r="Z137" i="9" s="1"/>
  <c r="Z138" i="9" s="1"/>
  <c r="Z139" i="9" s="1"/>
  <c r="Z140" i="9" s="1"/>
  <c r="Z141" i="9" s="1"/>
  <c r="Z142" i="9" s="1"/>
  <c r="Z143" i="9" s="1"/>
  <c r="Z144" i="9" s="1"/>
  <c r="Z145" i="9" s="1"/>
  <c r="Z146" i="9" s="1"/>
  <c r="Z147" i="9" s="1"/>
  <c r="Z148" i="9" s="1"/>
  <c r="Z149" i="9" s="1"/>
  <c r="Z150" i="9" s="1"/>
  <c r="Z151" i="9" s="1"/>
  <c r="Z152" i="9" s="1"/>
  <c r="Z153" i="9" s="1"/>
  <c r="Z154" i="9" s="1"/>
  <c r="Z155" i="9" s="1"/>
  <c r="Z156" i="9" s="1"/>
  <c r="Z157" i="9" s="1"/>
  <c r="Z158" i="9" s="1"/>
  <c r="Z159" i="9" s="1"/>
  <c r="Z160" i="9" s="1"/>
  <c r="Z161" i="9" s="1"/>
  <c r="Z162" i="9" s="1"/>
  <c r="Z163" i="9" s="1"/>
  <c r="Z164" i="9" s="1"/>
  <c r="Z165" i="9" s="1"/>
  <c r="Z166" i="9" s="1"/>
  <c r="Z167" i="9" s="1"/>
  <c r="Z168" i="9" s="1"/>
  <c r="Z169" i="9" s="1"/>
  <c r="AB90" i="9"/>
  <c r="AB91" i="9" s="1"/>
  <c r="AB92" i="9" s="1"/>
  <c r="AB93" i="9" s="1"/>
  <c r="AB94" i="9" s="1"/>
  <c r="AB95" i="9" s="1"/>
  <c r="AB96" i="9" s="1"/>
  <c r="AB97" i="9" s="1"/>
  <c r="AB98" i="9" s="1"/>
  <c r="AB99" i="9" s="1"/>
  <c r="AB100" i="9" s="1"/>
  <c r="AB101" i="9" s="1"/>
  <c r="AB102" i="9" s="1"/>
  <c r="AB103" i="9" s="1"/>
  <c r="AB104" i="9" s="1"/>
  <c r="AB105" i="9" s="1"/>
  <c r="AB106" i="9" s="1"/>
  <c r="AB107" i="9" s="1"/>
  <c r="AB108" i="9" s="1"/>
  <c r="AB109" i="9" s="1"/>
  <c r="AB110" i="9" s="1"/>
  <c r="AB111" i="9" s="1"/>
  <c r="AB112" i="9" s="1"/>
  <c r="AB113" i="9" s="1"/>
  <c r="AB114" i="9" s="1"/>
  <c r="AB115" i="9" s="1"/>
  <c r="AB116" i="9" s="1"/>
  <c r="AB117" i="9" s="1"/>
  <c r="AB118" i="9" s="1"/>
  <c r="AB119" i="9" s="1"/>
  <c r="AB120" i="9" s="1"/>
  <c r="AB121" i="9" s="1"/>
  <c r="AB122" i="9" s="1"/>
  <c r="AB123" i="9" s="1"/>
  <c r="AB124" i="9" s="1"/>
  <c r="AB125" i="9" s="1"/>
  <c r="AB126" i="9" s="1"/>
  <c r="AB127" i="9" s="1"/>
  <c r="AB128" i="9" s="1"/>
  <c r="AB129" i="9" s="1"/>
  <c r="AB130" i="9" s="1"/>
  <c r="AB131" i="9" s="1"/>
  <c r="AB132" i="9" s="1"/>
  <c r="AB133" i="9" s="1"/>
  <c r="AB134" i="9" s="1"/>
  <c r="AB135" i="9" s="1"/>
  <c r="AB136" i="9" s="1"/>
  <c r="AB137" i="9" s="1"/>
  <c r="AB138" i="9" s="1"/>
  <c r="AB139" i="9" s="1"/>
  <c r="AB140" i="9" s="1"/>
  <c r="AB141" i="9" s="1"/>
  <c r="AB142" i="9" s="1"/>
  <c r="AB143" i="9" s="1"/>
  <c r="AB144" i="9" s="1"/>
  <c r="AB145" i="9" s="1"/>
  <c r="AB146" i="9" s="1"/>
  <c r="AB147" i="9" s="1"/>
  <c r="AB148" i="9" s="1"/>
  <c r="AB149" i="9" s="1"/>
  <c r="AB150" i="9" s="1"/>
  <c r="AB151" i="9" s="1"/>
  <c r="AB152" i="9" s="1"/>
  <c r="AB153" i="9" s="1"/>
  <c r="AB154" i="9" s="1"/>
  <c r="AB155" i="9" s="1"/>
  <c r="AB156" i="9" s="1"/>
  <c r="AB157" i="9" s="1"/>
  <c r="AB158" i="9" s="1"/>
  <c r="AB159" i="9" s="1"/>
  <c r="AB160" i="9" s="1"/>
  <c r="AB161" i="9" s="1"/>
  <c r="AB162" i="9" s="1"/>
  <c r="AB163" i="9" s="1"/>
  <c r="AB164" i="9" s="1"/>
  <c r="AB165" i="9" s="1"/>
  <c r="AB166" i="9" s="1"/>
  <c r="AB167" i="9" s="1"/>
  <c r="AB168" i="9" s="1"/>
  <c r="AB169" i="9" s="1"/>
  <c r="AD90" i="9"/>
  <c r="AD91" i="9" s="1"/>
  <c r="AD92" i="9" s="1"/>
  <c r="AD93" i="9" s="1"/>
  <c r="AD94" i="9" s="1"/>
  <c r="AD95" i="9" s="1"/>
  <c r="AD96" i="9" s="1"/>
  <c r="AD97" i="9" s="1"/>
  <c r="AD98" i="9" s="1"/>
  <c r="AD99" i="9" s="1"/>
  <c r="AD100" i="9" s="1"/>
  <c r="AD101" i="9" s="1"/>
  <c r="AD102" i="9" s="1"/>
  <c r="AD103" i="9" s="1"/>
  <c r="AD104" i="9" s="1"/>
  <c r="AD105" i="9" s="1"/>
  <c r="AD106" i="9" s="1"/>
  <c r="AD107" i="9" s="1"/>
  <c r="AD108" i="9" s="1"/>
  <c r="AD109" i="9" s="1"/>
  <c r="AD110" i="9" s="1"/>
  <c r="AD111" i="9" s="1"/>
  <c r="AD112" i="9" s="1"/>
  <c r="AD113" i="9" s="1"/>
  <c r="AD114" i="9" s="1"/>
  <c r="AD115" i="9" s="1"/>
  <c r="AD116" i="9" s="1"/>
  <c r="AD117" i="9" s="1"/>
  <c r="AD118" i="9" s="1"/>
  <c r="AD119" i="9" s="1"/>
  <c r="AD120" i="9" s="1"/>
  <c r="AD121" i="9" s="1"/>
  <c r="AD122" i="9" s="1"/>
  <c r="AD123" i="9" s="1"/>
  <c r="AD124" i="9" s="1"/>
  <c r="AD125" i="9" s="1"/>
  <c r="AD126" i="9" s="1"/>
  <c r="AD127" i="9" s="1"/>
  <c r="AD128" i="9" s="1"/>
  <c r="AD129" i="9" s="1"/>
  <c r="AD130" i="9" s="1"/>
  <c r="AD131" i="9" s="1"/>
  <c r="AD132" i="9" s="1"/>
  <c r="AD133" i="9" s="1"/>
  <c r="AD134" i="9" s="1"/>
  <c r="AD135" i="9" s="1"/>
  <c r="AD136" i="9" s="1"/>
  <c r="AD137" i="9" s="1"/>
  <c r="AD138" i="9" s="1"/>
  <c r="AD139" i="9" s="1"/>
  <c r="AD140" i="9" s="1"/>
  <c r="AD141" i="9" s="1"/>
  <c r="AD142" i="9" s="1"/>
  <c r="AD143" i="9" s="1"/>
  <c r="AD144" i="9" s="1"/>
  <c r="AD145" i="9" s="1"/>
  <c r="AD146" i="9" s="1"/>
  <c r="AD147" i="9" s="1"/>
  <c r="AD148" i="9" s="1"/>
  <c r="AD149" i="9" s="1"/>
  <c r="AD150" i="9" s="1"/>
  <c r="AD151" i="9" s="1"/>
  <c r="AD152" i="9" s="1"/>
  <c r="AD153" i="9" s="1"/>
  <c r="AD154" i="9" s="1"/>
  <c r="AD155" i="9" s="1"/>
  <c r="AD156" i="9" s="1"/>
  <c r="AD157" i="9" s="1"/>
  <c r="AD158" i="9" s="1"/>
  <c r="AD159" i="9" s="1"/>
  <c r="AD160" i="9" s="1"/>
  <c r="AD161" i="9" s="1"/>
  <c r="AD162" i="9" s="1"/>
  <c r="AD163" i="9" s="1"/>
  <c r="AD164" i="9" s="1"/>
  <c r="AD165" i="9" s="1"/>
  <c r="AD166" i="9" s="1"/>
  <c r="AD167" i="9" s="1"/>
  <c r="AD168" i="9" s="1"/>
  <c r="AD169" i="9" s="1"/>
  <c r="R26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S26" i="9"/>
  <c r="I90" i="9"/>
  <c r="I91" i="9"/>
  <c r="U91" i="9" s="1"/>
  <c r="I92" i="9"/>
  <c r="U92" i="9" s="1"/>
  <c r="I93" i="9"/>
  <c r="U93" i="9" s="1"/>
  <c r="I94" i="9"/>
  <c r="U94" i="9" s="1"/>
  <c r="I95" i="9"/>
  <c r="U95" i="9" s="1"/>
  <c r="I96" i="9"/>
  <c r="U96" i="9" s="1"/>
  <c r="I97" i="9"/>
  <c r="U97" i="9" s="1"/>
  <c r="I98" i="9"/>
  <c r="U98" i="9" s="1"/>
  <c r="I99" i="9"/>
  <c r="U99" i="9" s="1"/>
  <c r="I100" i="9"/>
  <c r="U100" i="9" s="1"/>
  <c r="I101" i="9"/>
  <c r="U101" i="9" s="1"/>
  <c r="I102" i="9"/>
  <c r="U102" i="9" s="1"/>
  <c r="I103" i="9"/>
  <c r="U103" i="9" s="1"/>
  <c r="I104" i="9"/>
  <c r="U104" i="9" s="1"/>
  <c r="I105" i="9"/>
  <c r="U105" i="9" s="1"/>
  <c r="I106" i="9"/>
  <c r="U106" i="9" s="1"/>
  <c r="I107" i="9"/>
  <c r="U107" i="9" s="1"/>
  <c r="I108" i="9"/>
  <c r="U108" i="9" s="1"/>
  <c r="I109" i="9"/>
  <c r="U109" i="9" s="1"/>
  <c r="I110" i="9"/>
  <c r="U110" i="9" s="1"/>
  <c r="I111" i="9"/>
  <c r="U111" i="9" s="1"/>
  <c r="I112" i="9"/>
  <c r="U112" i="9" s="1"/>
  <c r="I113" i="9"/>
  <c r="U113" i="9" s="1"/>
  <c r="I114" i="9"/>
  <c r="U114" i="9" s="1"/>
  <c r="I115" i="9"/>
  <c r="U115" i="9" s="1"/>
  <c r="I116" i="9"/>
  <c r="U116" i="9" s="1"/>
  <c r="I117" i="9"/>
  <c r="U117" i="9" s="1"/>
  <c r="I118" i="9"/>
  <c r="U118" i="9" s="1"/>
  <c r="I119" i="9"/>
  <c r="U119" i="9" s="1"/>
  <c r="I120" i="9"/>
  <c r="U120" i="9" s="1"/>
  <c r="I121" i="9"/>
  <c r="U121" i="9" s="1"/>
  <c r="I122" i="9"/>
  <c r="U122" i="9" s="1"/>
  <c r="I123" i="9"/>
  <c r="U123" i="9" s="1"/>
  <c r="I124" i="9"/>
  <c r="U124" i="9" s="1"/>
  <c r="I125" i="9"/>
  <c r="U125" i="9" s="1"/>
  <c r="I126" i="9"/>
  <c r="U126" i="9" s="1"/>
  <c r="I127" i="9"/>
  <c r="U127" i="9" s="1"/>
  <c r="I128" i="9"/>
  <c r="U128" i="9" s="1"/>
  <c r="I129" i="9"/>
  <c r="U129" i="9" s="1"/>
  <c r="I130" i="9"/>
  <c r="U130" i="9" s="1"/>
  <c r="I131" i="9"/>
  <c r="U131" i="9" s="1"/>
  <c r="I132" i="9"/>
  <c r="U132" i="9" s="1"/>
  <c r="I133" i="9"/>
  <c r="U133" i="9" s="1"/>
  <c r="I134" i="9"/>
  <c r="U134" i="9" s="1"/>
  <c r="I135" i="9"/>
  <c r="U135" i="9" s="1"/>
  <c r="I136" i="9"/>
  <c r="U136" i="9" s="1"/>
  <c r="I137" i="9"/>
  <c r="U137" i="9" s="1"/>
  <c r="I138" i="9"/>
  <c r="U138" i="9" s="1"/>
  <c r="I139" i="9"/>
  <c r="U139" i="9" s="1"/>
  <c r="I140" i="9"/>
  <c r="U140" i="9" s="1"/>
  <c r="I141" i="9"/>
  <c r="U141" i="9" s="1"/>
  <c r="I142" i="9"/>
  <c r="U142" i="9" s="1"/>
  <c r="I143" i="9"/>
  <c r="U143" i="9" s="1"/>
  <c r="I144" i="9"/>
  <c r="U144" i="9" s="1"/>
  <c r="I145" i="9"/>
  <c r="U145" i="9" s="1"/>
  <c r="I146" i="9"/>
  <c r="U146" i="9" s="1"/>
  <c r="I147" i="9"/>
  <c r="U147" i="9" s="1"/>
  <c r="I148" i="9"/>
  <c r="U148" i="9" s="1"/>
  <c r="I149" i="9"/>
  <c r="U149" i="9" s="1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R25" i="9"/>
  <c r="R24" i="9"/>
  <c r="R27" i="9"/>
  <c r="R61" i="9"/>
  <c r="R73" i="9"/>
  <c r="R75" i="9"/>
  <c r="R76" i="9"/>
  <c r="S25" i="9"/>
  <c r="S24" i="9"/>
  <c r="S27" i="9"/>
  <c r="S61" i="9"/>
  <c r="S73" i="9"/>
  <c r="S75" i="9"/>
  <c r="S76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H64" i="9" a="1"/>
  <c r="H64" i="9" s="1"/>
  <c r="H65" i="9" a="1"/>
  <c r="H65" i="9" s="1"/>
  <c r="K152" i="9" s="1"/>
  <c r="H66" i="9" a="1"/>
  <c r="H66" i="9" s="1"/>
  <c r="H67" i="9" a="1"/>
  <c r="H67" i="9" s="1"/>
  <c r="H68" i="9" a="1"/>
  <c r="H68" i="9" s="1"/>
  <c r="K155" i="9" s="1"/>
  <c r="H69" i="9" a="1"/>
  <c r="H69" i="9" s="1"/>
  <c r="H70" i="9" a="1"/>
  <c r="H70" i="9" s="1"/>
  <c r="K157" i="9" s="1"/>
  <c r="H71" i="9" a="1"/>
  <c r="H71" i="9" s="1"/>
  <c r="K158" i="9" s="1"/>
  <c r="H72" i="9" a="1"/>
  <c r="H72" i="9" s="1"/>
  <c r="K159" i="9" s="1"/>
  <c r="H73" i="9" a="1"/>
  <c r="H73" i="9" s="1"/>
  <c r="K160" i="9" s="1"/>
  <c r="H74" i="9" a="1"/>
  <c r="H74" i="9" s="1"/>
  <c r="H75" i="9" a="1"/>
  <c r="H75" i="9" s="1"/>
  <c r="K162" i="9" s="1"/>
  <c r="H76" i="9" a="1"/>
  <c r="H76" i="9" s="1"/>
  <c r="K163" i="9" s="1"/>
  <c r="H77" i="9" a="1"/>
  <c r="H77" i="9" s="1"/>
  <c r="K164" i="9" s="1"/>
  <c r="H78" i="9" a="1"/>
  <c r="H78" i="9" s="1"/>
  <c r="H79" i="9" a="1"/>
  <c r="H79" i="9" s="1"/>
  <c r="H80" i="9" a="1"/>
  <c r="H80" i="9" s="1"/>
  <c r="H81" i="9" a="1"/>
  <c r="H81" i="9" s="1"/>
  <c r="H82" i="9" a="1"/>
  <c r="H82" i="9" s="1"/>
  <c r="K169" i="9" s="1"/>
  <c r="H27" i="9" a="1"/>
  <c r="H27" i="9" s="1"/>
  <c r="K114" i="9" s="1"/>
  <c r="H3" i="9" a="1"/>
  <c r="H3" i="9" s="1"/>
  <c r="K90" i="9" s="1"/>
  <c r="H4" i="9" a="1"/>
  <c r="H4" i="9" s="1"/>
  <c r="K91" i="9" s="1"/>
  <c r="H5" i="9" a="1"/>
  <c r="H5" i="9" s="1"/>
  <c r="K92" i="9" s="1"/>
  <c r="H6" i="9" a="1"/>
  <c r="H6" i="9" s="1"/>
  <c r="K93" i="9" s="1"/>
  <c r="H7" i="9" a="1"/>
  <c r="H7" i="9" s="1"/>
  <c r="K94" i="9" s="1"/>
  <c r="H8" i="9" a="1"/>
  <c r="H8" i="9" s="1"/>
  <c r="K95" i="9" s="1"/>
  <c r="H9" i="9" a="1"/>
  <c r="H9" i="9" s="1"/>
  <c r="K96" i="9" s="1"/>
  <c r="H10" i="9" a="1"/>
  <c r="H10" i="9" s="1"/>
  <c r="K97" i="9" s="1"/>
  <c r="H11" i="9" a="1"/>
  <c r="H11" i="9" s="1"/>
  <c r="K98" i="9" s="1"/>
  <c r="H12" i="9" a="1"/>
  <c r="H12" i="9" s="1"/>
  <c r="K99" i="9" s="1"/>
  <c r="H13" i="9" a="1"/>
  <c r="H13" i="9" s="1"/>
  <c r="K100" i="9" s="1"/>
  <c r="H14" i="9" a="1"/>
  <c r="H14" i="9" s="1"/>
  <c r="K101" i="9" s="1"/>
  <c r="H15" i="9" a="1"/>
  <c r="H15" i="9" s="1"/>
  <c r="K102" i="9" s="1"/>
  <c r="H16" i="9" a="1"/>
  <c r="H16" i="9" s="1"/>
  <c r="K103" i="9" s="1"/>
  <c r="H17" i="9" a="1"/>
  <c r="H17" i="9" s="1"/>
  <c r="K104" i="9" s="1"/>
  <c r="H18" i="9" a="1"/>
  <c r="H18" i="9" s="1"/>
  <c r="K105" i="9" s="1"/>
  <c r="H19" i="9" a="1"/>
  <c r="H19" i="9" s="1"/>
  <c r="K106" i="9" s="1"/>
  <c r="H20" i="9" a="1"/>
  <c r="H20" i="9" s="1"/>
  <c r="K107" i="9" s="1"/>
  <c r="X2" i="9"/>
  <c r="C82" i="9" a="1"/>
  <c r="C82" i="9" s="1"/>
  <c r="D82" i="9" s="1" a="1"/>
  <c r="D82" i="9" s="1"/>
  <c r="C81" i="9" a="1"/>
  <c r="C81" i="9" s="1"/>
  <c r="D81" i="9" s="1" a="1"/>
  <c r="D81" i="9" s="1"/>
  <c r="C80" i="9" a="1"/>
  <c r="C80" i="9" s="1"/>
  <c r="D80" i="9" s="1" a="1"/>
  <c r="D80" i="9" s="1"/>
  <c r="C79" i="9" a="1"/>
  <c r="C79" i="9" s="1"/>
  <c r="D79" i="9" s="1" a="1"/>
  <c r="D79" i="9" s="1"/>
  <c r="C78" i="9" a="1"/>
  <c r="C78" i="9" s="1"/>
  <c r="D78" i="9" s="1" a="1"/>
  <c r="D78" i="9" s="1"/>
  <c r="C77" i="9" a="1"/>
  <c r="C77" i="9" s="1"/>
  <c r="D77" i="9" s="1" a="1"/>
  <c r="D77" i="9" s="1"/>
  <c r="C76" i="9" a="1"/>
  <c r="C76" i="9" s="1"/>
  <c r="D76" i="9" s="1" a="1"/>
  <c r="D76" i="9" s="1"/>
  <c r="C75" i="9" a="1"/>
  <c r="C75" i="9" s="1"/>
  <c r="D75" i="9" s="1" a="1"/>
  <c r="D75" i="9" s="1"/>
  <c r="C74" i="9" a="1"/>
  <c r="C74" i="9" s="1"/>
  <c r="D74" i="9" s="1" a="1"/>
  <c r="D74" i="9" s="1"/>
  <c r="C73" i="9" a="1"/>
  <c r="C73" i="9" s="1"/>
  <c r="D73" i="9" s="1" a="1"/>
  <c r="D73" i="9" s="1"/>
  <c r="C72" i="9" a="1"/>
  <c r="C72" i="9" s="1"/>
  <c r="D72" i="9" s="1" a="1"/>
  <c r="D72" i="9" s="1"/>
  <c r="C71" i="9" a="1"/>
  <c r="C71" i="9" s="1"/>
  <c r="D71" i="9" s="1" a="1"/>
  <c r="D71" i="9" s="1"/>
  <c r="C70" i="9" a="1"/>
  <c r="C70" i="9" s="1"/>
  <c r="D70" i="9" s="1" a="1"/>
  <c r="D70" i="9" s="1"/>
  <c r="C69" i="9" a="1"/>
  <c r="C69" i="9" s="1"/>
  <c r="D69" i="9" s="1" a="1"/>
  <c r="D69" i="9" s="1"/>
  <c r="C68" i="9" a="1"/>
  <c r="C68" i="9" s="1"/>
  <c r="D68" i="9" s="1" a="1"/>
  <c r="D68" i="9" s="1"/>
  <c r="C67" i="9" a="1"/>
  <c r="C67" i="9" s="1"/>
  <c r="D67" i="9" s="1" a="1"/>
  <c r="D67" i="9" s="1"/>
  <c r="C66" i="9" a="1"/>
  <c r="C66" i="9" s="1"/>
  <c r="D66" i="9" s="1" a="1"/>
  <c r="D66" i="9" s="1"/>
  <c r="C65" i="9" a="1"/>
  <c r="C65" i="9" s="1"/>
  <c r="D65" i="9" s="1" a="1"/>
  <c r="D65" i="9" s="1"/>
  <c r="C64" i="9" a="1"/>
  <c r="C64" i="9" s="1"/>
  <c r="F64" i="9" s="1" a="1"/>
  <c r="F64" i="9" s="1"/>
  <c r="C63" i="9" a="1"/>
  <c r="C63" i="9" s="1"/>
  <c r="F63" i="9" s="1" a="1"/>
  <c r="F63" i="9" s="1"/>
  <c r="C62" i="9" a="1"/>
  <c r="C62" i="9" s="1"/>
  <c r="D62" i="9" s="1" a="1"/>
  <c r="D62" i="9" s="1"/>
  <c r="H63" i="9" a="1"/>
  <c r="H63" i="9" s="1"/>
  <c r="K150" i="9" s="1"/>
  <c r="C61" i="9" a="1"/>
  <c r="C61" i="9" s="1"/>
  <c r="H62" i="9" a="1"/>
  <c r="H62" i="9" s="1"/>
  <c r="C60" i="9" a="1"/>
  <c r="C60" i="9" s="1"/>
  <c r="F60" i="9" s="1" a="1"/>
  <c r="F60" i="9" s="1"/>
  <c r="H61" i="9" a="1"/>
  <c r="H61" i="9" s="1"/>
  <c r="K148" i="9" s="1"/>
  <c r="C59" i="9" a="1"/>
  <c r="C59" i="9" s="1"/>
  <c r="F59" i="9" s="1" a="1"/>
  <c r="F59" i="9" s="1"/>
  <c r="H60" i="9" a="1"/>
  <c r="H60" i="9" s="1"/>
  <c r="K147" i="9" s="1"/>
  <c r="C58" i="9" a="1"/>
  <c r="C58" i="9" s="1"/>
  <c r="D58" i="9" s="1" a="1"/>
  <c r="D58" i="9" s="1"/>
  <c r="H59" i="9" a="1"/>
  <c r="H59" i="9" s="1"/>
  <c r="K146" i="9" s="1"/>
  <c r="C57" i="9" a="1"/>
  <c r="C57" i="9" s="1"/>
  <c r="G57" i="9" s="1" a="1"/>
  <c r="G57" i="9" s="1"/>
  <c r="H58" i="9" a="1"/>
  <c r="H58" i="9" s="1"/>
  <c r="K145" i="9" s="1"/>
  <c r="C56" i="9" a="1"/>
  <c r="C56" i="9" s="1"/>
  <c r="G56" i="9" s="1" a="1"/>
  <c r="G56" i="9" s="1"/>
  <c r="H57" i="9" a="1"/>
  <c r="H57" i="9" s="1"/>
  <c r="K144" i="9" s="1"/>
  <c r="H55" i="9" a="1"/>
  <c r="H55" i="9" s="1"/>
  <c r="K142" i="9" s="1"/>
  <c r="H56" i="9" a="1"/>
  <c r="H56" i="9" s="1"/>
  <c r="K143" i="9" s="1"/>
  <c r="H53" i="9" a="1"/>
  <c r="H53" i="9" s="1"/>
  <c r="K140" i="9" s="1"/>
  <c r="H54" i="9" a="1"/>
  <c r="H54" i="9" s="1"/>
  <c r="K141" i="9" s="1"/>
  <c r="H51" i="9" a="1"/>
  <c r="H51" i="9" s="1"/>
  <c r="K138" i="9" s="1"/>
  <c r="H52" i="9" a="1"/>
  <c r="H52" i="9" s="1"/>
  <c r="K139" i="9" s="1"/>
  <c r="H49" i="9" a="1"/>
  <c r="H49" i="9" s="1"/>
  <c r="K136" i="9" s="1"/>
  <c r="H50" i="9" a="1"/>
  <c r="H50" i="9" s="1"/>
  <c r="K137" i="9" s="1"/>
  <c r="G64" i="9" a="1"/>
  <c r="G64" i="9" s="1"/>
  <c r="H47" i="9" a="1"/>
  <c r="H47" i="9" s="1"/>
  <c r="K134" i="9" s="1"/>
  <c r="H48" i="9" a="1"/>
  <c r="H48" i="9" s="1"/>
  <c r="K135" i="9" s="1"/>
  <c r="H45" i="9" a="1"/>
  <c r="H45" i="9" s="1"/>
  <c r="K132" i="9" s="1"/>
  <c r="H46" i="9" a="1"/>
  <c r="H46" i="9" s="1"/>
  <c r="K133" i="9" s="1"/>
  <c r="H43" i="9" a="1"/>
  <c r="H43" i="9" s="1"/>
  <c r="K130" i="9" s="1"/>
  <c r="H44" i="9" a="1"/>
  <c r="H44" i="9" s="1"/>
  <c r="K131" i="9" s="1"/>
  <c r="H41" i="9" a="1"/>
  <c r="H41" i="9" s="1"/>
  <c r="K128" i="9" s="1"/>
  <c r="H42" i="9" a="1"/>
  <c r="H42" i="9" s="1"/>
  <c r="K129" i="9" s="1"/>
  <c r="H39" i="9" a="1"/>
  <c r="H39" i="9" s="1"/>
  <c r="K126" i="9" s="1"/>
  <c r="H40" i="9" a="1"/>
  <c r="H40" i="9" s="1"/>
  <c r="K127" i="9" s="1"/>
  <c r="H37" i="9" a="1"/>
  <c r="H37" i="9" s="1"/>
  <c r="K124" i="9" s="1"/>
  <c r="H38" i="9" a="1"/>
  <c r="H38" i="9" s="1"/>
  <c r="K125" i="9" s="1"/>
  <c r="H36" i="9" a="1"/>
  <c r="H36" i="9" s="1"/>
  <c r="K123" i="9" s="1"/>
  <c r="H34" i="9" a="1"/>
  <c r="H34" i="9" s="1"/>
  <c r="K121" i="9" s="1"/>
  <c r="H35" i="9" a="1"/>
  <c r="H35" i="9" s="1"/>
  <c r="K122" i="9" s="1"/>
  <c r="H32" i="9" a="1"/>
  <c r="H32" i="9" s="1"/>
  <c r="K119" i="9" s="1"/>
  <c r="H33" i="9" a="1"/>
  <c r="H33" i="9" s="1"/>
  <c r="K120" i="9" s="1"/>
  <c r="H23" i="9" a="1"/>
  <c r="H23" i="9" s="1"/>
  <c r="K110" i="9" s="1"/>
  <c r="H24" i="9" a="1"/>
  <c r="H24" i="9" s="1"/>
  <c r="K111" i="9" s="1"/>
  <c r="H25" i="9" a="1"/>
  <c r="H25" i="9" s="1"/>
  <c r="K112" i="9" s="1"/>
  <c r="H28" i="9" a="1"/>
  <c r="H28" i="9" s="1"/>
  <c r="K115" i="9" s="1"/>
  <c r="H29" i="9" a="1"/>
  <c r="H29" i="9" s="1"/>
  <c r="K116" i="9" s="1"/>
  <c r="H30" i="9" a="1"/>
  <c r="H30" i="9" s="1"/>
  <c r="K117" i="9" s="1"/>
  <c r="H31" i="9" a="1"/>
  <c r="H31" i="9" s="1"/>
  <c r="K118" i="9" s="1"/>
  <c r="V169" i="7"/>
  <c r="K2" i="9"/>
  <c r="H89" i="9" s="1"/>
  <c r="A2" i="9"/>
  <c r="C3" i="9" a="1"/>
  <c r="C3" i="9" s="1"/>
  <c r="G3" i="9" s="1" a="1"/>
  <c r="G3" i="9" s="1"/>
  <c r="C4" i="9" a="1"/>
  <c r="C4" i="9" s="1"/>
  <c r="G4" i="9" s="1" a="1"/>
  <c r="G4" i="9" s="1"/>
  <c r="C5" i="9" a="1"/>
  <c r="C5" i="9" s="1"/>
  <c r="G5" i="9" s="1" a="1"/>
  <c r="G5" i="9" s="1"/>
  <c r="C6" i="9" a="1"/>
  <c r="C6" i="9" s="1"/>
  <c r="G6" i="9" s="1" a="1"/>
  <c r="G6" i="9" s="1"/>
  <c r="C7" i="9" a="1"/>
  <c r="C7" i="9" s="1"/>
  <c r="G7" i="9" s="1" a="1"/>
  <c r="G7" i="9" s="1"/>
  <c r="C8" i="9" a="1"/>
  <c r="C8" i="9" s="1"/>
  <c r="G8" i="9" s="1" a="1"/>
  <c r="G8" i="9" s="1"/>
  <c r="C9" i="9" a="1"/>
  <c r="C9" i="9" s="1"/>
  <c r="G9" i="9" s="1" a="1"/>
  <c r="G9" i="9" s="1"/>
  <c r="C10" i="9" a="1"/>
  <c r="C10" i="9" s="1"/>
  <c r="G10" i="9" s="1" a="1"/>
  <c r="G10" i="9" s="1"/>
  <c r="C11" i="9" a="1"/>
  <c r="C11" i="9" s="1"/>
  <c r="G11" i="9" s="1" a="1"/>
  <c r="G11" i="9" s="1"/>
  <c r="C12" i="9" a="1"/>
  <c r="C12" i="9" s="1"/>
  <c r="G12" i="9" s="1" a="1"/>
  <c r="G12" i="9" s="1"/>
  <c r="C13" i="9" a="1"/>
  <c r="C13" i="9" s="1"/>
  <c r="G13" i="9" s="1" a="1"/>
  <c r="G13" i="9" s="1"/>
  <c r="C14" i="9" a="1"/>
  <c r="C14" i="9" s="1"/>
  <c r="G14" i="9" s="1" a="1"/>
  <c r="G14" i="9" s="1"/>
  <c r="C15" i="9" a="1"/>
  <c r="C15" i="9" s="1"/>
  <c r="G15" i="9" s="1" a="1"/>
  <c r="G15" i="9" s="1"/>
  <c r="C16" i="9" a="1"/>
  <c r="C16" i="9" s="1"/>
  <c r="G16" i="9" s="1" a="1"/>
  <c r="G16" i="9" s="1"/>
  <c r="C17" i="9" a="1"/>
  <c r="C17" i="9" s="1"/>
  <c r="G17" i="9" s="1" a="1"/>
  <c r="G17" i="9" s="1"/>
  <c r="C18" i="9" a="1"/>
  <c r="C18" i="9" s="1"/>
  <c r="G18" i="9" s="1" a="1"/>
  <c r="G18" i="9" s="1"/>
  <c r="C19" i="9" a="1"/>
  <c r="C19" i="9" s="1"/>
  <c r="G19" i="9" s="1" a="1"/>
  <c r="G19" i="9" s="1"/>
  <c r="C20" i="9" a="1"/>
  <c r="C20" i="9" s="1"/>
  <c r="G20" i="9" s="1" a="1"/>
  <c r="G20" i="9" s="1"/>
  <c r="C21" i="9" a="1"/>
  <c r="C21" i="9" s="1"/>
  <c r="D21" i="9" s="1" a="1"/>
  <c r="D21" i="9" s="1"/>
  <c r="C22" i="9" a="1"/>
  <c r="C22" i="9" s="1"/>
  <c r="G22" i="9" s="1" a="1"/>
  <c r="G22" i="9" s="1"/>
  <c r="C23" i="9" a="1"/>
  <c r="C23" i="9" s="1"/>
  <c r="G23" i="9" s="1" a="1"/>
  <c r="G23" i="9" s="1"/>
  <c r="C24" i="9" a="1"/>
  <c r="C24" i="9" s="1"/>
  <c r="G24" i="9" s="1" a="1"/>
  <c r="G24" i="9" s="1"/>
  <c r="C25" i="9" a="1"/>
  <c r="C25" i="9" s="1"/>
  <c r="G25" i="9" s="1" a="1"/>
  <c r="G25" i="9" s="1"/>
  <c r="C26" i="9" a="1"/>
  <c r="C26" i="9" s="1"/>
  <c r="G26" i="9" s="1" a="1"/>
  <c r="G26" i="9" s="1"/>
  <c r="C27" i="9" a="1"/>
  <c r="C27" i="9" s="1"/>
  <c r="G27" i="9" s="1" a="1"/>
  <c r="G27" i="9" s="1"/>
  <c r="C28" i="9" a="1"/>
  <c r="C28" i="9" s="1"/>
  <c r="G28" i="9" s="1" a="1"/>
  <c r="G28" i="9" s="1"/>
  <c r="C29" i="9" a="1"/>
  <c r="C29" i="9" s="1"/>
  <c r="F29" i="9" s="1" a="1"/>
  <c r="F29" i="9" s="1"/>
  <c r="C30" i="9" a="1"/>
  <c r="C30" i="9" s="1"/>
  <c r="F30" i="9" s="1" a="1"/>
  <c r="F30" i="9" s="1"/>
  <c r="C31" i="9" a="1"/>
  <c r="C31" i="9" s="1"/>
  <c r="F31" i="9" s="1" a="1"/>
  <c r="F31" i="9" s="1"/>
  <c r="C32" i="9" a="1"/>
  <c r="C32" i="9" s="1"/>
  <c r="F32" i="9" s="1" a="1"/>
  <c r="F32" i="9" s="1"/>
  <c r="C33" i="9" a="1"/>
  <c r="C33" i="9" s="1"/>
  <c r="F33" i="9" s="1" a="1"/>
  <c r="F33" i="9" s="1"/>
  <c r="C34" i="9" a="1"/>
  <c r="C34" i="9" s="1"/>
  <c r="F34" i="9" s="1" a="1"/>
  <c r="F34" i="9" s="1"/>
  <c r="C35" i="9" a="1"/>
  <c r="C35" i="9" s="1"/>
  <c r="F35" i="9" s="1" a="1"/>
  <c r="F35" i="9" s="1"/>
  <c r="C36" i="9" a="1"/>
  <c r="C36" i="9" s="1"/>
  <c r="F36" i="9" s="1" a="1"/>
  <c r="F36" i="9" s="1"/>
  <c r="C37" i="9" a="1"/>
  <c r="C37" i="9" s="1"/>
  <c r="F37" i="9" s="1" a="1"/>
  <c r="F37" i="9" s="1"/>
  <c r="C38" i="9" a="1"/>
  <c r="C38" i="9" s="1"/>
  <c r="F38" i="9" s="1" a="1"/>
  <c r="F38" i="9" s="1"/>
  <c r="C39" i="9" a="1"/>
  <c r="C39" i="9" s="1"/>
  <c r="F39" i="9" s="1" a="1"/>
  <c r="F39" i="9" s="1"/>
  <c r="C40" i="9" a="1"/>
  <c r="C40" i="9" s="1"/>
  <c r="F40" i="9" s="1" a="1"/>
  <c r="F40" i="9" s="1"/>
  <c r="C41" i="9" a="1"/>
  <c r="C41" i="9" s="1"/>
  <c r="F41" i="9" s="1" a="1"/>
  <c r="F41" i="9" s="1"/>
  <c r="C42" i="9" a="1"/>
  <c r="C42" i="9" s="1"/>
  <c r="F42" i="9" s="1" a="1"/>
  <c r="F42" i="9" s="1"/>
  <c r="C43" i="9" a="1"/>
  <c r="C43" i="9" s="1"/>
  <c r="F43" i="9" s="1" a="1"/>
  <c r="F43" i="9" s="1"/>
  <c r="C44" i="9" a="1"/>
  <c r="C44" i="9" s="1"/>
  <c r="F44" i="9" s="1" a="1"/>
  <c r="F44" i="9" s="1"/>
  <c r="C45" i="9" a="1"/>
  <c r="C45" i="9" s="1"/>
  <c r="F45" i="9" s="1" a="1"/>
  <c r="F45" i="9" s="1"/>
  <c r="C46" i="9" a="1"/>
  <c r="C46" i="9" s="1"/>
  <c r="F46" i="9" s="1" a="1"/>
  <c r="F46" i="9" s="1"/>
  <c r="C47" i="9" a="1"/>
  <c r="C47" i="9" s="1"/>
  <c r="F47" i="9" s="1" a="1"/>
  <c r="F47" i="9" s="1"/>
  <c r="C48" i="9" a="1"/>
  <c r="C48" i="9" s="1"/>
  <c r="F48" i="9" s="1" a="1"/>
  <c r="F48" i="9" s="1"/>
  <c r="C49" i="9" a="1"/>
  <c r="C49" i="9" s="1"/>
  <c r="F49" i="9" s="1" a="1"/>
  <c r="F49" i="9" s="1"/>
  <c r="C50" i="9" a="1"/>
  <c r="C50" i="9" s="1"/>
  <c r="F50" i="9" s="1" a="1"/>
  <c r="F50" i="9" s="1"/>
  <c r="C51" i="9" a="1"/>
  <c r="C51" i="9" s="1"/>
  <c r="F51" i="9" s="1" a="1"/>
  <c r="F51" i="9" s="1"/>
  <c r="C52" i="9" a="1"/>
  <c r="C52" i="9" s="1"/>
  <c r="F52" i="9" s="1" a="1"/>
  <c r="F52" i="9" s="1"/>
  <c r="C53" i="9" a="1"/>
  <c r="C53" i="9" s="1"/>
  <c r="F53" i="9" s="1" a="1"/>
  <c r="F53" i="9" s="1"/>
  <c r="C54" i="9" a="1"/>
  <c r="C54" i="9" s="1"/>
  <c r="F54" i="9" s="1" a="1"/>
  <c r="F54" i="9" s="1"/>
  <c r="C55" i="9" a="1"/>
  <c r="C55" i="9" s="1"/>
  <c r="H2" i="9" a="1"/>
  <c r="H2" i="9" s="1"/>
  <c r="H21" i="9" a="1"/>
  <c r="H21" i="9" s="1"/>
  <c r="K108" i="9" s="1"/>
  <c r="H22" i="9" a="1"/>
  <c r="H22" i="9" s="1"/>
  <c r="K109" i="9" s="1"/>
  <c r="U89" i="9" l="1"/>
  <c r="H87" i="9"/>
  <c r="U90" i="9"/>
  <c r="I87" i="9"/>
  <c r="J172" i="7"/>
  <c r="J171" i="7" a="1"/>
  <c r="J171" i="7" s="1"/>
  <c r="J170" i="7" a="1"/>
  <c r="J170" i="7" s="1"/>
  <c r="J169" i="7" a="1"/>
  <c r="J169" i="7" s="1"/>
  <c r="S62" i="9"/>
  <c r="K149" i="9"/>
  <c r="S81" i="9"/>
  <c r="K168" i="9"/>
  <c r="S80" i="9"/>
  <c r="K167" i="9"/>
  <c r="S79" i="9"/>
  <c r="K166" i="9"/>
  <c r="S78" i="9"/>
  <c r="K165" i="9"/>
  <c r="S74" i="9"/>
  <c r="K161" i="9"/>
  <c r="S69" i="9"/>
  <c r="K156" i="9"/>
  <c r="S67" i="9"/>
  <c r="K154" i="9"/>
  <c r="S66" i="9"/>
  <c r="K153" i="9"/>
  <c r="S64" i="9"/>
  <c r="K151" i="9"/>
  <c r="P88" i="9" a="1"/>
  <c r="P88" i="9" s="1"/>
  <c r="P89" i="9" a="1"/>
  <c r="P89" i="9" s="1"/>
  <c r="S22" i="9"/>
  <c r="S21" i="9"/>
  <c r="K89" i="9"/>
  <c r="K87" i="9" s="1"/>
  <c r="S2" i="9"/>
  <c r="S31" i="9"/>
  <c r="S30" i="9"/>
  <c r="S23" i="9"/>
  <c r="S33" i="9"/>
  <c r="S32" i="9"/>
  <c r="S35" i="9"/>
  <c r="S34" i="9"/>
  <c r="S36" i="9"/>
  <c r="S38" i="9"/>
  <c r="S37" i="9"/>
  <c r="S40" i="9"/>
  <c r="S39" i="9"/>
  <c r="S42" i="9"/>
  <c r="S41" i="9"/>
  <c r="S44" i="9"/>
  <c r="S43" i="9"/>
  <c r="S46" i="9"/>
  <c r="S45" i="9"/>
  <c r="S48" i="9"/>
  <c r="S47" i="9"/>
  <c r="S50" i="9"/>
  <c r="S49" i="9"/>
  <c r="S52" i="9"/>
  <c r="S51" i="9"/>
  <c r="S54" i="9"/>
  <c r="S53" i="9"/>
  <c r="S56" i="9"/>
  <c r="S55" i="9"/>
  <c r="S57" i="9"/>
  <c r="S58" i="9"/>
  <c r="S59" i="9"/>
  <c r="S60" i="9"/>
  <c r="S63" i="9"/>
  <c r="S19" i="9"/>
  <c r="S18" i="9"/>
  <c r="S17" i="9"/>
  <c r="S16" i="9"/>
  <c r="S15" i="9"/>
  <c r="S14" i="9"/>
  <c r="S13" i="9"/>
  <c r="S12" i="9"/>
  <c r="S11" i="9"/>
  <c r="S10" i="9"/>
  <c r="S9" i="9"/>
  <c r="S8" i="9"/>
  <c r="S7" i="9"/>
  <c r="S6" i="9"/>
  <c r="S5" i="9"/>
  <c r="S4" i="9"/>
  <c r="S3" i="9"/>
  <c r="S82" i="9"/>
  <c r="S77" i="9"/>
  <c r="S72" i="9"/>
  <c r="S71" i="9"/>
  <c r="S70" i="9"/>
  <c r="S68" i="9"/>
  <c r="S65" i="9"/>
  <c r="S83" i="9"/>
  <c r="F55" i="9" a="1"/>
  <c r="F55" i="9" s="1"/>
  <c r="G55" i="9" a="1"/>
  <c r="G55" i="9" s="1"/>
  <c r="F61" i="9" a="1"/>
  <c r="F61" i="9" s="1"/>
  <c r="G61" i="9" a="1"/>
  <c r="G61" i="9" s="1"/>
  <c r="W42" i="9"/>
  <c r="G81" i="9" a="1"/>
  <c r="G81" i="9" s="1"/>
  <c r="G78" i="9" a="1"/>
  <c r="G78" i="9" s="1"/>
  <c r="G75" i="9" a="1"/>
  <c r="G75" i="9" s="1"/>
  <c r="G72" i="9" a="1"/>
  <c r="G72" i="9" s="1"/>
  <c r="G69" i="9" a="1"/>
  <c r="G69" i="9" s="1"/>
  <c r="G66" i="9" a="1"/>
  <c r="G66" i="9" s="1"/>
  <c r="G80" i="9" a="1"/>
  <c r="G80" i="9" s="1"/>
  <c r="G77" i="9" a="1"/>
  <c r="G77" i="9" s="1"/>
  <c r="G74" i="9" a="1"/>
  <c r="G74" i="9" s="1"/>
  <c r="G71" i="9" a="1"/>
  <c r="G71" i="9" s="1"/>
  <c r="G68" i="9" a="1"/>
  <c r="G68" i="9" s="1"/>
  <c r="G65" i="9" a="1"/>
  <c r="G65" i="9" s="1"/>
  <c r="G82" i="9" a="1"/>
  <c r="G82" i="9" s="1"/>
  <c r="G79" i="9" a="1"/>
  <c r="G79" i="9" s="1"/>
  <c r="G76" i="9" a="1"/>
  <c r="G76" i="9" s="1"/>
  <c r="G73" i="9" a="1"/>
  <c r="G73" i="9" s="1"/>
  <c r="G70" i="9" a="1"/>
  <c r="G70" i="9" s="1"/>
  <c r="G67" i="9" a="1"/>
  <c r="G67" i="9" s="1"/>
  <c r="F25" i="9" a="1"/>
  <c r="F25" i="9" s="1"/>
  <c r="G63" i="9" a="1"/>
  <c r="G63" i="9" s="1"/>
  <c r="F24" i="9" a="1"/>
  <c r="F24" i="9" s="1"/>
  <c r="G62" i="9" a="1"/>
  <c r="G62" i="9" s="1"/>
  <c r="D63" i="9" a="1"/>
  <c r="D63" i="9" s="1"/>
  <c r="G60" i="9" a="1"/>
  <c r="G60" i="9" s="1"/>
  <c r="D61" i="9" a="1"/>
  <c r="D61" i="9" s="1"/>
  <c r="G58" i="9" a="1"/>
  <c r="G58" i="9" s="1"/>
  <c r="D59" i="9" a="1"/>
  <c r="D59" i="9" s="1"/>
  <c r="G59" i="9" a="1"/>
  <c r="G59" i="9" s="1"/>
  <c r="F82" i="9" a="1"/>
  <c r="F82" i="9" s="1"/>
  <c r="F78" i="9" a="1"/>
  <c r="F78" i="9" s="1"/>
  <c r="F74" i="9" a="1"/>
  <c r="F74" i="9" s="1"/>
  <c r="F70" i="9" a="1"/>
  <c r="F70" i="9" s="1"/>
  <c r="F66" i="9" a="1"/>
  <c r="F66" i="9" s="1"/>
  <c r="F62" i="9" a="1"/>
  <c r="F62" i="9" s="1"/>
  <c r="F58" i="9" a="1"/>
  <c r="F58" i="9" s="1"/>
  <c r="F26" i="9" a="1"/>
  <c r="F26" i="9" s="1"/>
  <c r="F22" i="9" a="1"/>
  <c r="F22" i="9" s="1"/>
  <c r="F18" i="9" a="1"/>
  <c r="F18" i="9" s="1"/>
  <c r="F14" i="9" a="1"/>
  <c r="F14" i="9" s="1"/>
  <c r="F10" i="9" a="1"/>
  <c r="F10" i="9" s="1"/>
  <c r="F6" i="9" a="1"/>
  <c r="F6" i="9" s="1"/>
  <c r="F81" i="9" a="1"/>
  <c r="F81" i="9" s="1"/>
  <c r="F77" i="9" a="1"/>
  <c r="F77" i="9" s="1"/>
  <c r="F73" i="9" a="1"/>
  <c r="F73" i="9" s="1"/>
  <c r="F69" i="9" a="1"/>
  <c r="F69" i="9" s="1"/>
  <c r="F65" i="9" a="1"/>
  <c r="F65" i="9" s="1"/>
  <c r="F57" i="9" a="1"/>
  <c r="F57" i="9" s="1"/>
  <c r="F21" i="9" a="1"/>
  <c r="F21" i="9" s="1"/>
  <c r="F17" i="9" a="1"/>
  <c r="F17" i="9" s="1"/>
  <c r="F13" i="9" a="1"/>
  <c r="F13" i="9" s="1"/>
  <c r="F9" i="9" a="1"/>
  <c r="F9" i="9" s="1"/>
  <c r="F5" i="9" a="1"/>
  <c r="F5" i="9" s="1"/>
  <c r="D60" i="9" a="1"/>
  <c r="D60" i="9" s="1"/>
  <c r="D64" i="9" a="1"/>
  <c r="D64" i="9" s="1"/>
  <c r="F80" i="9" a="1"/>
  <c r="F80" i="9" s="1"/>
  <c r="F76" i="9" a="1"/>
  <c r="F76" i="9" s="1"/>
  <c r="F72" i="9" a="1"/>
  <c r="F72" i="9" s="1"/>
  <c r="F68" i="9" a="1"/>
  <c r="F68" i="9" s="1"/>
  <c r="F56" i="9" a="1"/>
  <c r="F56" i="9" s="1"/>
  <c r="F28" i="9" a="1"/>
  <c r="F28" i="9" s="1"/>
  <c r="F20" i="9" a="1"/>
  <c r="F20" i="9" s="1"/>
  <c r="F16" i="9" a="1"/>
  <c r="F16" i="9" s="1"/>
  <c r="F12" i="9" a="1"/>
  <c r="F12" i="9" s="1"/>
  <c r="F8" i="9" a="1"/>
  <c r="F8" i="9" s="1"/>
  <c r="F4" i="9" a="1"/>
  <c r="F4" i="9" s="1"/>
  <c r="F79" i="9" a="1"/>
  <c r="F79" i="9" s="1"/>
  <c r="F75" i="9" a="1"/>
  <c r="F75" i="9" s="1"/>
  <c r="F71" i="9" a="1"/>
  <c r="F71" i="9" s="1"/>
  <c r="F67" i="9" a="1"/>
  <c r="F67" i="9" s="1"/>
  <c r="F27" i="9" a="1"/>
  <c r="F27" i="9" s="1"/>
  <c r="F23" i="9" a="1"/>
  <c r="F23" i="9" s="1"/>
  <c r="F19" i="9" a="1"/>
  <c r="F19" i="9" s="1"/>
  <c r="F15" i="9" a="1"/>
  <c r="F15" i="9" s="1"/>
  <c r="F11" i="9" a="1"/>
  <c r="F11" i="9" s="1"/>
  <c r="F7" i="9" a="1"/>
  <c r="F7" i="9" s="1"/>
  <c r="F3" i="9" a="1"/>
  <c r="F3" i="9" s="1"/>
  <c r="D57" i="9" a="1"/>
  <c r="D57" i="9" s="1"/>
  <c r="D56" i="9" a="1"/>
  <c r="D56" i="9" s="1"/>
  <c r="G21" i="9" a="1"/>
  <c r="G21" i="9" s="1"/>
  <c r="D26" i="9" a="1"/>
  <c r="D26" i="9" s="1"/>
  <c r="D23" i="9" a="1"/>
  <c r="D23" i="9" s="1"/>
  <c r="D20" i="9" a="1"/>
  <c r="D20" i="9" s="1"/>
  <c r="D17" i="9" a="1"/>
  <c r="D17" i="9" s="1"/>
  <c r="D14" i="9" a="1"/>
  <c r="D14" i="9" s="1"/>
  <c r="D11" i="9" a="1"/>
  <c r="D11" i="9" s="1"/>
  <c r="D8" i="9" a="1"/>
  <c r="D8" i="9" s="1"/>
  <c r="D5" i="9" a="1"/>
  <c r="D5" i="9" s="1"/>
  <c r="D28" i="9" a="1"/>
  <c r="D28" i="9" s="1"/>
  <c r="D25" i="9" a="1"/>
  <c r="D25" i="9" s="1"/>
  <c r="D22" i="9" a="1"/>
  <c r="D22" i="9" s="1"/>
  <c r="D19" i="9" a="1"/>
  <c r="D19" i="9" s="1"/>
  <c r="D16" i="9" a="1"/>
  <c r="D16" i="9" s="1"/>
  <c r="D13" i="9" a="1"/>
  <c r="D13" i="9" s="1"/>
  <c r="D10" i="9" a="1"/>
  <c r="D10" i="9" s="1"/>
  <c r="D7" i="9" a="1"/>
  <c r="D7" i="9" s="1"/>
  <c r="D4" i="9" a="1"/>
  <c r="D4" i="9" s="1"/>
  <c r="D27" i="9" a="1"/>
  <c r="D27" i="9" s="1"/>
  <c r="D24" i="9" a="1"/>
  <c r="D24" i="9" s="1"/>
  <c r="D18" i="9" a="1"/>
  <c r="D18" i="9" s="1"/>
  <c r="D15" i="9" a="1"/>
  <c r="D15" i="9" s="1"/>
  <c r="D12" i="9" a="1"/>
  <c r="D12" i="9" s="1"/>
  <c r="D9" i="9" a="1"/>
  <c r="D9" i="9" s="1"/>
  <c r="D6" i="9" a="1"/>
  <c r="D6" i="9" s="1"/>
  <c r="D3" i="9" a="1"/>
  <c r="D3" i="9" s="1"/>
  <c r="D55" i="9" a="1"/>
  <c r="D55" i="9" s="1"/>
  <c r="G54" i="9" a="1"/>
  <c r="G54" i="9" s="1"/>
  <c r="D54" i="9" a="1"/>
  <c r="D54" i="9" s="1"/>
  <c r="G53" i="9" a="1"/>
  <c r="G53" i="9" s="1"/>
  <c r="D53" i="9" a="1"/>
  <c r="D53" i="9" s="1"/>
  <c r="G52" i="9" a="1"/>
  <c r="G52" i="9" s="1"/>
  <c r="D52" i="9" a="1"/>
  <c r="D52" i="9" s="1"/>
  <c r="G51" i="9" a="1"/>
  <c r="G51" i="9" s="1"/>
  <c r="D51" i="9" a="1"/>
  <c r="D51" i="9" s="1"/>
  <c r="G50" i="9" a="1"/>
  <c r="G50" i="9" s="1"/>
  <c r="D50" i="9" a="1"/>
  <c r="D50" i="9" s="1"/>
  <c r="G49" i="9" a="1"/>
  <c r="G49" i="9" s="1"/>
  <c r="D49" i="9" a="1"/>
  <c r="D49" i="9" s="1"/>
  <c r="G48" i="9" a="1"/>
  <c r="G48" i="9" s="1"/>
  <c r="D48" i="9" a="1"/>
  <c r="D48" i="9" s="1"/>
  <c r="G47" i="9" a="1"/>
  <c r="G47" i="9" s="1"/>
  <c r="D47" i="9" a="1"/>
  <c r="D47" i="9" s="1"/>
  <c r="G46" i="9" a="1"/>
  <c r="G46" i="9" s="1"/>
  <c r="D46" i="9" a="1"/>
  <c r="D46" i="9" s="1"/>
  <c r="G45" i="9" a="1"/>
  <c r="G45" i="9" s="1"/>
  <c r="D45" i="9" a="1"/>
  <c r="D45" i="9" s="1"/>
  <c r="G44" i="9" a="1"/>
  <c r="G44" i="9" s="1"/>
  <c r="D44" i="9" a="1"/>
  <c r="D44" i="9" s="1"/>
  <c r="G43" i="9" a="1"/>
  <c r="G43" i="9" s="1"/>
  <c r="D43" i="9" a="1"/>
  <c r="D43" i="9" s="1"/>
  <c r="G42" i="9" a="1"/>
  <c r="G42" i="9" s="1"/>
  <c r="D42" i="9" a="1"/>
  <c r="D42" i="9" s="1"/>
  <c r="G41" i="9" a="1"/>
  <c r="G41" i="9" s="1"/>
  <c r="D41" i="9" a="1"/>
  <c r="D41" i="9" s="1"/>
  <c r="G40" i="9" a="1"/>
  <c r="G40" i="9" s="1"/>
  <c r="D40" i="9" a="1"/>
  <c r="D40" i="9" s="1"/>
  <c r="G39" i="9" a="1"/>
  <c r="G39" i="9" s="1"/>
  <c r="D39" i="9" a="1"/>
  <c r="D39" i="9" s="1"/>
  <c r="G38" i="9" a="1"/>
  <c r="G38" i="9" s="1"/>
  <c r="D38" i="9" a="1"/>
  <c r="D38" i="9" s="1"/>
  <c r="G37" i="9" a="1"/>
  <c r="G37" i="9" s="1"/>
  <c r="D37" i="9" a="1"/>
  <c r="D37" i="9" s="1"/>
  <c r="G36" i="9" a="1"/>
  <c r="G36" i="9" s="1"/>
  <c r="D36" i="9" a="1"/>
  <c r="D36" i="9" s="1"/>
  <c r="G35" i="9" a="1"/>
  <c r="G35" i="9" s="1"/>
  <c r="D35" i="9" a="1"/>
  <c r="D35" i="9" s="1"/>
  <c r="G34" i="9" a="1"/>
  <c r="G34" i="9" s="1"/>
  <c r="D34" i="9" a="1"/>
  <c r="D34" i="9" s="1"/>
  <c r="G33" i="9" a="1"/>
  <c r="G33" i="9" s="1"/>
  <c r="D33" i="9" a="1"/>
  <c r="D33" i="9" s="1"/>
  <c r="G32" i="9" a="1"/>
  <c r="G32" i="9" s="1"/>
  <c r="D32" i="9" a="1"/>
  <c r="D32" i="9" s="1"/>
  <c r="G31" i="9" a="1"/>
  <c r="G31" i="9" s="1"/>
  <c r="D31" i="9" a="1"/>
  <c r="D31" i="9" s="1"/>
  <c r="G30" i="9" a="1"/>
  <c r="G30" i="9" s="1"/>
  <c r="D30" i="9" a="1"/>
  <c r="D30" i="9" s="1"/>
  <c r="G29" i="9" a="1"/>
  <c r="G29" i="9" s="1"/>
  <c r="D29" i="9" a="1"/>
  <c r="D29" i="9" s="1"/>
  <c r="C2" i="9" a="1"/>
  <c r="C2" i="9" s="1"/>
  <c r="F2" i="9" s="1" a="1"/>
  <c r="F2" i="9" s="1"/>
  <c r="Y2" i="9"/>
  <c r="J82" i="9" l="1" a="1"/>
  <c r="J82" i="9" s="1"/>
  <c r="J81" i="9" a="1"/>
  <c r="J81" i="9" s="1"/>
  <c r="J80" i="9" a="1"/>
  <c r="J80" i="9" s="1"/>
  <c r="J79" i="9" a="1"/>
  <c r="J79" i="9" s="1"/>
  <c r="J78" i="9" a="1"/>
  <c r="J78" i="9" s="1"/>
  <c r="J77" i="9" a="1"/>
  <c r="J77" i="9" s="1"/>
  <c r="J76" i="9" a="1"/>
  <c r="J76" i="9" s="1"/>
  <c r="J163" i="9" s="1"/>
  <c r="V163" i="9" s="1"/>
  <c r="J75" i="9" a="1"/>
  <c r="J75" i="9" s="1"/>
  <c r="J162" i="9" s="1"/>
  <c r="V162" i="9" s="1"/>
  <c r="J74" i="9" a="1"/>
  <c r="J74" i="9" s="1"/>
  <c r="J73" i="9" a="1"/>
  <c r="J73" i="9" s="1"/>
  <c r="J160" i="9" s="1"/>
  <c r="V160" i="9" s="1"/>
  <c r="J72" i="9" a="1"/>
  <c r="J72" i="9" s="1"/>
  <c r="J71" i="9" a="1"/>
  <c r="J71" i="9" s="1"/>
  <c r="J70" i="9" a="1"/>
  <c r="J70" i="9" s="1"/>
  <c r="J69" i="9" a="1"/>
  <c r="J69" i="9" s="1"/>
  <c r="J68" i="9" a="1"/>
  <c r="J68" i="9" s="1"/>
  <c r="J67" i="9" a="1"/>
  <c r="J67" i="9" s="1"/>
  <c r="J66" i="9" a="1"/>
  <c r="J66" i="9" s="1"/>
  <c r="J65" i="9" a="1"/>
  <c r="J65" i="9" s="1"/>
  <c r="J64" i="9" a="1"/>
  <c r="J64" i="9" s="1"/>
  <c r="J63" i="9" a="1"/>
  <c r="J63" i="9" s="1"/>
  <c r="J62" i="9" a="1"/>
  <c r="J62" i="9" s="1"/>
  <c r="J61" i="9" a="1"/>
  <c r="J61" i="9" s="1"/>
  <c r="J148" i="9" s="1"/>
  <c r="V148" i="9" s="1"/>
  <c r="J60" i="9" a="1"/>
  <c r="J60" i="9" s="1"/>
  <c r="J59" i="9" a="1"/>
  <c r="J59" i="9" s="1"/>
  <c r="J58" i="9" a="1"/>
  <c r="J58" i="9" s="1"/>
  <c r="J57" i="9" a="1"/>
  <c r="J57" i="9" s="1"/>
  <c r="J56" i="9" a="1"/>
  <c r="J56" i="9" s="1"/>
  <c r="J12" i="9" a="1"/>
  <c r="J12" i="9" s="1"/>
  <c r="J15" i="9" a="1"/>
  <c r="J15" i="9" s="1"/>
  <c r="J16" i="9" a="1"/>
  <c r="J16" i="9" s="1"/>
  <c r="J17" i="9" a="1"/>
  <c r="J17" i="9" s="1"/>
  <c r="J18" i="9" a="1"/>
  <c r="J18" i="9" s="1"/>
  <c r="J19" i="9" a="1"/>
  <c r="J19" i="9" s="1"/>
  <c r="J20" i="9" a="1"/>
  <c r="J20" i="9" s="1"/>
  <c r="J107" i="9" s="1"/>
  <c r="V107" i="9" s="1"/>
  <c r="J21" i="9" a="1"/>
  <c r="J21" i="9" s="1"/>
  <c r="J22" i="9" a="1"/>
  <c r="J22" i="9" s="1"/>
  <c r="J23" i="9" a="1"/>
  <c r="J23" i="9" s="1"/>
  <c r="J24" i="9" a="1"/>
  <c r="J24" i="9" s="1"/>
  <c r="J111" i="9" s="1"/>
  <c r="V111" i="9" s="1"/>
  <c r="J25" i="9" a="1"/>
  <c r="J25" i="9" s="1"/>
  <c r="J112" i="9" s="1"/>
  <c r="V112" i="9" s="1"/>
  <c r="J26" i="9" a="1"/>
  <c r="J26" i="9" s="1"/>
  <c r="J113" i="9" s="1"/>
  <c r="V113" i="9" s="1"/>
  <c r="J27" i="9" a="1"/>
  <c r="J27" i="9" s="1"/>
  <c r="J114" i="9" s="1"/>
  <c r="V114" i="9" s="1"/>
  <c r="J28" i="9" a="1"/>
  <c r="J28" i="9" s="1"/>
  <c r="J115" i="9" s="1"/>
  <c r="V115" i="9" s="1"/>
  <c r="J29" i="9" a="1"/>
  <c r="J29" i="9" s="1"/>
  <c r="J116" i="9" s="1"/>
  <c r="V116" i="9" s="1"/>
  <c r="J30" i="9" a="1"/>
  <c r="J30" i="9" s="1"/>
  <c r="J31" i="9" a="1"/>
  <c r="J31" i="9" s="1"/>
  <c r="J32" i="9" a="1"/>
  <c r="J32" i="9" s="1"/>
  <c r="J33" i="9" a="1"/>
  <c r="J33" i="9" s="1"/>
  <c r="J34" i="9" a="1"/>
  <c r="J34" i="9" s="1"/>
  <c r="J35" i="9" a="1"/>
  <c r="J35" i="9" s="1"/>
  <c r="J36" i="9" a="1"/>
  <c r="J36" i="9" s="1"/>
  <c r="J37" i="9" a="1"/>
  <c r="J37" i="9" s="1"/>
  <c r="J38" i="9" a="1"/>
  <c r="J38" i="9" s="1"/>
  <c r="J39" i="9" a="1"/>
  <c r="J39" i="9" s="1"/>
  <c r="J40" i="9" a="1"/>
  <c r="J40" i="9" s="1"/>
  <c r="J41" i="9" a="1"/>
  <c r="J41" i="9" s="1"/>
  <c r="J42" i="9" a="1"/>
  <c r="J42" i="9" s="1"/>
  <c r="J43" i="9" a="1"/>
  <c r="J43" i="9" s="1"/>
  <c r="J44" i="9" a="1"/>
  <c r="J44" i="9" s="1"/>
  <c r="J45" i="9" a="1"/>
  <c r="J45" i="9" s="1"/>
  <c r="J46" i="9" a="1"/>
  <c r="J46" i="9" s="1"/>
  <c r="J47" i="9" a="1"/>
  <c r="J47" i="9" s="1"/>
  <c r="J48" i="9" a="1"/>
  <c r="J48" i="9" s="1"/>
  <c r="J49" i="9" a="1"/>
  <c r="J49" i="9" s="1"/>
  <c r="J50" i="9" a="1"/>
  <c r="J50" i="9" s="1"/>
  <c r="J51" i="9" a="1"/>
  <c r="J51" i="9" s="1"/>
  <c r="J52" i="9" a="1"/>
  <c r="J52" i="9" s="1"/>
  <c r="J53" i="9" a="1"/>
  <c r="J53" i="9" s="1"/>
  <c r="J54" i="9" a="1"/>
  <c r="J54" i="9" s="1"/>
  <c r="J55" i="9" a="1"/>
  <c r="J55" i="9" s="1"/>
  <c r="J2" i="9" a="1"/>
  <c r="J2" i="9" s="1"/>
  <c r="J3" i="9" a="1"/>
  <c r="J3" i="9" s="1"/>
  <c r="J4" i="9" a="1"/>
  <c r="J4" i="9" s="1"/>
  <c r="J5" i="9" a="1"/>
  <c r="J5" i="9" s="1"/>
  <c r="J6" i="9" a="1"/>
  <c r="J6" i="9" s="1"/>
  <c r="J7" i="9" a="1"/>
  <c r="J7" i="9" s="1"/>
  <c r="J8" i="9" a="1"/>
  <c r="J8" i="9" s="1"/>
  <c r="J9" i="9" a="1"/>
  <c r="J9" i="9" s="1"/>
  <c r="J10" i="9" a="1"/>
  <c r="J10" i="9" s="1"/>
  <c r="J11" i="9" a="1"/>
  <c r="J11" i="9" s="1"/>
  <c r="J13" i="9" a="1"/>
  <c r="J13" i="9" s="1"/>
  <c r="J14" i="9" a="1"/>
  <c r="J14" i="9" s="1"/>
  <c r="E2" i="9" a="1"/>
  <c r="E2" i="9" s="1"/>
  <c r="G2" i="9" a="1"/>
  <c r="G2" i="9" s="1"/>
  <c r="D2" i="9" a="1"/>
  <c r="D2" i="9" s="1"/>
  <c r="AH19" i="9" l="1"/>
  <c r="AH18" i="9"/>
  <c r="AH17" i="9"/>
  <c r="AH16" i="9"/>
  <c r="AH15" i="9"/>
  <c r="AH14" i="9"/>
  <c r="J101" i="9"/>
  <c r="V101" i="9" s="1"/>
  <c r="R14" i="9"/>
  <c r="J100" i="9"/>
  <c r="V100" i="9" s="1"/>
  <c r="R13" i="9"/>
  <c r="J98" i="9"/>
  <c r="V98" i="9" s="1"/>
  <c r="R11" i="9"/>
  <c r="J97" i="9"/>
  <c r="V97" i="9" s="1"/>
  <c r="R10" i="9"/>
  <c r="J96" i="9"/>
  <c r="V96" i="9" s="1"/>
  <c r="R9" i="9"/>
  <c r="R8" i="9"/>
  <c r="J95" i="9"/>
  <c r="V95" i="9" s="1"/>
  <c r="J94" i="9"/>
  <c r="V94" i="9" s="1"/>
  <c r="R7" i="9"/>
  <c r="J93" i="9"/>
  <c r="V93" i="9" s="1"/>
  <c r="R6" i="9"/>
  <c r="J92" i="9"/>
  <c r="V92" i="9" s="1"/>
  <c r="R5" i="9"/>
  <c r="J91" i="9"/>
  <c r="V91" i="9" s="1"/>
  <c r="R4" i="9"/>
  <c r="J90" i="9"/>
  <c r="V90" i="9" s="1"/>
  <c r="R3" i="9"/>
  <c r="J89" i="9"/>
  <c r="R2" i="9"/>
  <c r="J142" i="9"/>
  <c r="V142" i="9" s="1"/>
  <c r="R55" i="9"/>
  <c r="J141" i="9"/>
  <c r="V141" i="9" s="1"/>
  <c r="R54" i="9"/>
  <c r="J140" i="9"/>
  <c r="V140" i="9" s="1"/>
  <c r="R53" i="9"/>
  <c r="J139" i="9"/>
  <c r="V139" i="9" s="1"/>
  <c r="R52" i="9"/>
  <c r="J138" i="9"/>
  <c r="V138" i="9" s="1"/>
  <c r="R51" i="9"/>
  <c r="J137" i="9"/>
  <c r="V137" i="9" s="1"/>
  <c r="R50" i="9"/>
  <c r="J136" i="9"/>
  <c r="V136" i="9" s="1"/>
  <c r="R49" i="9"/>
  <c r="J135" i="9"/>
  <c r="V135" i="9" s="1"/>
  <c r="R48" i="9"/>
  <c r="J134" i="9"/>
  <c r="V134" i="9" s="1"/>
  <c r="R47" i="9"/>
  <c r="J133" i="9"/>
  <c r="V133" i="9" s="1"/>
  <c r="R46" i="9"/>
  <c r="R45" i="9"/>
  <c r="J132" i="9"/>
  <c r="V132" i="9" s="1"/>
  <c r="J131" i="9"/>
  <c r="V131" i="9" s="1"/>
  <c r="R44" i="9"/>
  <c r="J130" i="9"/>
  <c r="V130" i="9" s="1"/>
  <c r="R43" i="9"/>
  <c r="J129" i="9"/>
  <c r="V129" i="9" s="1"/>
  <c r="R42" i="9"/>
  <c r="V42" i="9"/>
  <c r="J128" i="9"/>
  <c r="V128" i="9" s="1"/>
  <c r="R41" i="9"/>
  <c r="J127" i="9"/>
  <c r="V127" i="9" s="1"/>
  <c r="R40" i="9"/>
  <c r="J126" i="9"/>
  <c r="V126" i="9" s="1"/>
  <c r="R39" i="9"/>
  <c r="J125" i="9"/>
  <c r="V125" i="9" s="1"/>
  <c r="R38" i="9"/>
  <c r="J124" i="9"/>
  <c r="V124" i="9" s="1"/>
  <c r="R37" i="9"/>
  <c r="J123" i="9"/>
  <c r="V123" i="9" s="1"/>
  <c r="R36" i="9"/>
  <c r="J122" i="9"/>
  <c r="V122" i="9" s="1"/>
  <c r="R35" i="9"/>
  <c r="J121" i="9"/>
  <c r="V121" i="9" s="1"/>
  <c r="R34" i="9"/>
  <c r="J120" i="9"/>
  <c r="V120" i="9" s="1"/>
  <c r="R33" i="9"/>
  <c r="J119" i="9"/>
  <c r="V119" i="9" s="1"/>
  <c r="R32" i="9"/>
  <c r="J118" i="9"/>
  <c r="V118" i="9" s="1"/>
  <c r="R31" i="9"/>
  <c r="J117" i="9"/>
  <c r="V117" i="9" s="1"/>
  <c r="R30" i="9"/>
  <c r="J110" i="9"/>
  <c r="V110" i="9" s="1"/>
  <c r="R23" i="9"/>
  <c r="J109" i="9"/>
  <c r="V109" i="9" s="1"/>
  <c r="R22" i="9"/>
  <c r="J108" i="9"/>
  <c r="V108" i="9" s="1"/>
  <c r="R21" i="9"/>
  <c r="J106" i="9"/>
  <c r="V106" i="9" s="1"/>
  <c r="R19" i="9"/>
  <c r="J105" i="9"/>
  <c r="V105" i="9" s="1"/>
  <c r="R18" i="9"/>
  <c r="J104" i="9"/>
  <c r="V104" i="9" s="1"/>
  <c r="R17" i="9"/>
  <c r="J103" i="9"/>
  <c r="V103" i="9" s="1"/>
  <c r="R16" i="9"/>
  <c r="J102" i="9"/>
  <c r="V102" i="9" s="1"/>
  <c r="R15" i="9"/>
  <c r="J99" i="9"/>
  <c r="V99" i="9" s="1"/>
  <c r="R12" i="9"/>
  <c r="J143" i="9"/>
  <c r="V143" i="9" s="1"/>
  <c r="R56" i="9"/>
  <c r="J144" i="9"/>
  <c r="V144" i="9" s="1"/>
  <c r="R57" i="9"/>
  <c r="J145" i="9"/>
  <c r="V145" i="9" s="1"/>
  <c r="R58" i="9"/>
  <c r="J146" i="9"/>
  <c r="V146" i="9" s="1"/>
  <c r="R59" i="9"/>
  <c r="J147" i="9"/>
  <c r="V147" i="9" s="1"/>
  <c r="R60" i="9"/>
  <c r="J149" i="9"/>
  <c r="V149" i="9" s="1"/>
  <c r="R62" i="9"/>
  <c r="J150" i="9"/>
  <c r="V150" i="9" s="1"/>
  <c r="R63" i="9"/>
  <c r="J151" i="9"/>
  <c r="V151" i="9" s="1"/>
  <c r="R64" i="9"/>
  <c r="J152" i="9"/>
  <c r="V152" i="9" s="1"/>
  <c r="R65" i="9"/>
  <c r="J153" i="9"/>
  <c r="V153" i="9" s="1"/>
  <c r="R66" i="9"/>
  <c r="J154" i="9"/>
  <c r="V154" i="9" s="1"/>
  <c r="R67" i="9"/>
  <c r="J155" i="9"/>
  <c r="V155" i="9" s="1"/>
  <c r="R68" i="9"/>
  <c r="J156" i="9"/>
  <c r="V156" i="9" s="1"/>
  <c r="R69" i="9"/>
  <c r="J157" i="9"/>
  <c r="V157" i="9" s="1"/>
  <c r="R70" i="9"/>
  <c r="J158" i="9"/>
  <c r="V158" i="9" s="1"/>
  <c r="R71" i="9"/>
  <c r="J159" i="9"/>
  <c r="V159" i="9" s="1"/>
  <c r="R72" i="9"/>
  <c r="J161" i="9"/>
  <c r="V161" i="9" s="1"/>
  <c r="R74" i="9"/>
  <c r="J164" i="9"/>
  <c r="V164" i="9" s="1"/>
  <c r="R77" i="9"/>
  <c r="J165" i="9"/>
  <c r="V165" i="9" s="1"/>
  <c r="R78" i="9"/>
  <c r="J166" i="9"/>
  <c r="V166" i="9" s="1"/>
  <c r="R79" i="9"/>
  <c r="J167" i="9"/>
  <c r="V167" i="9" s="1"/>
  <c r="R80" i="9"/>
  <c r="J168" i="9"/>
  <c r="V168" i="9" s="1"/>
  <c r="R81" i="9"/>
  <c r="J169" i="9"/>
  <c r="V169" i="9" s="1"/>
  <c r="R82" i="9"/>
  <c r="R83" i="9"/>
  <c r="V29" i="9" l="1" a="1"/>
  <c r="V29" i="9" s="1"/>
  <c r="V70" i="9" a="1"/>
  <c r="V70" i="9" s="1"/>
  <c r="V20" i="9" a="1"/>
  <c r="V20" i="9" s="1"/>
  <c r="V45" i="9" a="1"/>
  <c r="V45" i="9" s="1"/>
  <c r="V35" i="9" a="1"/>
  <c r="V35" i="9" s="1"/>
  <c r="V82" i="9" a="1"/>
  <c r="V82" i="9" s="1"/>
  <c r="V89" i="9"/>
  <c r="S90" i="9" s="1" a="1"/>
  <c r="S90" i="9" s="1"/>
  <c r="J87" i="9"/>
  <c r="S88" i="9" a="1"/>
  <c r="S88" i="9" s="1"/>
  <c r="S89" i="9" a="1"/>
  <c r="S89" i="9" s="1"/>
  <c r="P90" i="9" a="1"/>
  <c r="P90" i="9" s="1"/>
  <c r="W20" i="9" l="1" a="1"/>
  <c r="W20" i="9" s="1"/>
  <c r="W82" i="9" a="1"/>
  <c r="W82" i="9" s="1"/>
  <c r="W70" i="9" a="1"/>
  <c r="W70" i="9" s="1"/>
  <c r="W45" i="9" a="1"/>
  <c r="W45" i="9" s="1"/>
  <c r="W35" i="9" a="1"/>
  <c r="W35" i="9" s="1"/>
  <c r="W29" i="9" a="1"/>
  <c r="W29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<sst xmlns="http://schemas.openxmlformats.org/spreadsheetml/2006/main" count="14358" uniqueCount="3234">
  <si>
    <t>Date</t>
  </si>
  <si>
    <t>DBH (m)</t>
  </si>
  <si>
    <t>method</t>
  </si>
  <si>
    <t>Height (m)</t>
  </si>
  <si>
    <t>GT DBH (m)</t>
  </si>
  <si>
    <t>GT Height (m)</t>
  </si>
  <si>
    <t>latitude</t>
  </si>
  <si>
    <t>longitude</t>
  </si>
  <si>
    <t>user_id</t>
  </si>
  <si>
    <t>DBH Height (m)</t>
  </si>
  <si>
    <t>phone_model</t>
  </si>
  <si>
    <t>app_version</t>
  </si>
  <si>
    <t>Species #</t>
  </si>
  <si>
    <t>Tree #</t>
  </si>
  <si>
    <t>Stem #</t>
  </si>
  <si>
    <t>Footprint</t>
  </si>
  <si>
    <t>Edits?</t>
  </si>
  <si>
    <t>notes</t>
  </si>
  <si>
    <t>project</t>
  </si>
  <si>
    <t>Species</t>
  </si>
  <si>
    <t>dbh_photo_url</t>
  </si>
  <si>
    <t>height_photo_url</t>
  </si>
  <si>
    <t>dmap_zip_url</t>
  </si>
  <si>
    <t>trunk_occupancy</t>
  </si>
  <si>
    <t>trunk_dist_m</t>
  </si>
  <si>
    <t>apparent_dbh_med_m</t>
  </si>
  <si>
    <t>measurement_id</t>
  </si>
  <si>
    <t>2026_03_09 19:43:00</t>
  </si>
  <si>
    <t>ADM Fixed Percent</t>
  </si>
  <si>
    <t>W3HjVEeEFWXa94BMF8iP5lQOZU03</t>
  </si>
  <si>
    <t>iPhone13,3</t>
  </si>
  <si>
    <t>2.3.3</t>
  </si>
  <si>
    <t xml:space="preserve">Redwood tree 1 </t>
  </si>
  <si>
    <t>W25 inventory</t>
  </si>
  <si>
    <t>coast redwood</t>
  </si>
  <si>
    <t>https://firebasestorage.googleapis.com/v0/b/wt-foundation-production.appspot.com/o/measurements%2FMeasureMethod.ADM_FIXED_PCT%2FdbhPhoto%2F1773768455780?alt=media&amp;token=8918caa2-020e-47a3-ac4c-54d6e7bcb77a</t>
  </si>
  <si>
    <t>https://firebasestorage.googleapis.com/v0/b/wt-foundation-production.appspot.com/o/measurements%2FMeasureMethod.ADM_FIXED_PCT%2FheightPhoto%2F1773768049361?alt=media&amp;token=bc77bd00-be6f-4a1b-bf6e-b966ca8952f8</t>
  </si>
  <si>
    <t>https://firebasestorage.googleapis.com/v0/b/wt-foundation-production.appspot.com/o/measurements%2FMeasureMethod.ADM_FIXED_PCT%2Fdepth%2F1773768496664?alt=media&amp;token=24c10cc4-7c54-4cb7-adaf-c457cba1dd09</t>
  </si>
  <si>
    <t>iFocDDPUhG9WdHAlaByf</t>
  </si>
  <si>
    <t>Total Trees Measured:</t>
  </si>
  <si>
    <t>2026_03_09 19:53:18</t>
  </si>
  <si>
    <t>Redwood tree 2 stem 1</t>
  </si>
  <si>
    <t>https://firebasestorage.googleapis.com/v0/b/wt-foundation-production.appspot.com/o/measurements%2FMeasureMethod.ADM_FIXED_PCT%2FdbhPhoto%2F1773300400017?alt=media&amp;token=1bee9cc3-f974-469a-91e0-6165d82f671f</t>
  </si>
  <si>
    <t>https://firebasestorage.googleapis.com/v0/b/wt-foundation-production.appspot.com/o/measurements%2FMeasureMethod.ADM_FIXED_PCT%2FheightPhoto%2F1773300399955?alt=media&amp;token=166c182a-e0fd-4ed6-aa9b-015fd4e76059</t>
  </si>
  <si>
    <t>https://firebasestorage.googleapis.com/v0/b/wt-foundation-production.appspot.com/o/measurements%2FMeasureMethod.ADM_FIXED_PCT%2Fdepth%2F1773768353454?alt=media&amp;token=94f616c2-2003-4965-8d7c-a179755ae178</t>
  </si>
  <si>
    <t>z4rH3lRn5assScP9rcXd</t>
  </si>
  <si>
    <t>2026_03_09 20:02:32</t>
  </si>
  <si>
    <t>Redwood tree 3</t>
  </si>
  <si>
    <t>https://firebasestorage.googleapis.com/v0/b/wt-foundation-production.appspot.com/o/measurements%2FMeasureMethod.ADM_FIXED_PCT%2FdbhPhoto%2F1773768429721?alt=media&amp;token=b57c2e2d-da85-4d34-8131-1ebd5b0518dd</t>
  </si>
  <si>
    <t>https://firebasestorage.googleapis.com/v0/b/wt-foundation-production.appspot.com/o/measurements%2FMeasureMethod.ADM_FIXED_PCT%2FheightPhoto%2F1773768422775?alt=media&amp;token=1584bb56-ed98-4c26-bdaa-3c369f039c78</t>
  </si>
  <si>
    <t>https://firebasestorage.googleapis.com/v0/b/wt-foundation-production.appspot.com/o/measurements%2FMeasureMethod.ADM_FIXED_PCT%2Fdepth%2F1773768499473?alt=media&amp;token=9cea7eee-df5e-46c9-b326-a5be08fc1f7f</t>
  </si>
  <si>
    <t>IQicm8hybxWTbCtLK9oc</t>
  </si>
  <si>
    <t>2026_03_09 20:07:59</t>
  </si>
  <si>
    <t>Redwood tree 4</t>
  </si>
  <si>
    <t>https://firebasestorage.googleapis.com/v0/b/wt-foundation-production.appspot.com/o/measurements%2FMeasureMethod.ADM_FIXED_PCT%2FdbhPhoto%2F1773768535469?alt=media&amp;token=bc55fa73-8e3c-47f8-958d-c4e41701629a</t>
  </si>
  <si>
    <t>https://firebasestorage.googleapis.com/v0/b/wt-foundation-production.appspot.com/o/measurements%2FMeasureMethod.ADM_FIXED_PCT%2FheightPhoto%2F1773768525865?alt=media&amp;token=ac4b7cba-f743-4c9e-8edd-d2b177514da7</t>
  </si>
  <si>
    <t>https://firebasestorage.googleapis.com/v0/b/wt-foundation-production.appspot.com/o/measurements%2FMeasureMethod.ADM_FIXED_PCT%2Fdepth%2F1773772765887?alt=media&amp;token=79234272-5c37-4636-bd01-b6cfc6d9df73</t>
  </si>
  <si>
    <t>0rlV6XffgjeEBQUgddMJ</t>
  </si>
  <si>
    <t>2026_03_09 20:10:45</t>
  </si>
  <si>
    <t>Redwood tree 5</t>
  </si>
  <si>
    <t>https://firebasestorage.googleapis.com/v0/b/wt-foundation-production.appspot.com/o/measurements%2FMeasureMethod.ADM_FIXED_PCT%2FdbhPhoto%2F1773385405582?alt=media&amp;token=7eeccff5-93c9-469c-bf8b-0292397de16a</t>
  </si>
  <si>
    <t>https://firebasestorage.googleapis.com/v0/b/wt-foundation-production.appspot.com/o/measurements%2FMeasureMethod.ADM_FIXED_PCT%2FheightPhoto%2F1773385405570?alt=media&amp;token=1a3ec410-cdac-4173-8581-cfa35be07915</t>
  </si>
  <si>
    <t>https://firebasestorage.googleapis.com/v0/b/wt-foundation-production.appspot.com/o/measurements%2FMeasureMethod.ADM_FIXED_PCT%2Fdepth%2F1773772825421?alt=media&amp;token=19ba0938-a305-47b9-9408-abb53cd3de6e</t>
  </si>
  <si>
    <t>dkrFdzZ2l90gQsvfvd4X</t>
  </si>
  <si>
    <t>coastal live oak</t>
  </si>
  <si>
    <t>2026_03_09 20:24:21</t>
  </si>
  <si>
    <t>redwood tree 7</t>
  </si>
  <si>
    <t>https://firebasestorage.googleapis.com/v0/b/wt-foundation-production.appspot.com/o/measurements%2FMeasureMethod.ADM_FIXED_PCT%2FdbhPhoto%2F1773857389672?alt=media&amp;token=35bf63b1-c8bc-452b-967a-f8b840ac6f1c</t>
  </si>
  <si>
    <t>https://firebasestorage.googleapis.com/v0/b/wt-foundation-production.appspot.com/o/measurements%2FMeasureMethod.ADM_FIXED_PCT%2FheightPhoto%2F1773857384551?alt=media&amp;token=0d819d37-fa36-429e-87d7-d72ab81b1403</t>
  </si>
  <si>
    <t>https://firebasestorage.googleapis.com/v0/b/wt-foundation-production.appspot.com/o/measurements%2FMeasureMethod.ADM_FIXED_PCT%2Fdepth%2F1773895829950?alt=media&amp;token=91b9f13d-8860-478f-bf67-cecb2a95be6b</t>
  </si>
  <si>
    <t>aPlpmRMWgiVNHCx7vien</t>
  </si>
  <si>
    <t>engelmann oak</t>
  </si>
  <si>
    <t>2026_03_09 20:32:43</t>
  </si>
  <si>
    <t>redwood tree 8 stem 1</t>
  </si>
  <si>
    <t>https://firebasestorage.googleapis.com/v0/b/wt-foundation-production.appspot.com/o/measurements%2FMeasureMethod.ADM_FIXED_PCT%2FdbhPhoto%2F1773895938390?alt=media&amp;token=b4d0b648-5312-4f12-90cf-5b36478bb617</t>
  </si>
  <si>
    <t>https://firebasestorage.googleapis.com/v0/b/wt-foundation-production.appspot.com/o/measurements%2FMeasureMethod.ADM_FIXED_PCT%2FheightPhoto%2F1773895917790?alt=media&amp;token=4a3bdab4-fc55-4f58-bd3d-364c644507bd</t>
  </si>
  <si>
    <t>https://firebasestorage.googleapis.com/v0/b/wt-foundation-production.appspot.com/o/measurements%2FMeasureMethod.ADM_FIXED_PCT%2Fdepth%2F1773895960152?alt=media&amp;token=ac4a7445-c880-491d-9980-6503faaa97f7</t>
  </si>
  <si>
    <t>sE272u19EfYvn49nPWjN</t>
  </si>
  <si>
    <t>white alder</t>
  </si>
  <si>
    <t>2026_03_09 20:33:44</t>
  </si>
  <si>
    <t>redwood tree 8 stem 2</t>
  </si>
  <si>
    <t>https://firebasestorage.googleapis.com/v0/b/wt-foundation-production.appspot.com/o/measurements%2FMeasureMethod.ADM_FIXED_PCT%2FdbhPhoto%2F1773895983446?alt=media&amp;token=15ae0a53-975f-4e59-8a7a-0187bcedab2f</t>
  </si>
  <si>
    <t>https://firebasestorage.googleapis.com/v0/b/wt-foundation-production.appspot.com/o/measurements%2FMeasureMethod.ADM_FIXED_PCT%2FheightPhoto%2F1773895978171?alt=media&amp;token=6c6c769a-f3ff-430e-b28c-c1a0af819e93</t>
  </si>
  <si>
    <t>https://firebasestorage.googleapis.com/v0/b/wt-foundation-production.appspot.com/o/measurements%2FMeasureMethod.ADM_FIXED_PCT%2Fdepth%2F1773895989396?alt=media&amp;token=56d6dac9-ed62-4103-a5bb-03f8fee67e6f</t>
  </si>
  <si>
    <t>DTlvOXkT8bv25o8CG2lH</t>
  </si>
  <si>
    <t>california laurel</t>
  </si>
  <si>
    <t>2026_03_11 20:39:56</t>
  </si>
  <si>
    <t>2.4.2</t>
  </si>
  <si>
    <t>caution tape tree</t>
  </si>
  <si>
    <t>https://firebasestorage.googleapis.com/v0/b/wt-foundation-production.appspot.com/o/measurements%2FMeasureMethod.ADM_FIXED_PCT%2FdbhPhoto%2F1773896006235?alt=media&amp;token=dbf45a7f-40e1-45b6-9066-1b5f2c3275f8</t>
  </si>
  <si>
    <t>https://firebasestorage.googleapis.com/v0/b/wt-foundation-production.appspot.com/o/measurements%2FMeasureMethod.ADM_FIXED_PCT%2FheightPhoto%2F1773895993952?alt=media&amp;token=0c2678d2-373b-47be-bc56-187390c56baa</t>
  </si>
  <si>
    <t>https://firebasestorage.googleapis.com/v0/b/wt-foundation-production.appspot.com/o/measurements%2FMeasureMethod.ADM_FIXED_PCT%2Fdepth%2F1773896024224?alt=media&amp;token=b6b2f2b1-5089-4800-8226-583ad90b1862</t>
  </si>
  <si>
    <t>HdCJTUZkkb8yXqwaNvq7</t>
  </si>
  <si>
    <t>california sycamore</t>
  </si>
  <si>
    <t>2026_03_11 21:10:35</t>
  </si>
  <si>
    <t>redwood 10</t>
  </si>
  <si>
    <t>https://firebasestorage.googleapis.com/v0/b/wt-foundation-production.appspot.com/o/measurements%2FMeasureMethod.ADM_FIXED_PCT%2FdbhPhoto%2F1773896055828?alt=media&amp;token=d22aff70-a439-422c-bbd0-657d40d59a0a</t>
  </si>
  <si>
    <t>https://firebasestorage.googleapis.com/v0/b/wt-foundation-production.appspot.com/o/measurements%2FMeasureMethod.ADM_FIXED_PCT%2FheightPhoto%2F1773896046697?alt=media&amp;token=9c3f0ba6-b124-42a5-ae7e-ebc7a87bcf85</t>
  </si>
  <si>
    <t>https://firebasestorage.googleapis.com/v0/b/wt-foundation-production.appspot.com/o/measurements%2FMeasureMethod.ADM_FIXED_PCT%2Fdepth%2F1773896064829?alt=media&amp;token=7248e7be-e735-4330-85c5-f5e5bcdb491c</t>
  </si>
  <si>
    <t>HB2mh4gtpgGvCbr4d801</t>
  </si>
  <si>
    <t>monterey cypress</t>
  </si>
  <si>
    <t>2026_03_11 21:18:25</t>
  </si>
  <si>
    <t>redwood 11</t>
  </si>
  <si>
    <t>https://firebasestorage.googleapis.com/v0/b/wt-foundation-production.appspot.com/o/measurements%2FMeasureMethod.ADM_FIXED_PCT%2FdbhPhoto%2F1773896093687?alt=media&amp;token=ba4ba541-fe82-4a7a-bf02-75678f8cc29c</t>
  </si>
  <si>
    <t>https://firebasestorage.googleapis.com/v0/b/wt-foundation-production.appspot.com/o/measurements%2FMeasureMethod.ADM_FIXED_PCT%2FheightPhoto%2F1773896078713?alt=media&amp;token=988c920e-c20e-45cb-bfae-603072ec0cbe</t>
  </si>
  <si>
    <t>https://firebasestorage.googleapis.com/v0/b/wt-foundation-production.appspot.com/o/measurements%2FMeasureMethod.ADM_FIXED_PCT%2Fdepth%2F1773896106806?alt=media&amp;token=9d1e904b-6683-46e0-bcab-7c76b1e879ad</t>
  </si>
  <si>
    <t>F1dpH5GfFqAOnIxWIGKb</t>
  </si>
  <si>
    <t>unknown</t>
  </si>
  <si>
    <t>2026_03_17 15:38:11</t>
  </si>
  <si>
    <t>TREE 1 
QUAG
stem 1</t>
  </si>
  <si>
    <t>https://firebasestorage.googleapis.com/v0/b/wt-foundation-production.appspot.com/o/measurements%2FMeasureMethod.ADM_FIXED_PCT%2FdbhPhoto%2F1773896122238?alt=media&amp;token=beb517a7-15a1-4e16-a0c6-5b414a4e0f7d</t>
  </si>
  <si>
    <t>https://firebasestorage.googleapis.com/v0/b/wt-foundation-production.appspot.com/o/measurements%2FMeasureMethod.ADM_FIXED_PCT%2FheightPhoto%2F1773896116710?alt=media&amp;token=ea46caa3-c378-478f-8160-7efd3a5364ff</t>
  </si>
  <si>
    <t>https://firebasestorage.googleapis.com/v0/b/wt-foundation-production.appspot.com/o/measurements%2FMeasureMethod.ADM_FIXED_PCT%2Fdepth%2F1773896128224?alt=media&amp;token=c9fb6799-ee1d-47c1-a416-38af36859577</t>
  </si>
  <si>
    <t>V9hCX1ewKAhW6TVvhkr7</t>
  </si>
  <si>
    <t>2026_03_17 15:39:41</t>
  </si>
  <si>
    <t>stem 2</t>
  </si>
  <si>
    <t>https://firebasestorage.googleapis.com/v0/b/wt-foundation-production.appspot.com/o/measurements%2FMeasureMethod.ADM_FIXED_PCT%2FdbhPhoto%2F1773896151418?alt=media&amp;token=ce067017-2173-4c45-bf06-831706a135df</t>
  </si>
  <si>
    <t>https://firebasestorage.googleapis.com/v0/b/wt-foundation-production.appspot.com/o/measurements%2FMeasureMethod.ADM_FIXED_PCT%2FheightPhoto%2F1773896143908?alt=media&amp;token=b9cda55f-d757-40da-aaec-f31e83fa3f63</t>
  </si>
  <si>
    <t>https://firebasestorage.googleapis.com/v0/b/wt-foundation-production.appspot.com/o/measurements%2FMeasureMethod.ADM_FIXED_PCT%2Fdepth%2F1773896160637?alt=media&amp;token=7acdb7e2-5db0-4c94-ad2f-c7e0ebf6ccf4</t>
  </si>
  <si>
    <t>CWX9Sd8UjwyAuICAXb0j</t>
  </si>
  <si>
    <t>2026_03_17 16:35:20</t>
  </si>
  <si>
    <t>TREE 2 
QUAG</t>
  </si>
  <si>
    <t>https://firebasestorage.googleapis.com/v0/b/wt-foundation-production.appspot.com/o/measurements%2FMeasureMethod.ADM_FIXED_PCT%2FdbhPhoto%2F1773896233465?alt=media&amp;token=033c44e3-86c4-420a-8514-869a443f380b</t>
  </si>
  <si>
    <t>https://firebasestorage.googleapis.com/v0/b/wt-foundation-production.appspot.com/o/measurements%2FMeasureMethod.ADM_FIXED_PCT%2FheightPhoto%2F1773896225606?alt=media&amp;token=ef6e46b9-d5f6-4e6b-a1a1-64393b4e31f8</t>
  </si>
  <si>
    <t>https://firebasestorage.googleapis.com/v0/b/wt-foundation-production.appspot.com/o/measurements%2FMeasureMethod.ADM_FIXED_PCT%2Fdepth%2F1773896235794?alt=media&amp;token=a60fdfca-41f5-452e-8698-16730d3936c1</t>
  </si>
  <si>
    <t>DmtEya4gP8UZf3xGjudN</t>
  </si>
  <si>
    <t>2026_03_17 16:38:59</t>
  </si>
  <si>
    <t>TREE 3</t>
  </si>
  <si>
    <t>https://firebasestorage.googleapis.com/v0/b/wt-foundation-production.appspot.com/o/measurements%2FMeasureMethod.ADM_FIXED_PCT%2FdbhPhoto%2F1773896249194?alt=media&amp;token=3b376066-4454-48fd-b892-faf0344af16f</t>
  </si>
  <si>
    <t>https://firebasestorage.googleapis.com/v0/b/wt-foundation-production.appspot.com/o/measurements%2FMeasureMethod.ADM_FIXED_PCT%2FheightPhoto%2F1773896238754?alt=media&amp;token=8dbe8db8-4057-403c-b83f-e3ef7aa12c62</t>
  </si>
  <si>
    <t>https://firebasestorage.googleapis.com/v0/b/wt-foundation-production.appspot.com/o/measurements%2FMeasureMethod.ADM_FIXED_PCT%2Fdepth%2F1773953842239?alt=media&amp;token=69d8eee1-5916-43aa-af22-4ca6ac4106c2</t>
  </si>
  <si>
    <t>4LF6LKtvT98GEfDD5xMH</t>
  </si>
  <si>
    <t>2026_03_17 16:42:37</t>
  </si>
  <si>
    <t>TREE 4</t>
  </si>
  <si>
    <t>https://firebasestorage.googleapis.com/v0/b/wt-foundation-production.appspot.com/o/measurements%2FMeasureMethod.ADM_FIXED_PCT%2FdbhPhoto%2F1773897074510?alt=media&amp;token=bb963d49-ea06-4d09-832a-84641283da42</t>
  </si>
  <si>
    <t>https://firebasestorage.googleapis.com/v0/b/wt-foundation-production.appspot.com/o/measurements%2FMeasureMethod.ADM_FIXED_PCT%2FheightPhoto%2F1773953842243?alt=media&amp;token=cbe864de-8f69-4a2b-8fc7-52afaaf7e1cf</t>
  </si>
  <si>
    <t>https://firebasestorage.googleapis.com/v0/b/wt-foundation-production.appspot.com/o/measurements%2FMeasureMethod.ADM_FIXED_PCT%2Fdepth%2F1773897074529?alt=media&amp;token=951a3a58-a18e-46e9-a589-d56db3e6e7f9</t>
  </si>
  <si>
    <t>qJBGt7dSbjhSi7PfTBxa</t>
  </si>
  <si>
    <t>2026_03_17 16:49:51</t>
  </si>
  <si>
    <t>TREE 5</t>
  </si>
  <si>
    <t>https://firebasestorage.googleapis.com/v0/b/wt-foundation-production.appspot.com/o/measurements%2FMeasureMethod.ADM_FIXED_PCT%2FdbhPhoto%2F1773953875697?alt=media&amp;token=75308296-1ce8-4a84-9ba8-895841dfac30</t>
  </si>
  <si>
    <t>https://firebasestorage.googleapis.com/v0/b/wt-foundation-production.appspot.com/o/measurements%2FMeasureMethod.ADM_FIXED_PCT%2FheightPhoto%2F1773953856766?alt=media&amp;token=ecb0ef64-b031-4aa1-aae9-578ee9dfcc02</t>
  </si>
  <si>
    <t>https://firebasestorage.googleapis.com/v0/b/wt-foundation-production.appspot.com/o/measurements%2FMeasureMethod.ADM_FIXED_PCT%2Fdepth%2F1773898525775?alt=media&amp;token=8323d491-3cb8-4a2a-af2b-6154805437bf</t>
  </si>
  <si>
    <t>nYjd8igCiq99IBULjWku</t>
  </si>
  <si>
    <t>2026_03_17 17:03:42</t>
  </si>
  <si>
    <t>TREE 6</t>
  </si>
  <si>
    <t>https://firebasestorage.googleapis.com/v0/b/wt-foundation-production.appspot.com/o/measurements%2FMeasureMethod.ADM_FIXED_PCT%2FdbhPhoto%2F1773953876675?alt=media&amp;token=9c6987cf-b936-42d7-9658-830c7f9683f0</t>
  </si>
  <si>
    <t>https://firebasestorage.googleapis.com/v0/b/wt-foundation-production.appspot.com/o/measurements%2FMeasureMethod.ADM_FIXED_PCT%2FheightPhoto%2F1773898779433?alt=media&amp;token=448f0eac-2366-4952-9316-9e538a65cb5c</t>
  </si>
  <si>
    <t>https://firebasestorage.googleapis.com/v0/b/wt-foundation-production.appspot.com/o/measurements%2FMeasureMethod.ADM_FIXED_PCT%2Fdepth%2F1773899032925?alt=media&amp;token=512ba16d-9a9d-4684-80fa-d04e07a820b8</t>
  </si>
  <si>
    <t>AqgBKUVtIQUV6psxy1ZK</t>
  </si>
  <si>
    <t>2026_03_17 17:08:33</t>
  </si>
  <si>
    <t>TREE 7</t>
  </si>
  <si>
    <t>https://firebasestorage.googleapis.com/v0/b/wt-foundation-production.appspot.com/o/measurements%2FMeasureMethod.ADM_FIXED_PCT%2FdbhPhoto%2F1773953887904?alt=media&amp;token=47414445-6eaf-483a-94f4-51eff94748a7</t>
  </si>
  <si>
    <t>https://firebasestorage.googleapis.com/v0/b/wt-foundation-production.appspot.com/o/measurements%2FMeasureMethod.ADM_FIXED_PCT%2FheightPhoto%2F1773953886200?alt=media&amp;token=48130c94-da35-46ac-92ed-0544dc2fa4f7</t>
  </si>
  <si>
    <t>https://firebasestorage.googleapis.com/v0/b/wt-foundation-production.appspot.com/o/measurements%2FMeasureMethod.ADM_FIXED_PCT%2Fdepth%2F1773953902602?alt=media&amp;token=958e09c2-434c-4f54-b663-158a2835b2fe</t>
  </si>
  <si>
    <t>w2EflcNCJyzDMLkKGcZI</t>
  </si>
  <si>
    <t>2026_03_17 17:11:31</t>
  </si>
  <si>
    <t>TREE 8 
stem 1</t>
  </si>
  <si>
    <t>https://firebasestorage.googleapis.com/v0/b/wt-foundation-production.appspot.com/o/measurements%2FMeasureMethod.ADM_FIXED_PCT%2FdbhPhoto%2F1773953943882?alt=media&amp;token=8456f02d-4763-458a-9937-826bac91b1a0</t>
  </si>
  <si>
    <t>https://firebasestorage.googleapis.com/v0/b/wt-foundation-production.appspot.com/o/measurements%2FMeasureMethod.ADM_FIXED_PCT%2FheightPhoto%2F1773953934056?alt=media&amp;token=8e989daf-f34b-4f01-9d57-5f358e7ef08a</t>
  </si>
  <si>
    <t>https://firebasestorage.googleapis.com/v0/b/wt-foundation-production.appspot.com/o/measurements%2FMeasureMethod.ADM_FIXED_PCT%2Fdepth%2F1773953982390?alt=media&amp;token=8d725adb-1c0e-4315-a62a-0b384c1b7872</t>
  </si>
  <si>
    <t>652raVd2kbK0ZeJmOAVW</t>
  </si>
  <si>
    <t>2026_03_17 17:13:31</t>
  </si>
  <si>
    <t>TREE 8 
Stem 2</t>
  </si>
  <si>
    <t>https://firebasestorage.googleapis.com/v0/b/wt-foundation-production.appspot.com/o/measurements%2FMeasureMethod.ADM_FIXED_PCT%2FdbhPhoto%2F1773953998239?alt=media&amp;token=5d7fee51-52d0-4cc6-aeb3-35b75d658442</t>
  </si>
  <si>
    <t>https://firebasestorage.googleapis.com/v0/b/wt-foundation-production.appspot.com/o/measurements%2FMeasureMethod.ADM_FIXED_PCT%2FheightPhoto%2F1773953995740?alt=media&amp;token=2ce58c79-02fa-4fe3-8034-665ffbd15b81</t>
  </si>
  <si>
    <t>https://firebasestorage.googleapis.com/v0/b/wt-foundation-production.appspot.com/o/measurements%2FMeasureMethod.ADM_FIXED_PCT%2Fdepth%2F1773954006167?alt=media&amp;token=98b7cac1-23f8-4b1c-bb87-8cdb1bc25415</t>
  </si>
  <si>
    <t>orVvAINZtGIBGyh5jJL4</t>
  </si>
  <si>
    <t>2026_03_17 17:14:48</t>
  </si>
  <si>
    <t>TREE 8 
stem 3</t>
  </si>
  <si>
    <t>https://firebasestorage.googleapis.com/v0/b/wt-foundation-production.appspot.com/o/measurements%2FMeasureMethod.ADM_FIXED_PCT%2FdbhPhoto%2F1773923493480?alt=media&amp;token=2a778542-6844-4c13-9fea-455326766e52</t>
  </si>
  <si>
    <t>https://firebasestorage.googleapis.com/v0/b/wt-foundation-production.appspot.com/o/measurements%2FMeasureMethod.ADM_FIXED_PCT%2FheightPhoto%2F1773923493493?alt=media&amp;token=17f963fb-0ecb-4f57-82a9-5b335c9f5dc6</t>
  </si>
  <si>
    <t>https://firebasestorage.googleapis.com/v0/b/wt-foundation-production.appspot.com/o/measurements%2FMeasureMethod.ADM_FIXED_PCT%2Fdepth%2F1773923561968?alt=media&amp;token=b55f1422-112b-498e-8d2a-5e7353f289f8</t>
  </si>
  <si>
    <t>V8H3SD1JVmdziwZbJKkT</t>
  </si>
  <si>
    <t>2026_03_17 17:20:12</t>
  </si>
  <si>
    <t>TREE 9
stem 1</t>
  </si>
  <si>
    <t>https://firebasestorage.googleapis.com/v0/b/wt-foundation-production.appspot.com/o/measurements%2FMeasureMethod.ADM_FIXED_PCT%2FdbhPhoto%2F1773923579898?alt=media&amp;token=94d178b1-7ae5-44e2-b9aa-d685a67d1250</t>
  </si>
  <si>
    <t>https://firebasestorage.googleapis.com/v0/b/wt-foundation-production.appspot.com/o/measurements%2FMeasureMethod.ADM_FIXED_PCT%2FheightPhoto%2F1773923569048?alt=media&amp;token=b7e4e035-e88b-408f-827a-6b871b9ac069</t>
  </si>
  <si>
    <t>https://firebasestorage.googleapis.com/v0/b/wt-foundation-production.appspot.com/o/measurements%2FMeasureMethod.ADM_FIXED_PCT%2Fdepth%2F1773923710694?alt=media&amp;token=53a9f0f8-9d78-4ce0-84f5-1c5389c069ba</t>
  </si>
  <si>
    <t>sFULndRR9MSGTibfe9kg</t>
  </si>
  <si>
    <t>2026_03_17 17:21:45</t>
  </si>
  <si>
    <t>TREE 9 stem 2</t>
  </si>
  <si>
    <t>https://firebasestorage.googleapis.com/v0/b/wt-foundation-production.appspot.com/o/measurements%2FMeasureMethod.ADM_FIXED_PCT%2FdbhPhoto%2F1773954020462?alt=media&amp;token=5bd22f61-0bc4-4ff8-82cf-dae70da4cc83</t>
  </si>
  <si>
    <t>https://firebasestorage.googleapis.com/v0/b/wt-foundation-production.appspot.com/o/measurements%2FMeasureMethod.ADM_FIXED_PCT%2FheightPhoto%2F1773954019557?alt=media&amp;token=243bd838-d08f-499f-b70e-853422d2f445</t>
  </si>
  <si>
    <t>https://firebasestorage.googleapis.com/v0/b/wt-foundation-production.appspot.com/o/measurements%2FMeasureMethod.ADM_FIXED_PCT%2Fdepth%2F1773954028109?alt=media&amp;token=8f516ead-c1a2-49d1-967c-0fd81f560249</t>
  </si>
  <si>
    <t>L3j13lTaJLyKLjzaltso</t>
  </si>
  <si>
    <t>2026_03_17 17:24:16</t>
  </si>
  <si>
    <t>TREE 9 
stem 3</t>
  </si>
  <si>
    <t>https://firebasestorage.googleapis.com/v0/b/wt-foundation-production.appspot.com/o/measurements%2FMeasureMethod.ADM_FIXED_PCT%2FdbhPhoto%2F1773954041559?alt=media&amp;token=e88e24e8-17a9-4dfc-9d24-9f290489ce7e</t>
  </si>
  <si>
    <t>https://firebasestorage.googleapis.com/v0/b/wt-foundation-production.appspot.com/o/measurements%2FMeasureMethod.ADM_FIXED_PCT%2FheightPhoto%2F1773954039123?alt=media&amp;token=6c9c45e7-a31e-4f12-9e8e-81ee2a43e60e</t>
  </si>
  <si>
    <t>https://firebasestorage.googleapis.com/v0/b/wt-foundation-production.appspot.com/o/measurements%2FMeasureMethod.ADM_FIXED_PCT%2Fdepth%2F1773954057958?alt=media&amp;token=ce6a1f53-2558-482a-87fc-0749a6a83883</t>
  </si>
  <si>
    <t>N4EvM5NSxtl2pIjp0c1W</t>
  </si>
  <si>
    <t>2026_03_17 17:25:46</t>
  </si>
  <si>
    <t>TREE 9
stem 4</t>
  </si>
  <si>
    <t>https://firebasestorage.googleapis.com/v0/b/wt-foundation-production.appspot.com/o/measurements%2FMeasureMethod.ADM_FIXED_PCT%2FdbhPhoto%2F1773955612045?alt=media&amp;token=6235395b-9c22-4bcf-95c9-5153d3864142</t>
  </si>
  <si>
    <t>https://firebasestorage.googleapis.com/v0/b/wt-foundation-production.appspot.com/o/measurements%2FMeasureMethod.ADM_FIXED_PCT%2FheightPhoto%2F1773954061339?alt=media&amp;token=223e9c84-fcce-4fd7-a4f0-9c65e000d064</t>
  </si>
  <si>
    <t>https://firebasestorage.googleapis.com/v0/b/wt-foundation-production.appspot.com/o/measurements%2FMeasureMethod.ADM_FIXED_PCT%2Fdepth%2F1773955612048?alt=media&amp;token=1f7e274a-82ad-49bf-a635-b281473c494e</t>
  </si>
  <si>
    <t>mavyt5q8Hyf52tKoPpzY</t>
  </si>
  <si>
    <t>2026_03_17 17:29:54</t>
  </si>
  <si>
    <t>TREE 10</t>
  </si>
  <si>
    <t>https://firebasestorage.googleapis.com/v0/b/wt-foundation-production.appspot.com/o/measurements%2FMeasureMethod.ADM_FIXED_PCT%2FdbhPhoto%2F1773955612048?alt=media&amp;token=0f6baa22-f55f-4d51-8173-70294b561b93</t>
  </si>
  <si>
    <t>https://firebasestorage.googleapis.com/v0/b/wt-foundation-production.appspot.com/o/measurements%2FMeasureMethod.ADM_FIXED_PCT%2FheightPhoto%2F1773954725759?alt=media&amp;token=4c322c78-4f14-459f-901e-c3154d542216</t>
  </si>
  <si>
    <t>https://firebasestorage.googleapis.com/v0/b/wt-foundation-production.appspot.com/o/measurements%2FMeasureMethod.ADM_FIXED_PCT%2Fdepth%2F1773955620505?alt=media&amp;token=957db111-653a-4bde-9ae0-863b7b90ae14</t>
  </si>
  <si>
    <t>UEfp5ArnJh1dJRyW7rrc</t>
  </si>
  <si>
    <t>2026_03_17 17:36:33</t>
  </si>
  <si>
    <t>TREE 11
STEM 1</t>
  </si>
  <si>
    <t>https://firebasestorage.googleapis.com/v0/b/wt-foundation-production.appspot.com/o/measurements%2FMeasureMethod.ADM_FIXED_PCT%2FdbhPhoto%2F1773955378480?alt=media&amp;token=9e3a6640-5a6a-425a-9d75-fc3516562510</t>
  </si>
  <si>
    <t>https://firebasestorage.googleapis.com/v0/b/wt-foundation-production.appspot.com/o/measurements%2FMeasureMethod.ADM_FIXED_PCT%2FheightPhoto%2F1773955378469?alt=media&amp;token=8b50b312-98c3-4218-b838-88701000910d</t>
  </si>
  <si>
    <t>https://firebasestorage.googleapis.com/v0/b/wt-foundation-production.appspot.com/o/measurements%2FMeasureMethod.ADM_FIXED_PCT%2Fdepth%2F1773945017597?alt=media&amp;token=1778f32b-7973-407a-a704-a6006c24052f</t>
  </si>
  <si>
    <t>HdqUNAfrKjyTNkPlEA8Y</t>
  </si>
  <si>
    <t>2026_03_17 17:38:14</t>
  </si>
  <si>
    <t>TREE 11
stem 2</t>
  </si>
  <si>
    <t>https://firebasestorage.googleapis.com/v0/b/wt-foundation-production.appspot.com/o/measurements%2FMeasureMethod.ADM_FIXED_PCT%2FdbhPhoto%2F1773945017612?alt=media&amp;token=3bfcf1db-3dd7-4d33-a0d7-3dda0413fc57</t>
  </si>
  <si>
    <t>https://firebasestorage.googleapis.com/v0/b/wt-foundation-production.appspot.com/o/measurements%2FMeasureMethod.ADM_FIXED_PCT%2FheightPhoto%2F1773945017598?alt=media&amp;token=c2b16dae-8e79-4cdf-bc1f-bc6928af644f</t>
  </si>
  <si>
    <t>https://firebasestorage.googleapis.com/v0/b/wt-foundation-production.appspot.com/o/measurements%2FMeasureMethod.ADM_FIXED_PCT%2Fdepth%2F1773945022860?alt=media&amp;token=c6debe33-64d2-409e-b470-ece65f1be26b</t>
  </si>
  <si>
    <t>SYd1wbSqUWsAamovOFkt</t>
  </si>
  <si>
    <t>2026_03_17 17:41:32</t>
  </si>
  <si>
    <t xml:space="preserve">TREE 11
stem 3
</t>
  </si>
  <si>
    <t>https://firebasestorage.googleapis.com/v0/b/wt-foundation-production.appspot.com/o/measurements%2FMeasureMethod.ADM_FIXED_PCT%2FdbhPhoto%2F1773945036911?alt=media&amp;token=8d241aa2-50a1-477f-8620-1e79cfddfae1</t>
  </si>
  <si>
    <t>https://firebasestorage.googleapis.com/v0/b/wt-foundation-production.appspot.com/o/measurements%2FMeasureMethod.ADM_FIXED_PCT%2FheightPhoto%2F1773945034241?alt=media&amp;token=d7ad89a6-825c-49c0-8b72-cca5936d21a6</t>
  </si>
  <si>
    <t>https://firebasestorage.googleapis.com/v0/b/wt-foundation-production.appspot.com/o/measurements%2FMeasureMethod.ADM_FIXED_PCT%2Fdepth%2F1773945039606?alt=media&amp;token=6b2a8c1f-7018-430e-bf65-4470a69b204e</t>
  </si>
  <si>
    <t>NwnUkGbsWhe5kBKHKksl</t>
  </si>
  <si>
    <t>2026_03_17 17:51:13</t>
  </si>
  <si>
    <t xml:space="preserve">TREE 12
stem 1
</t>
  </si>
  <si>
    <t>https://firebasestorage.googleapis.com/v0/b/wt-foundation-production.appspot.com/o/measurements%2FMeasureMethod.ADM_FIXED_PCT%2FdbhPhoto%2F1773945080523?alt=media&amp;token=1e5f8d35-fb4c-4f76-8d28-549d71cb468d</t>
  </si>
  <si>
    <t>https://firebasestorage.googleapis.com/v0/b/wt-foundation-production.appspot.com/o/measurements%2FMeasureMethod.ADM_FIXED_PCT%2FheightPhoto%2F1773945069255?alt=media&amp;token=fef33645-bac2-4b7f-99d6-828394cc67bd</t>
  </si>
  <si>
    <t>https://firebasestorage.googleapis.com/v0/b/wt-foundation-production.appspot.com/o/measurements%2FMeasureMethod.ADM_FIXED_PCT%2Fdepth%2F1773945102084?alt=media&amp;token=45c63817-fb06-43d9-b434-3a8fa7b1f493</t>
  </si>
  <si>
    <t>9exFxZuGVY7iEtDRyJJ1</t>
  </si>
  <si>
    <t>2026_03_17 17:52:57</t>
  </si>
  <si>
    <t xml:space="preserve">TREE 12
stem 2
</t>
  </si>
  <si>
    <t>https://firebasestorage.googleapis.com/v0/b/wt-foundation-production.appspot.com/o/measurements%2FMeasureMethod.ADM_FIXED_PCT%2FdbhPhoto%2F1773945152766?alt=media&amp;token=b67140a0-e8de-465e-9d0f-e523333cdecf</t>
  </si>
  <si>
    <t>https://firebasestorage.googleapis.com/v0/b/wt-foundation-production.appspot.com/o/measurements%2FMeasureMethod.ADM_FIXED_PCT%2FheightPhoto%2F1773945141003?alt=media&amp;token=0bc522be-31d8-49c2-b00c-39810220546b</t>
  </si>
  <si>
    <t>https://firebasestorage.googleapis.com/v0/b/wt-foundation-production.appspot.com/o/measurements%2FMeasureMethod.ADM_FIXED_PCT%2Fdepth%2F1773945166163?alt=media&amp;token=cd882fc0-bd84-4c05-988c-8fd910b5eeea</t>
  </si>
  <si>
    <t>B673VbJbQlTYJDA3QSsU</t>
  </si>
  <si>
    <t>2026_03_17 17:59:23</t>
  </si>
  <si>
    <t xml:space="preserve">TREE 13stem 1 </t>
  </si>
  <si>
    <t>https://firebasestorage.googleapis.com/v0/b/wt-foundation-production.appspot.com/o/measurements%2FMeasureMethod.ADM_FIXED_PCT%2FdbhPhoto%2F1773945237787?alt=media&amp;token=91238ff9-a8d2-4031-8ebc-cd968371b8b1</t>
  </si>
  <si>
    <t>https://firebasestorage.googleapis.com/v0/b/wt-foundation-production.appspot.com/o/measurements%2FMeasureMethod.ADM_FIXED_PCT%2FheightPhoto%2F1773945225897?alt=media&amp;token=2aebf7b9-e158-4cf3-b073-b79489d65ec2</t>
  </si>
  <si>
    <t>https://firebasestorage.googleapis.com/v0/b/wt-foundation-production.appspot.com/o/measurements%2FMeasureMethod.ADM_FIXED_PCT%2Fdepth%2F1773945244402?alt=media&amp;token=95a5eac6-02b3-4c50-ad30-4daaed92ac3c</t>
  </si>
  <si>
    <t>O5n9jt514USuToDkxiZB</t>
  </si>
  <si>
    <t>2026_03_17 18:04:21</t>
  </si>
  <si>
    <t xml:space="preserve">TREE 13
stem 2
</t>
  </si>
  <si>
    <t>https://firebasestorage.googleapis.com/v0/b/wt-foundation-production.appspot.com/o/measurements%2FMeasureMethod.ADM_FIXED_PCT%2FdbhPhoto%2F1773945295926?alt=media&amp;token=a7f8f9bc-2172-497a-87ce-646f80f59e30</t>
  </si>
  <si>
    <t>https://firebasestorage.googleapis.com/v0/b/wt-foundation-production.appspot.com/o/measurements%2FMeasureMethod.ADM_FIXED_PCT%2FheightPhoto%2F1773945279534?alt=media&amp;token=748e3812-7618-4fc9-973c-9ebc205ff394</t>
  </si>
  <si>
    <t>https://firebasestorage.googleapis.com/v0/b/wt-foundation-production.appspot.com/o/measurements%2FMeasureMethod.ADM_FIXED_PCT%2Fdepth%2F1773945308867?alt=media&amp;token=8adffd11-9d84-4257-b33c-96738fb24a7c</t>
  </si>
  <si>
    <t>5QvoyuckACvZIcZ4iyd0</t>
  </si>
  <si>
    <t>2026_03_17 18:05:55</t>
  </si>
  <si>
    <t xml:space="preserve">TREE 13
stem 3
</t>
  </si>
  <si>
    <t>https://firebasestorage.googleapis.com/v0/b/wt-foundation-production.appspot.com/o/measurements%2FMeasureMethod.ADM_FIXED_PCT%2FdbhPhoto%2F1773945327487?alt=media&amp;token=61867486-d595-41b2-83b6-21056d9d10be</t>
  </si>
  <si>
    <t>https://firebasestorage.googleapis.com/v0/b/wt-foundation-production.appspot.com/o/measurements%2FMeasureMethod.ADM_FIXED_PCT%2FheightPhoto%2F1773945313619?alt=media&amp;token=616cef53-4128-443b-8885-89c4a9b3079d</t>
  </si>
  <si>
    <t>https://firebasestorage.googleapis.com/v0/b/wt-foundation-production.appspot.com/o/measurements%2FMeasureMethod.ADM_FIXED_PCT%2Fdepth%2F1773945355147?alt=media&amp;token=0612e095-b200-4d54-9d03-9cfd029c8944</t>
  </si>
  <si>
    <t>Qw2VBXe3t8cA77jP1PF3</t>
  </si>
  <si>
    <t>2026_03_17 18:07:39</t>
  </si>
  <si>
    <t>TREE 13 stem 4</t>
  </si>
  <si>
    <t>https://firebasestorage.googleapis.com/v0/b/wt-foundation-production.appspot.com/o/measurements%2FMeasureMethod.ADM_FIXED_PCT%2FdbhPhoto%2F1773945413998?alt=media&amp;token=c9ede6fe-8421-4963-a558-3e008d34b18c</t>
  </si>
  <si>
    <t>https://firebasestorage.googleapis.com/v0/b/wt-foundation-production.appspot.com/o/measurements%2FMeasureMethod.ADM_FIXED_PCT%2FheightPhoto%2F1773945413541?alt=media&amp;token=3c4faab3-c394-40a2-92e3-76ed2dd2bc5c</t>
  </si>
  <si>
    <t>https://firebasestorage.googleapis.com/v0/b/wt-foundation-production.appspot.com/o/measurements%2FMeasureMethod.ADM_FIXED_PCT%2Fdepth%2F1773955407021?alt=media&amp;token=2e62c9db-096a-4b63-b253-5796895896e7</t>
  </si>
  <si>
    <t>JsUvqY28wJnhIP0bfyA6</t>
  </si>
  <si>
    <t>2026_03_17 18:13:41</t>
  </si>
  <si>
    <t xml:space="preserve">TREE 14
</t>
  </si>
  <si>
    <t>https://firebasestorage.googleapis.com/v0/b/wt-foundation-production.appspot.com/o/measurements%2FMeasureMethod.ADM_FIXED_PCT%2FdbhPhoto%2F1773955419234?alt=media&amp;token=083ed568-3108-4dee-921c-182be391a2a6</t>
  </si>
  <si>
    <t>https://firebasestorage.googleapis.com/v0/b/wt-foundation-production.appspot.com/o/measurements%2FMeasureMethod.ADM_FIXED_PCT%2FheightPhoto%2F1773955419055?alt=media&amp;token=ed035e31-ac9c-406a-b640-243325e02c85</t>
  </si>
  <si>
    <t>https://firebasestorage.googleapis.com/v0/b/wt-foundation-production.appspot.com/o/measurements%2FMeasureMethod.ADM_FIXED_PCT%2Fdepth%2F1773955430381?alt=media&amp;token=ee60e662-ef7a-4bf9-b67a-727180306fbf</t>
  </si>
  <si>
    <t>g866bYlHOULnHfpAza1X</t>
  </si>
  <si>
    <t>2026_03_17 18:19:46</t>
  </si>
  <si>
    <t xml:space="preserve">TREE 15
</t>
  </si>
  <si>
    <t>https://firebasestorage.googleapis.com/v0/b/wt-foundation-production.appspot.com/o/measurements%2FMeasureMethod.ADM_FIXED_PCT%2FdbhPhoto%2F1773946978203?alt=media&amp;token=f40b79b7-a9fd-4f57-af62-9905d7378cc2</t>
  </si>
  <si>
    <t>https://firebasestorage.googleapis.com/v0/b/wt-foundation-production.appspot.com/o/measurements%2FMeasureMethod.ADM_FIXED_PCT%2FheightPhoto%2F1773946975212?alt=media&amp;token=4233a376-08a2-4a19-9562-f8258a35146f</t>
  </si>
  <si>
    <t>https://firebasestorage.googleapis.com/v0/b/wt-foundation-production.appspot.com/o/measurements%2FMeasureMethod.ADM_FIXED_PCT%2Fdepth%2F1773946985047?alt=media&amp;token=b506787d-65aa-4b06-a254-d8637a2e2a4b</t>
  </si>
  <si>
    <t>ooVyuMwffkmOdk4HYmuA</t>
  </si>
  <si>
    <t>2026_03_17 18:24:19</t>
  </si>
  <si>
    <t xml:space="preserve">TREE 16
</t>
  </si>
  <si>
    <t>https://firebasestorage.googleapis.com/v0/b/wt-foundation-production.appspot.com/o/measurements%2FMeasureMethod.ADM_FIXED_PCT%2FdbhPhoto%2F1773947008973?alt=media&amp;token=029823b1-fa37-414c-9cc1-8f95f0d7ed9a</t>
  </si>
  <si>
    <t>https://firebasestorage.googleapis.com/v0/b/wt-foundation-production.appspot.com/o/measurements%2FMeasureMethod.ADM_FIXED_PCT%2FheightPhoto%2F1773946998216?alt=media&amp;token=524187a5-e503-4807-9807-02ba24d1eeeb</t>
  </si>
  <si>
    <t>https://firebasestorage.googleapis.com/v0/b/wt-foundation-production.appspot.com/o/measurements%2FMeasureMethod.ADM_FIXED_PCT%2Fdepth%2F1773947017967?alt=media&amp;token=9d1e1672-f35a-40f7-a374-c4117c9a555f</t>
  </si>
  <si>
    <t>cthpcJPAm4cyoMkhUT1b</t>
  </si>
  <si>
    <t>2026_03_17 18:28:25</t>
  </si>
  <si>
    <t xml:space="preserve">TREE 17
stem 1
</t>
  </si>
  <si>
    <t>https://firebasestorage.googleapis.com/v0/b/wt-foundation-production.appspot.com/o/measurements%2FMeasureMethod.ADM_FIXED_PCT%2FdbhPhoto%2F1773947043014?alt=media&amp;token=1a662a05-97dd-4a4d-ae68-1ed0854a8511</t>
  </si>
  <si>
    <t>https://firebasestorage.googleapis.com/v0/b/wt-foundation-production.appspot.com/o/measurements%2FMeasureMethod.ADM_FIXED_PCT%2FheightPhoto%2F1773947026337?alt=media&amp;token=b8e76106-c608-4b9a-be32-b650af3ab52d</t>
  </si>
  <si>
    <t>https://firebasestorage.googleapis.com/v0/b/wt-foundation-production.appspot.com/o/measurements%2FMeasureMethod.ADM_FIXED_PCT%2Fdepth%2F1773947057141?alt=media&amp;token=8160b619-16a1-4a62-a9a3-3f66c2f7cb82</t>
  </si>
  <si>
    <t>O7GGeybmKDiVqveccx60</t>
  </si>
  <si>
    <t>2026_03_17 18:29:53</t>
  </si>
  <si>
    <t xml:space="preserve">TREE 17 
stem 2
</t>
  </si>
  <si>
    <t>https://firebasestorage.googleapis.com/v0/b/wt-foundation-production.appspot.com/o/measurements%2FMeasureMethod.ADM_FIXED_PCT%2FdbhPhoto%2F1773947077307?alt=media&amp;token=7c142b3d-97b9-4718-820d-933fdf2faf01</t>
  </si>
  <si>
    <t>https://firebasestorage.googleapis.com/v0/b/wt-foundation-production.appspot.com/o/measurements%2FMeasureMethod.ADM_FIXED_PCT%2FheightPhoto%2F1773947070796?alt=media&amp;token=c77f872d-ef1f-4ffb-b05f-37b7c1f1df80</t>
  </si>
  <si>
    <t>https://firebasestorage.googleapis.com/v0/b/wt-foundation-production.appspot.com/o/measurements%2FMeasureMethod.ADM_FIXED_PCT%2Fdepth%2F1773947084459?alt=media&amp;token=de619f7e-6809-41e4-8ea2-d69ea3d13799</t>
  </si>
  <si>
    <t>2PHF2KBfQb6vDTGYELk2</t>
  </si>
  <si>
    <t>2026_03_17 18:41:30</t>
  </si>
  <si>
    <t>TREE 18</t>
  </si>
  <si>
    <t>https://firebasestorage.googleapis.com/v0/b/wt-foundation-production.appspot.com/o/measurements%2FMeasureMethod.ADM_FIXED_PCT%2FdbhPhoto%2F1773947184543?alt=media&amp;token=2e5ddca5-b3db-4152-8066-48068005f6af</t>
  </si>
  <si>
    <t>https://firebasestorage.googleapis.com/v0/b/wt-foundation-production.appspot.com/o/measurements%2FMeasureMethod.ADM_FIXED_PCT%2FheightPhoto%2F1773947170442?alt=media&amp;token=4a5321bd-97e9-4d1e-8b47-921412e8c79e</t>
  </si>
  <si>
    <t>https://firebasestorage.googleapis.com/v0/b/wt-foundation-production.appspot.com/o/measurements%2FMeasureMethod.ADM_FIXED_PCT%2Fdepth%2F1773947195723?alt=media&amp;token=72a3d25a-7ec4-4bc8-a388-35f768fe609d</t>
  </si>
  <si>
    <t>HPzglKVlUe0mzZDhFIN3</t>
  </si>
  <si>
    <t>2026_03_17 18:49:19</t>
  </si>
  <si>
    <t>TREE 19</t>
  </si>
  <si>
    <t>https://firebasestorage.googleapis.com/v0/b/wt-foundation-production.appspot.com/o/measurements%2FMeasureMethod.ADM_FIXED_PCT%2FdbhPhoto%2F1773947228592?alt=media&amp;token=c3f350b8-5945-4272-9891-e5f934f921c3</t>
  </si>
  <si>
    <t>https://firebasestorage.googleapis.com/v0/b/wt-foundation-production.appspot.com/o/measurements%2FMeasureMethod.ADM_FIXED_PCT%2FheightPhoto%2F1773947215379?alt=media&amp;token=e6f6103f-6537-4670-891c-cf460668a4ad</t>
  </si>
  <si>
    <t>https://firebasestorage.googleapis.com/v0/b/wt-foundation-production.appspot.com/o/measurements%2FMeasureMethod.ADM_FIXED_PCT%2Fdepth%2F1773947242420?alt=media&amp;token=c0eb6c01-a1ac-4119-aa74-2771a8654d34</t>
  </si>
  <si>
    <t>VKFai0z0dmBhRzpAHK3u</t>
  </si>
  <si>
    <t>2026_03_17 18:57:28</t>
  </si>
  <si>
    <t>TREE 20  stem 1</t>
  </si>
  <si>
    <t>https://firebasestorage.googleapis.com/v0/b/wt-foundation-production.appspot.com/o/measurements%2FMeasureMethod.ADM_FIXED_PCT%2FdbhPhoto%2F1773947301615?alt=media&amp;token=af1dfa93-055c-489c-a90d-6e9481f51cb8</t>
  </si>
  <si>
    <t>https://firebasestorage.googleapis.com/v0/b/wt-foundation-production.appspot.com/o/measurements%2FMeasureMethod.ADM_FIXED_PCT%2FheightPhoto%2F1773947280679?alt=media&amp;token=98476da9-3b03-49e1-8c92-a868ff994713</t>
  </si>
  <si>
    <t>https://firebasestorage.googleapis.com/v0/b/wt-foundation-production.appspot.com/o/measurements%2FMeasureMethod.ADM_FIXED_PCT%2Fdepth%2F1773947367444?alt=media&amp;token=2ea71f8c-f227-4c10-a0a3-6f464e48e9e1</t>
  </si>
  <si>
    <t>oKbs5gtLyNhkQVpzYtaT</t>
  </si>
  <si>
    <t>2026_03_17 19:00:52</t>
  </si>
  <si>
    <t>TREE 20 stem 2</t>
  </si>
  <si>
    <t>https://firebasestorage.googleapis.com/v0/b/wt-foundation-production.appspot.com/o/measurements%2FMeasureMethod.ADM_FIXED_PCT%2FdbhPhoto%2F1773955450263?alt=media&amp;token=09103deb-8ba2-4fea-869a-b4e8a6a477ed</t>
  </si>
  <si>
    <t>https://firebasestorage.googleapis.com/v0/b/wt-foundation-production.appspot.com/o/measurements%2FMeasureMethod.ADM_FIXED_PCT%2FheightPhoto%2F1773947369819?alt=media&amp;token=679452c9-95a5-4766-9810-c48e0d3c4920</t>
  </si>
  <si>
    <t>https://firebasestorage.googleapis.com/v0/b/wt-foundation-production.appspot.com/o/measurements%2FMeasureMethod.ADM_FIXED_PCT%2Fdepth%2F1773947538239?alt=media&amp;token=f7d86c46-392d-40ad-b946-fae0f9a149d5</t>
  </si>
  <si>
    <t>AaWwBswRSno4uQBh8FFm</t>
  </si>
  <si>
    <t>2026_03_17 19:08:57</t>
  </si>
  <si>
    <t>TREE 21</t>
  </si>
  <si>
    <t>https://firebasestorage.googleapis.com/v0/b/wt-foundation-production.appspot.com/o/measurements%2FMeasureMethod.ADM_FIXED_PCT%2FdbhPhoto%2F1773955461741?alt=media&amp;token=a949092b-ee29-4a9a-85ca-42cd1fb1b97d</t>
  </si>
  <si>
    <t>https://firebasestorage.googleapis.com/v0/b/wt-foundation-production.appspot.com/o/measurements%2FMeasureMethod.ADM_FIXED_PCT%2FheightPhoto%2F1773947542768?alt=media&amp;token=58ff8c67-008f-4811-b0cc-4e81218fdff8</t>
  </si>
  <si>
    <t>https://firebasestorage.googleapis.com/v0/b/wt-foundation-production.appspot.com/o/measurements%2FMeasureMethod.ADM_FIXED_PCT%2Fdepth%2F1773955490412?alt=media&amp;token=1eb4226e-31a2-4d03-9b1c-7ad77e7a2062</t>
  </si>
  <si>
    <t>tRDmEB888Mtj4o7lNYLf</t>
  </si>
  <si>
    <t>2026_03_17 19:11:14</t>
  </si>
  <si>
    <t>TREE 22</t>
  </si>
  <si>
    <t>https://firebasestorage.googleapis.com/v0/b/wt-foundation-production.appspot.com/o/measurements%2FMeasureMethod.ADM_FIXED_PCT%2FdbhPhoto%2F1773955527898?alt=media&amp;token=0e011a2c-c029-404f-b48a-e86cb850a5e6</t>
  </si>
  <si>
    <t>https://firebasestorage.googleapis.com/v0/b/wt-foundation-production.appspot.com/o/measurements%2FMeasureMethod.ADM_FIXED_PCT%2FheightPhoto%2F1773955514840?alt=media&amp;token=9140a857-7060-4a0c-970c-321d3167c858</t>
  </si>
  <si>
    <t>https://firebasestorage.googleapis.com/v0/b/wt-foundation-production.appspot.com/o/measurements%2FMeasureMethod.ADM_FIXED_PCT%2Fdepth%2F1773955538292?alt=media&amp;token=1eb49635-1846-4bab-8094-d1365a92a088</t>
  </si>
  <si>
    <t>5YqF8bKLWC61GBnNqwty</t>
  </si>
  <si>
    <t>2026_03_17 19:15:52</t>
  </si>
  <si>
    <t>TREE 23 stem 1</t>
  </si>
  <si>
    <t>https://firebasestorage.googleapis.com/v0/b/wt-foundation-production.appspot.com/o/measurements%2FMeasureMethod.ADM_FIXED_PCT%2FdbhPhoto%2F1773950555808?alt=media&amp;token=c0b31f24-d561-44bc-b3ed-3241c14e1526</t>
  </si>
  <si>
    <t>https://firebasestorage.googleapis.com/v0/b/wt-foundation-production.appspot.com/o/measurements%2FMeasureMethod.ADM_FIXED_PCT%2FheightPhoto%2F1773950555808?alt=media&amp;token=ccf0846e-1386-4814-871f-f6276057424c</t>
  </si>
  <si>
    <t>https://firebasestorage.googleapis.com/v0/b/wt-foundation-production.appspot.com/o/measurements%2FMeasureMethod.ADM_FIXED_PCT%2Fdepth%2F1773950559029?alt=media&amp;token=d330f029-adb3-42ba-a1ff-c6ab724c5daf</t>
  </si>
  <si>
    <t>1jcfAU6OR0J1SA9SejoP</t>
  </si>
  <si>
    <t>2026_03_17 19:17:54</t>
  </si>
  <si>
    <t>TREE 23 stem 2</t>
  </si>
  <si>
    <t>https://firebasestorage.googleapis.com/v0/b/wt-foundation-production.appspot.com/o/measurements%2FMeasureMethod.ADM_FIXED_PCT%2FdbhPhoto%2F1773950577388?alt=media&amp;token=a7d91509-68e7-49d7-99f0-5122db74e2f7</t>
  </si>
  <si>
    <t>https://firebasestorage.googleapis.com/v0/b/wt-foundation-production.appspot.com/o/measurements%2FMeasureMethod.ADM_FIXED_PCT%2FheightPhoto%2F1773950566783?alt=media&amp;token=aece3676-0a3b-49a0-a733-0538083ae7e0</t>
  </si>
  <si>
    <t>https://firebasestorage.googleapis.com/v0/b/wt-foundation-production.appspot.com/o/measurements%2FMeasureMethod.ADM_FIXED_PCT%2Fdepth%2F1773950582423?alt=media&amp;token=91068ce6-b0e7-48e3-bac4-fccb6618a253</t>
  </si>
  <si>
    <t>edcCVC5oyzvKkxJF72qM</t>
  </si>
  <si>
    <t>2026_03_18 15:44:01</t>
  </si>
  <si>
    <t>2.4.3</t>
  </si>
  <si>
    <t>TREE 24 
DAY 2</t>
  </si>
  <si>
    <t>https://firebasestorage.googleapis.com/v0/b/wt-foundation-production.appspot.com/o/measurements%2FMeasureMethod.ADM_FIXED_PCT%2FdbhPhoto%2F1773953292012?alt=media&amp;token=b5ae1a82-471c-423a-b8e6-7fcd9ad0ef94</t>
  </si>
  <si>
    <t>https://firebasestorage.googleapis.com/v0/b/wt-foundation-production.appspot.com/o/measurements%2FMeasureMethod.ADM_FIXED_PCT%2FheightPhoto%2F1773953280072?alt=media&amp;token=3599406c-5c2d-4ce5-987c-ff52bf4c2f60</t>
  </si>
  <si>
    <t>https://firebasestorage.googleapis.com/v0/b/wt-foundation-production.appspot.com/o/measurements%2FMeasureMethod.ADM_FIXED_PCT%2Fdepth%2F1773953304048?alt=media&amp;token=e7e87b82-18ad-4913-a831-e2b3fa7163a3</t>
  </si>
  <si>
    <t>bVOLQixTSXbzJub1bUlP</t>
  </si>
  <si>
    <t>2026_03_18 15:49:41</t>
  </si>
  <si>
    <t>TREE 25 
DAY 2</t>
  </si>
  <si>
    <t>https://firebasestorage.googleapis.com/v0/b/wt-foundation-production.appspot.com/o/measurements%2FMeasureMethod.ADM_FIXED_PCT%2FdbhPhoto%2F1773953384523?alt=media&amp;token=1264a62c-1942-4ce1-8a3c-069d73f6c78e</t>
  </si>
  <si>
    <t>https://firebasestorage.googleapis.com/v0/b/wt-foundation-production.appspot.com/o/measurements%2FMeasureMethod.ADM_FIXED_PCT%2FheightPhoto%2F1773953317212?alt=media&amp;token=97d25adc-6366-490f-b1cf-1e6e01dc63aa</t>
  </si>
  <si>
    <t>https://firebasestorage.googleapis.com/v0/b/wt-foundation-production.appspot.com/o/measurements%2FMeasureMethod.ADM_FIXED_PCT%2Fdepth%2F1773953402937?alt=media&amp;token=5fc074c6-d7e9-4c91-a677-e8b2c9bb2cd6</t>
  </si>
  <si>
    <t>ZdgwTEkaJDwDICugOEGa</t>
  </si>
  <si>
    <t>2026_03_18 15:52:01</t>
  </si>
  <si>
    <t>TREE 1 
DAY 2</t>
  </si>
  <si>
    <t>deodar cedar</t>
  </si>
  <si>
    <t>https://firebasestorage.googleapis.com/v0/b/wt-foundation-production.appspot.com/o/measurements%2FMeasureMethod.ADM_FIXED_PCT%2FdbhPhoto%2F1773950592728?alt=media&amp;token=9fc8f863-6b5d-46dc-b542-970237acaa40</t>
  </si>
  <si>
    <t>https://firebasestorage.googleapis.com/v0/b/wt-foundation-production.appspot.com/o/measurements%2FMeasureMethod.ADM_FIXED_PCT%2FheightPhoto%2F1773950588554?alt=media&amp;token=d7f07d37-8460-4836-80ac-d58aa1491888</t>
  </si>
  <si>
    <t>https://firebasestorage.googleapis.com/v0/b/wt-foundation-production.appspot.com/o/measurements%2FMeasureMethod.ADM_FIXED_PCT%2Fdepth%2F1773950610873?alt=media&amp;token=461cd95f-32b8-4a47-8d16-805531305f92</t>
  </si>
  <si>
    <t>ymbXvYgmrvAlNZiFj9tV</t>
  </si>
  <si>
    <t>2026_03_18 15:55:11</t>
  </si>
  <si>
    <t xml:space="preserve">TREE 2  
stem 1 
DAY 2 
</t>
  </si>
  <si>
    <t>https://firebasestorage.googleapis.com/v0/b/wt-foundation-production.appspot.com/o/measurements%2FMeasureMethod.ADM_FIXED_PCT%2FdbhPhoto%2F1773950627145?alt=media&amp;token=ba0061e8-12aa-428c-b0c8-741ef09d533e</t>
  </si>
  <si>
    <t>https://firebasestorage.googleapis.com/v0/b/wt-foundation-production.appspot.com/o/measurements%2FMeasureMethod.ADM_FIXED_PCT%2FheightPhoto%2F1773950615253?alt=media&amp;token=fcacf634-1f28-4620-a0f3-b253155f17c9</t>
  </si>
  <si>
    <t>https://firebasestorage.googleapis.com/v0/b/wt-foundation-production.appspot.com/o/measurements%2FMeasureMethod.ADM_FIXED_PCT%2Fdepth%2F1773950649077?alt=media&amp;token=414b12a7-fbe8-41df-9e5d-85dbd4c569c2</t>
  </si>
  <si>
    <t>Kb0nZAp8Jq5c9e5TfJfF</t>
  </si>
  <si>
    <t>2026_03_18 15:59:56</t>
  </si>
  <si>
    <t>TREE 2 
stem 2
DAY 2</t>
  </si>
  <si>
    <t>https://firebasestorage.googleapis.com/v0/b/wt-foundation-production.appspot.com/o/measurements%2FMeasureMethod.ADM_FIXED_PCT%2FdbhPhoto%2F1773950690391?alt=media&amp;token=3f6610cc-fef6-4940-aca1-a0fed9f588da</t>
  </si>
  <si>
    <t>https://firebasestorage.googleapis.com/v0/b/wt-foundation-production.appspot.com/o/measurements%2FMeasureMethod.ADM_FIXED_PCT%2FheightPhoto%2F1773950682732?alt=media&amp;token=cf6c449a-3359-4b76-9ad4-f1dc24d1dac0</t>
  </si>
  <si>
    <t>https://firebasestorage.googleapis.com/v0/b/wt-foundation-production.appspot.com/o/measurements%2FMeasureMethod.ADM_FIXED_PCT%2Fdepth%2F1773950696536?alt=media&amp;token=6aa01d9e-bccb-4da3-8cb5-1e5a19ece46e</t>
  </si>
  <si>
    <t>dQ3DO77m4tAv5osYDZNA</t>
  </si>
  <si>
    <t>2026_03_18 16:02:39</t>
  </si>
  <si>
    <t>TREE 2 
stem 3
DAY 2</t>
  </si>
  <si>
    <t>https://firebasestorage.googleapis.com/v0/b/wt-foundation-production.appspot.com/o/measurements%2FMeasureMethod.ADM_FIXED_PCT%2FdbhPhoto%2F1773950714167?alt=media&amp;token=8e471003-0c0b-40f2-9102-c54fb5682241</t>
  </si>
  <si>
    <t>https://firebasestorage.googleapis.com/v0/b/wt-foundation-production.appspot.com/o/measurements%2FMeasureMethod.ADM_FIXED_PCT%2FheightPhoto%2F1773950701941?alt=media&amp;token=334acf8e-1b2d-42b9-ae12-bdaba847603b</t>
  </si>
  <si>
    <t>https://firebasestorage.googleapis.com/v0/b/wt-foundation-production.appspot.com/o/measurements%2FMeasureMethod.ADM_FIXED_PCT%2Fdepth%2F1773950740362?alt=media&amp;token=ea25fe6d-3d5e-4529-b30d-3ac022c5e126</t>
  </si>
  <si>
    <t>sTsISH6M55MbhluU78E0</t>
  </si>
  <si>
    <t>2026_03_18 16:06:13</t>
  </si>
  <si>
    <t>TREE 2 
stem 4
DAY 2</t>
  </si>
  <si>
    <t>https://firebasestorage.googleapis.com/v0/b/wt-foundation-production.appspot.com/o/measurements%2FMeasureMethod.ADM_FIXED_PCT%2FdbhPhoto%2F1773950768100?alt=media&amp;token=aa264371-655a-46c9-9b37-5e838f8316d5</t>
  </si>
  <si>
    <t>https://firebasestorage.googleapis.com/v0/b/wt-foundation-production.appspot.com/o/measurements%2FMeasureMethod.ADM_FIXED_PCT%2FheightPhoto%2F1773950758182?alt=media&amp;token=0889b749-7f4e-4409-80ef-4d18e98c4a11</t>
  </si>
  <si>
    <t>https://firebasestorage.googleapis.com/v0/b/wt-foundation-production.appspot.com/o/measurements%2FMeasureMethod.ADM_FIXED_PCT%2Fdepth%2F1773950772435?alt=media&amp;token=f39bc85f-f3dd-48ec-99d3-d35ef6ee6b9c</t>
  </si>
  <si>
    <t>ZG87JEb6JjZYy4vmKP2Z</t>
  </si>
  <si>
    <t>2026_03_18 16:07:54</t>
  </si>
  <si>
    <t>TREE 2 
stem 5
DAY 2</t>
  </si>
  <si>
    <t>https://firebasestorage.googleapis.com/v0/b/wt-foundation-production.appspot.com/o/measurements%2FMeasureMethod.ADM_FIXED_PCT%2FdbhPhoto%2F1773950786629?alt=media&amp;token=cfa941c3-bca8-4974-9ebc-cce955dbd390</t>
  </si>
  <si>
    <t>https://firebasestorage.googleapis.com/v0/b/wt-foundation-production.appspot.com/o/measurements%2FMeasureMethod.ADM_FIXED_PCT%2FheightPhoto%2F1773950780177?alt=media&amp;token=841aee65-83b9-49ee-824c-90fbd8396787</t>
  </si>
  <si>
    <t>https://firebasestorage.googleapis.com/v0/b/wt-foundation-production.appspot.com/o/measurements%2FMeasureMethod.ADM_FIXED_PCT%2Fdepth%2F1773950793374?alt=media&amp;token=fd3fd6bf-a31f-4f0e-86e2-44b48081078f</t>
  </si>
  <si>
    <t>7q01Hwwm0s2Q9VubT3hr</t>
  </si>
  <si>
    <t>2026_03_18 16:09:20</t>
  </si>
  <si>
    <t>TREE 2 
stem 6
DAY 2</t>
  </si>
  <si>
    <t>https://firebasestorage.googleapis.com/v0/b/wt-foundation-production.appspot.com/o/measurements%2FMeasureMethod.ADM_FIXED_PCT%2FdbhPhoto%2F1773950800253?alt=media&amp;token=c55dbcae-3a74-40db-9b42-1cf525d20953</t>
  </si>
  <si>
    <t>https://firebasestorage.googleapis.com/v0/b/wt-foundation-production.appspot.com/o/measurements%2FMeasureMethod.ADM_FIXED_PCT%2FheightPhoto%2F1773950799452?alt=media&amp;token=48d64b6c-9d4d-4dd3-9640-1fcbf794c8b3</t>
  </si>
  <si>
    <t>https://firebasestorage.googleapis.com/v0/b/wt-foundation-production.appspot.com/o/measurements%2FMeasureMethod.ADM_FIXED_PCT%2Fdepth%2F1773950806995?alt=media&amp;token=2bd8abf9-118e-4a73-a3ec-d270d3c89f8c</t>
  </si>
  <si>
    <t>xQfWrGRjOTfHHllfpDEx</t>
  </si>
  <si>
    <t>2026_03_18 16:13:36</t>
  </si>
  <si>
    <t>TREE 2 
stem 2
DAY 7</t>
  </si>
  <si>
    <t>https://firebasestorage.googleapis.com/v0/b/wt-foundation-production.appspot.com/o/measurements%2FMeasureMethod.ADM_FIXED_PCT%2FdbhPhoto%2F1773950833094?alt=media&amp;token=1a523a6e-2219-476d-80df-b91a47f5f70b</t>
  </si>
  <si>
    <t>https://firebasestorage.googleapis.com/v0/b/wt-foundation-production.appspot.com/o/measurements%2FMeasureMethod.ADM_FIXED_PCT%2FheightPhoto%2F1773950816294?alt=media&amp;token=b2923eee-10a4-4273-bf26-df30df6a06e1</t>
  </si>
  <si>
    <t>https://firebasestorage.googleapis.com/v0/b/wt-foundation-production.appspot.com/o/measurements%2FMeasureMethod.ADM_FIXED_PCT%2Fdepth%2F1773950852732?alt=media&amp;token=abad8556-3b30-42da-94e1-491b9f1f0cde</t>
  </si>
  <si>
    <t>BsrTqRHuuqBk53SKH6nN</t>
  </si>
  <si>
    <t>2026_03_18 16:15:57</t>
  </si>
  <si>
    <t>TREE 2 
stem 8
DAY 2</t>
  </si>
  <si>
    <t>https://firebasestorage.googleapis.com/v0/b/wt-foundation-production.appspot.com/o/measurements%2FMeasureMethod.ADM_FIXED_PCT%2FdbhPhoto%2F1773950876360?alt=media&amp;token=1688dc70-1ebf-4bfa-8ab4-dcb80155a149</t>
  </si>
  <si>
    <t>https://firebasestorage.googleapis.com/v0/b/wt-foundation-production.appspot.com/o/measurements%2FMeasureMethod.ADM_FIXED_PCT%2FheightPhoto%2F1773950859411?alt=media&amp;token=866c1a6e-abd2-4a53-847a-1e064672b9ba</t>
  </si>
  <si>
    <t>https://firebasestorage.googleapis.com/v0/b/wt-foundation-production.appspot.com/o/measurements%2FMeasureMethod.ADM_FIXED_PCT%2Fdepth%2F1773950910716?alt=media&amp;token=8e9e320c-e0ae-4d97-9a8b-a51493f7a5c9</t>
  </si>
  <si>
    <t>8kXK0QgIkYoOvOjflTkK</t>
  </si>
  <si>
    <t>2026_03_18 16:19:43</t>
  </si>
  <si>
    <t>TREE 3 
stem 1
DAY 2
DAY 2</t>
  </si>
  <si>
    <t>https://firebasestorage.googleapis.com/v0/b/wt-foundation-production.appspot.com/o/measurements%2FMeasureMethod.ADM_FIXED_PCT%2FdbhPhoto%2F1773950962098?alt=media&amp;token=8ff6cdcd-c628-497f-9fe9-2f73f3d00e0c</t>
  </si>
  <si>
    <t>https://firebasestorage.googleapis.com/v0/b/wt-foundation-production.appspot.com/o/measurements%2FMeasureMethod.ADM_FIXED_PCT%2FheightPhoto%2F1773950960131?alt=media&amp;token=fe453abf-4cf9-41dd-ba57-cc4d6976a343</t>
  </si>
  <si>
    <t>https://firebasestorage.googleapis.com/v0/b/wt-foundation-production.appspot.com/o/measurements%2FMeasureMethod.ADM_FIXED_PCT%2Fdepth%2F1773955550061?alt=media&amp;token=d8073def-329b-40c8-8a05-3b8d8254e870</t>
  </si>
  <si>
    <t>Lnk6YtGIIMGvKnKEZRUi</t>
  </si>
  <si>
    <t>2026_03_18 16:21:30</t>
  </si>
  <si>
    <t>TREE 3 
stem 2
DAY 2</t>
  </si>
  <si>
    <t>https://firebasestorage.googleapis.com/v0/b/wt-foundation-production.appspot.com/o/measurements%2FMeasureMethod.ADM_FIXED_PCT%2FdbhPhoto%2F1773951464303?alt=media&amp;token=90f38c91-c034-48ea-b69b-79067b1e0281</t>
  </si>
  <si>
    <t>https://firebasestorage.googleapis.com/v0/b/wt-foundation-production.appspot.com/o/measurements%2FMeasureMethod.ADM_FIXED_PCT%2FheightPhoto%2F1773955564296?alt=media&amp;token=d84f46f4-8fc8-4608-9d72-acdc32979991</t>
  </si>
  <si>
    <t>https://firebasestorage.googleapis.com/v0/b/wt-foundation-production.appspot.com/o/measurements%2FMeasureMethod.ADM_FIXED_PCT%2Fdepth%2F1773951464316?alt=media&amp;token=96bd8b0c-23ff-45d4-ad38-49c737e4506d</t>
  </si>
  <si>
    <t>OvABwNptgvNPa05pGcLv</t>
  </si>
  <si>
    <t>2026_03_18 16:26:38</t>
  </si>
  <si>
    <t>TREE 4 
stem 1
DAY 2</t>
  </si>
  <si>
    <t>https://firebasestorage.googleapis.com/v0/b/wt-foundation-production.appspot.com/o/measurements%2FMeasureMethod.ADM_FIXED_PCT%2FdbhPhoto%2F1773951475998?alt=media&amp;token=8d4df709-1c85-4481-831e-3b70c4704ba0</t>
  </si>
  <si>
    <t>https://firebasestorage.googleapis.com/v0/b/wt-foundation-production.appspot.com/o/measurements%2FMeasureMethod.ADM_FIXED_PCT%2FheightPhoto%2F1773951470090?alt=media&amp;token=76f658b1-f30f-4bd0-aafd-f84ec5fd0ffe</t>
  </si>
  <si>
    <t>https://firebasestorage.googleapis.com/v0/b/wt-foundation-production.appspot.com/o/measurements%2FMeasureMethod.ADM_FIXED_PCT%2Fdepth%2F1773951479108?alt=media&amp;token=cd5b6d3e-c7fb-46e4-829e-91bc6bfc5aaf</t>
  </si>
  <si>
    <t>4mvLFNF8rNVlOtXbBMUi</t>
  </si>
  <si>
    <t>2026_03_18 16:32:15</t>
  </si>
  <si>
    <t>TREE 4 
stem 2
DAY 2</t>
  </si>
  <si>
    <t>https://firebasestorage.googleapis.com/v0/b/wt-foundation-production.appspot.com/o/measurements%2FMeasureMethod.ADM_FIXED_PCT%2FdbhPhoto%2F1773951487781?alt=media&amp;token=a601171a-2131-44ae-acf3-b126a30a4c38</t>
  </si>
  <si>
    <t>https://firebasestorage.googleapis.com/v0/b/wt-foundation-production.appspot.com/o/measurements%2FMeasureMethod.ADM_FIXED_PCT%2FheightPhoto%2F1773951483361?alt=media&amp;token=65df6c4b-c134-47be-8244-72dc3f5d76a4</t>
  </si>
  <si>
    <t>https://firebasestorage.googleapis.com/v0/b/wt-foundation-production.appspot.com/o/measurements%2FMeasureMethod.ADM_FIXED_PCT%2Fdepth%2F1773951497259?alt=media&amp;token=fd052629-5a55-4adb-a56e-da4977e9ded9</t>
  </si>
  <si>
    <t>QYOajTCR0y1JUihLz2au</t>
  </si>
  <si>
    <t>2026_03_18 16:38:08</t>
  </si>
  <si>
    <t>TREE 5 
DAY 2</t>
  </si>
  <si>
    <t>https://firebasestorage.googleapis.com/v0/b/wt-foundation-production.appspot.com/o/measurements%2FMeasureMethod.ADM_FIXED_PCT%2FdbhPhoto%2F1773951533661?alt=media&amp;token=56884bdf-805e-460c-99f1-afa9fd2897f0</t>
  </si>
  <si>
    <t>https://firebasestorage.googleapis.com/v0/b/wt-foundation-production.appspot.com/o/measurements%2FMeasureMethod.ADM_FIXED_PCT%2FheightPhoto%2F1773951525691?alt=media&amp;token=40eded31-1366-4033-b95b-950f763a9f5e</t>
  </si>
  <si>
    <t>https://firebasestorage.googleapis.com/v0/b/wt-foundation-production.appspot.com/o/measurements%2FMeasureMethod.ADM_FIXED_PCT%2Fdepth%2F1773951550585?alt=media&amp;token=a341a20a-0fd9-4637-8a9c-3eef445b68ba</t>
  </si>
  <si>
    <t>K3pq2nYjeaMwYcbFUoDT</t>
  </si>
  <si>
    <t>2026_03_18 16:42:10</t>
  </si>
  <si>
    <t>TREE 6
stem 1 
DAY 2</t>
  </si>
  <si>
    <t>https://firebasestorage.googleapis.com/v0/b/wt-foundation-production.appspot.com/o/measurements%2FMeasureMethod.ADM_FIXED_PCT%2FdbhPhoto%2F1773951739715?alt=media&amp;token=72078a1c-a9d3-46ec-b571-b0264272db2c</t>
  </si>
  <si>
    <t>https://firebasestorage.googleapis.com/v0/b/wt-foundation-production.appspot.com/o/measurements%2FMeasureMethod.ADM_FIXED_PCT%2FheightPhoto%2F1773951729206?alt=media&amp;token=6cd01bdf-da3c-4138-b2e7-6bcecb4fc4a3</t>
  </si>
  <si>
    <t>https://firebasestorage.googleapis.com/v0/b/wt-foundation-production.appspot.com/o/measurements%2FMeasureMethod.ADM_FIXED_PCT%2Fdepth%2F1773951746498?alt=media&amp;token=769e2580-83fb-4763-89b6-358a96eb0005</t>
  </si>
  <si>
    <t>hmlbw1uAAY3QC0og63Ti</t>
  </si>
  <si>
    <t>2026_03_18 16:44:08</t>
  </si>
  <si>
    <t>TREE 6
stem 2
DAY 2</t>
  </si>
  <si>
    <t>https://firebasestorage.googleapis.com/v0/b/wt-foundation-production.appspot.com/o/measurements%2FMeasureMethod.ADM_FIXED_PCT%2FdbhPhoto%2F1773951786968?alt=media&amp;token=98dd21e1-0fe8-476f-9a9c-a5c1e8499768</t>
  </si>
  <si>
    <t>https://firebasestorage.googleapis.com/v0/b/wt-foundation-production.appspot.com/o/measurements%2FMeasureMethod.ADM_FIXED_PCT%2FheightPhoto%2F1773951765372?alt=media&amp;token=2cad810a-1731-48d6-8588-35e6b9f0c69b</t>
  </si>
  <si>
    <t>https://firebasestorage.googleapis.com/v0/b/wt-foundation-production.appspot.com/o/measurements%2FMeasureMethod.ADM_FIXED_PCT%2Fdepth%2F1773951807203?alt=media&amp;token=e606d69f-b20f-4736-9775-397a1755be8f</t>
  </si>
  <si>
    <t>OktU3YvPIy0nNFtkdS4u</t>
  </si>
  <si>
    <t>2026_03_18 16:46:06</t>
  </si>
  <si>
    <t>TREE 6
stem 3 
DAY 2</t>
  </si>
  <si>
    <t>https://firebasestorage.googleapis.com/v0/b/wt-foundation-production.appspot.com/o/measurements%2FMeasureMethod.ADM_FIXED_PCT%2FdbhPhoto%2F1773951837491?alt=media&amp;token=8ecd9229-9b07-40c6-8094-72c8685571b8</t>
  </si>
  <si>
    <t>https://firebasestorage.googleapis.com/v0/b/wt-foundation-production.appspot.com/o/measurements%2FMeasureMethod.ADM_FIXED_PCT%2FheightPhoto%2F1773951815386?alt=media&amp;token=20487ee5-cc02-41a2-aed1-ec5d7c8fcbc2</t>
  </si>
  <si>
    <t>https://firebasestorage.googleapis.com/v0/b/wt-foundation-production.appspot.com/o/measurements%2FMeasureMethod.ADM_FIXED_PCT%2Fdepth%2F1773951893649?alt=media&amp;token=29eb6847-0a73-4711-9722-2bee144e9b67</t>
  </si>
  <si>
    <t>VS4LgHEEwySRquz1FcPV</t>
  </si>
  <si>
    <t>2026_03_18 16:55:00</t>
  </si>
  <si>
    <t>TREE 6
stem 4
DAY 2</t>
  </si>
  <si>
    <t>https://firebasestorage.googleapis.com/v0/b/wt-foundation-production.appspot.com/o/measurements%2FMeasureMethod.ADM_FIXED_PCT%2FdbhPhoto%2F1773951988490?alt=media&amp;token=c5860079-1aaf-4c0e-9dd6-ba6267c87dc9</t>
  </si>
  <si>
    <t>https://firebasestorage.googleapis.com/v0/b/wt-foundation-production.appspot.com/o/measurements%2FMeasureMethod.ADM_FIXED_PCT%2FheightPhoto%2F1773951986680?alt=media&amp;token=dce3b432-9b6d-4e02-b492-a3f84ee28ef1</t>
  </si>
  <si>
    <t>https://firebasestorage.googleapis.com/v0/b/wt-foundation-production.appspot.com/o/measurements%2FMeasureMethod.ADM_FIXED_PCT%2Fdepth%2F1773952194749?alt=media&amp;token=f4cf9a4a-77f1-4745-9bea-2ae0acfc59fd</t>
  </si>
  <si>
    <t>nMmFgwHGIWvvSFhA7o9a</t>
  </si>
  <si>
    <t>2026_03_18 16:58:19</t>
  </si>
  <si>
    <t>TREE 1 
stem 2 
DAY 2</t>
  </si>
  <si>
    <t>https://firebasestorage.googleapis.com/v0/b/wt-foundation-production.appspot.com/o/measurements%2FMeasureMethod.ADM_FIXED_PCT%2FdbhPhoto%2F1773952271939?alt=media&amp;token=abc08513-5dfd-4d55-a7cb-750aa00677f0</t>
  </si>
  <si>
    <t>https://firebasestorage.googleapis.com/v0/b/wt-foundation-production.appspot.com/o/measurements%2FMeasureMethod.ADM_FIXED_PCT%2FheightPhoto%2F1773952265910?alt=media&amp;token=08951804-8c88-4324-8206-c13ec600ec19</t>
  </si>
  <si>
    <t>https://firebasestorage.googleapis.com/v0/b/wt-foundation-production.appspot.com/o/measurements%2FMeasureMethod.ADM_FIXED_PCT%2Fdepth%2F1773952278360?alt=media&amp;token=0fd94cbd-9737-40fd-81bc-2f8630ae7df9</t>
  </si>
  <si>
    <t>bEeke4BR4DPE9DBvJdtT</t>
  </si>
  <si>
    <t>2026_03_18 17:00:29</t>
  </si>
  <si>
    <t>https://firebasestorage.googleapis.com/v0/b/wt-foundation-production.appspot.com/o/measurements%2FMeasureMethod.ADM_FIXED_PCT%2FdbhPhoto%2F1773951569612?alt=media&amp;token=e7941431-8aa5-44d3-9b2e-af4ee84e7b73</t>
  </si>
  <si>
    <t>https://firebasestorage.googleapis.com/v0/b/wt-foundation-production.appspot.com/o/measurements%2FMeasureMethod.ADM_FIXED_PCT%2FheightPhoto%2F1773951560628?alt=media&amp;token=179ccb9e-0a3d-41cf-a131-eea18df7d969</t>
  </si>
  <si>
    <t>https://firebasestorage.googleapis.com/v0/b/wt-foundation-production.appspot.com/o/measurements%2FMeasureMethod.ADM_FIXED_PCT%2Fdepth%2F1773951585319?alt=media&amp;token=8f330ca2-e0e3-4090-b243-97e3d602f533</t>
  </si>
  <si>
    <t>npeAvv2b9mR3pUEcuZcP</t>
  </si>
  <si>
    <t>2026_03_18 17:02:20</t>
  </si>
  <si>
    <t>TREE 2
trunk 
DAY 2</t>
  </si>
  <si>
    <t>https://firebasestorage.googleapis.com/v0/b/wt-foundation-production.appspot.com/o/measurements%2FMeasureMethod.ADM_FIXED_PCT%2FdbhPhoto%2F1773951607700?alt=media&amp;token=95026702-32af-4f36-beaa-6bf550170f45</t>
  </si>
  <si>
    <t>https://firebasestorage.googleapis.com/v0/b/wt-foundation-production.appspot.com/o/measurements%2FMeasureMethod.ADM_FIXED_PCT%2FheightPhoto%2F1773951603039?alt=media&amp;token=9adb6def-ba46-4470-ab0c-d9f6df0eb6c1</t>
  </si>
  <si>
    <t>https://firebasestorage.googleapis.com/v0/b/wt-foundation-production.appspot.com/o/measurements%2FMeasureMethod.ADM_FIXED_PCT%2Fdepth%2F1773951613494?alt=media&amp;token=8da217a1-f4d4-4860-9587-43ddb11b69da</t>
  </si>
  <si>
    <t>7rbhu3ZN0VTzL7JOe8V6</t>
  </si>
  <si>
    <t>2026_03_18 17:06:55</t>
  </si>
  <si>
    <t>TREE 2 
stem 1
DAY 2</t>
  </si>
  <si>
    <t>https://firebasestorage.googleapis.com/v0/b/wt-foundation-production.appspot.com/o/measurements%2FMeasureMethod.ADM_FIXED_PCT%2FdbhPhoto%2F1773951651689?alt=media&amp;token=ae6ca244-6d58-4279-ae81-0df981f9873e</t>
  </si>
  <si>
    <t>https://firebasestorage.googleapis.com/v0/b/wt-foundation-production.appspot.com/o/measurements%2FMeasureMethod.ADM_FIXED_PCT%2FheightPhoto%2F1773951638423?alt=media&amp;token=65dae5d7-2728-4044-b3d0-895fba72daee</t>
  </si>
  <si>
    <t>https://firebasestorage.googleapis.com/v0/b/wt-foundation-production.appspot.com/o/measurements%2FMeasureMethod.ADM_FIXED_PCT%2Fdepth%2F1773951667658?alt=media&amp;token=64a593ce-826d-40ec-b97a-a36136602398</t>
  </si>
  <si>
    <t>sd9Afc3A046HCNho44mp</t>
  </si>
  <si>
    <t>2026_03_18 17:14:22</t>
  </si>
  <si>
    <t>https://firebasestorage.googleapis.com/v0/b/wt-foundation-production.appspot.com/o/measurements%2FMeasureMethod.ADM_FIXED_PCT%2FdbhPhoto%2F1773951689185?alt=media&amp;token=cb7d93ea-eda8-4f19-8e65-b9f3e25043a3</t>
  </si>
  <si>
    <t>https://firebasestorage.googleapis.com/v0/b/wt-foundation-production.appspot.com/o/measurements%2FMeasureMethod.ADM_FIXED_PCT%2FheightPhoto%2F1773951682213?alt=media&amp;token=7309f790-3c20-4cca-abae-0d4069890140</t>
  </si>
  <si>
    <t>https://firebasestorage.googleapis.com/v0/b/wt-foundation-production.appspot.com/o/measurements%2FMeasureMethod.ADM_FIXED_PCT%2Fdepth%2F1773951694078?alt=media&amp;token=9b7259db-1a49-4444-9832-b736de71bc11</t>
  </si>
  <si>
    <t>GX2uuwXyEIHxOMBLNLU4</t>
  </si>
  <si>
    <t>2026_03_18 17:15:24</t>
  </si>
  <si>
    <t>https://firebasestorage.googleapis.com/v0/b/wt-foundation-production.appspot.com/o/measurements%2FMeasureMethod.ADM_FIXED_PCT%2FdbhPhoto%2F1773951703788?alt=media&amp;token=4e9bf082-ed7b-4e2b-833c-2558ed43824b</t>
  </si>
  <si>
    <t>https://firebasestorage.googleapis.com/v0/b/wt-foundation-production.appspot.com/o/measurements%2FMeasureMethod.ADM_FIXED_PCT%2FheightPhoto%2F1773951697441?alt=media&amp;token=991775bf-88db-4d3f-b6c5-b83b8872d4df</t>
  </si>
  <si>
    <t>https://firebasestorage.googleapis.com/v0/b/wt-foundation-production.appspot.com/o/measurements%2FMeasureMethod.ADM_FIXED_PCT%2Fdepth%2F1773951710794?alt=media&amp;token=2208a717-8065-4195-a659-0a9f179317ad</t>
  </si>
  <si>
    <t>o2oboDg95VnNMV9rQDqX</t>
  </si>
  <si>
    <t>2026_03_18 17:19:07</t>
  </si>
  <si>
    <t>TREE 3 
DAY 2</t>
  </si>
  <si>
    <t>https://firebasestorage.googleapis.com/v0/b/wt-foundation-production.appspot.com/o/measurements%2FMeasureMethod.ADM_FIXED_PCT%2FdbhPhoto%2F1773952438658?alt=media&amp;token=e3e80379-55ba-4339-b765-e4992d6e13e3</t>
  </si>
  <si>
    <t>https://firebasestorage.googleapis.com/v0/b/wt-foundation-production.appspot.com/o/measurements%2FMeasureMethod.ADM_FIXED_PCT%2FheightPhoto%2F1773952432365?alt=media&amp;token=af43b7f2-0813-422c-9912-11022038e1a4</t>
  </si>
  <si>
    <t>https://firebasestorage.googleapis.com/v0/b/wt-foundation-production.appspot.com/o/measurements%2FMeasureMethod.ADM_FIXED_PCT%2Fdepth%2F1773952444079?alt=media&amp;token=8227fc46-49d2-4a8f-8975-b7db88d5b85f</t>
  </si>
  <si>
    <t>JmPOGsCyBJhln0k8qu87</t>
  </si>
  <si>
    <t>2026_03_18 17:20:03</t>
  </si>
  <si>
    <t>TREE 4 
stem 1 
DAY 2</t>
  </si>
  <si>
    <t>https://firebasestorage.googleapis.com/v0/b/wt-foundation-production.appspot.com/o/measurements%2FMeasureMethod.ADM_FIXED_PCT%2FdbhPhoto%2F1773953060729?alt=media&amp;token=aa603424-7592-4773-9731-ce947697c1cf</t>
  </si>
  <si>
    <t>https://firebasestorage.googleapis.com/v0/b/wt-foundation-production.appspot.com/o/measurements%2FMeasureMethod.ADM_FIXED_PCT%2FheightPhoto%2F1773953038919?alt=media&amp;token=355bdbd2-49e7-40fb-a733-391118af2b3d</t>
  </si>
  <si>
    <t>https://firebasestorage.googleapis.com/v0/b/wt-foundation-production.appspot.com/o/measurements%2FMeasureMethod.ADM_FIXED_PCT%2Fdepth%2F1773953065992?alt=media&amp;token=bda6f4d5-147a-411a-8759-9f43c58afa95</t>
  </si>
  <si>
    <t>bQmOaFdGydzZ5z2QjuRG</t>
  </si>
  <si>
    <t>2026_03_18 17:30:39</t>
  </si>
  <si>
    <t>TREE 4 
stem 2 
DAY 2</t>
  </si>
  <si>
    <t>https://firebasestorage.googleapis.com/v0/b/wt-foundation-production.appspot.com/o/measurements%2FMeasureMethod.ADM_FIXED_PCT%2FdbhPhoto%2F1773953085090?alt=media&amp;token=73c3a486-9597-497c-af80-0afe10cbb83d</t>
  </si>
  <si>
    <t>https://firebasestorage.googleapis.com/v0/b/wt-foundation-production.appspot.com/o/measurements%2FMeasureMethod.ADM_FIXED_PCT%2FheightPhoto%2F1773953078686?alt=media&amp;token=6fb81bf1-cbfb-4577-81a4-d50918521ac9</t>
  </si>
  <si>
    <t>https://firebasestorage.googleapis.com/v0/b/wt-foundation-production.appspot.com/o/measurements%2FMeasureMethod.ADM_FIXED_PCT%2Fdepth%2F1773953091349?alt=media&amp;token=8b4f33a2-9848-4498-b5de-d95be565e0db</t>
  </si>
  <si>
    <t>tByejqJXuhML47QviWSK</t>
  </si>
  <si>
    <t>2026_03_18 17:34:20</t>
  </si>
  <si>
    <t>TREE 4 
stem 3 
DAY 2</t>
  </si>
  <si>
    <t>https://firebasestorage.googleapis.com/v0/b/wt-foundation-production.appspot.com/o/measurements%2FMeasureMethod.ADM_FIXED_PCT%2FdbhPhoto%2F1773953158634?alt=media&amp;token=1dc7da3f-53c4-44ea-addf-bf78b5a95c2c</t>
  </si>
  <si>
    <t>https://firebasestorage.googleapis.com/v0/b/wt-foundation-production.appspot.com/o/measurements%2FMeasureMethod.ADM_FIXED_PCT%2FheightPhoto%2F1773953148896?alt=media&amp;token=502e07c0-d8b1-48a5-af1b-6080a0197247</t>
  </si>
  <si>
    <t>https://firebasestorage.googleapis.com/v0/b/wt-foundation-production.appspot.com/o/measurements%2FMeasureMethod.ADM_FIXED_PCT%2Fdepth%2F1773953168123?alt=media&amp;token=9e737f60-4591-4113-b615-762d75512f93</t>
  </si>
  <si>
    <t>wp3RHSJSSmz7nzn4A1KU</t>
  </si>
  <si>
    <t>2026_03_18 17:43:20</t>
  </si>
  <si>
    <t>TREE 4 
stem 4 
DAY 2</t>
  </si>
  <si>
    <t>https://firebasestorage.googleapis.com/v0/b/wt-foundation-production.appspot.com/o/measurements%2FMeasureMethod.ADM_FIXED_PCT%2FdbhPhoto%2F1773953185038?alt=media&amp;token=0cb5c880-309f-4960-a2a9-3431da3461b0</t>
  </si>
  <si>
    <t>https://firebasestorage.googleapis.com/v0/b/wt-foundation-production.appspot.com/o/measurements%2FMeasureMethod.ADM_FIXED_PCT%2FheightPhoto%2F1773953180846?alt=media&amp;token=cdcbeabf-4878-4b29-99f9-fd9049adc8c6</t>
  </si>
  <si>
    <t>https://firebasestorage.googleapis.com/v0/b/wt-foundation-production.appspot.com/o/measurements%2FMeasureMethod.ADM_FIXED_PCT%2Fdepth%2F1773953190146?alt=media&amp;token=3f2831cf-1aa1-4767-8a3e-afe0a0054c7f</t>
  </si>
  <si>
    <t>LvtL3WCsswKYQIdLlLbl</t>
  </si>
  <si>
    <t>2026_03_18 17:49:34</t>
  </si>
  <si>
    <t>TREE 4 
stem 5 
DAY 2</t>
  </si>
  <si>
    <t>https://firebasestorage.googleapis.com/v0/b/wt-foundation-production.appspot.com/o/measurements%2FMeasureMethod.ADM_FIXED_PCT%2FdbhPhoto%2F1773953116799?alt=media&amp;token=6ed7a690-50fa-4bcf-b9aa-761e435fc48b</t>
  </si>
  <si>
    <t>https://firebasestorage.googleapis.com/v0/b/wt-foundation-production.appspot.com/o/measurements%2FMeasureMethod.ADM_FIXED_PCT%2FheightPhoto%2F1773953104540?alt=media&amp;token=6f59a79e-5fd6-4af0-a11d-82690980fefd</t>
  </si>
  <si>
    <t>https://firebasestorage.googleapis.com/v0/b/wt-foundation-production.appspot.com/o/measurements%2FMeasureMethod.ADM_FIXED_PCT%2Fdepth%2F1773953131449?alt=media&amp;token=302636cd-cd5d-4321-97fa-f9bc34e3c439</t>
  </si>
  <si>
    <t>r1r6rVgEXwGWkL3mf8Ko</t>
  </si>
  <si>
    <t>2026_03_18 17:51:31</t>
  </si>
  <si>
    <t>TREE 5
stem 1 
DAY 2</t>
  </si>
  <si>
    <t>https://firebasestorage.googleapis.com/v0/b/wt-foundation-production.appspot.com/o/measurements%2FMeasureMethod.ADM_FIXED_PCT%2FdbhPhoto%2F1773953216242?alt=media&amp;token=0860748b-f803-47db-8016-69ad646e446c</t>
  </si>
  <si>
    <t>https://firebasestorage.googleapis.com/v0/b/wt-foundation-production.appspot.com/o/measurements%2FMeasureMethod.ADM_FIXED_PCT%2FheightPhoto%2F1773953211508?alt=media&amp;token=096bd8d1-d86f-42aa-9e30-12eaa89f0fbe</t>
  </si>
  <si>
    <t>https://firebasestorage.googleapis.com/v0/b/wt-foundation-production.appspot.com/o/measurements%2FMeasureMethod.ADM_FIXED_PCT%2Fdepth%2F1773953224286?alt=media&amp;token=561c16e4-14e7-4bd2-aa84-93726f35fdd9</t>
  </si>
  <si>
    <t>dUiUtSl7vzR22kSpEM9r</t>
  </si>
  <si>
    <t>2026_03_18 17:58:55</t>
  </si>
  <si>
    <t>TREE 5
stem 2 
DAY 2</t>
  </si>
  <si>
    <t>https://firebasestorage.googleapis.com/v0/b/wt-foundation-production.appspot.com/o/measurements%2FMeasureMethod.ADM_FIXED_PCT%2FdbhPhoto%2F1773953235710?alt=media&amp;token=0cdd9b70-8b06-4265-ada9-c67960e003f9</t>
  </si>
  <si>
    <t>https://firebasestorage.googleapis.com/v0/b/wt-foundation-production.appspot.com/o/measurements%2FMeasureMethod.ADM_FIXED_PCT%2FheightPhoto%2F1773953226903?alt=media&amp;token=4c91a93f-d9fb-4533-b7b8-782db37e2a7c</t>
  </si>
  <si>
    <t>https://firebasestorage.googleapis.com/v0/b/wt-foundation-production.appspot.com/o/measurements%2FMeasureMethod.ADM_FIXED_PCT%2Fdepth%2F1773953246034?alt=media&amp;token=6a1482d2-0084-4128-8fea-841e2e44aa78</t>
  </si>
  <si>
    <t>zoBgX04gSbyVZLpq6L1A</t>
  </si>
  <si>
    <t>2026_03_18 18:00:46</t>
  </si>
  <si>
    <t>TREE 5
stem 3
DAY 2</t>
  </si>
  <si>
    <t>https://firebasestorage.googleapis.com/v0/b/wt-foundation-production.appspot.com/o/measurements%2FMeasureMethod.ADM_FIXED_PCT%2FdbhPhoto%2F1773953266551?alt=media&amp;token=e7cb1406-8faf-4786-bf89-f16f4cf2c405</t>
  </si>
  <si>
    <t>https://firebasestorage.googleapis.com/v0/b/wt-foundation-production.appspot.com/o/measurements%2FMeasureMethod.ADM_FIXED_PCT%2FheightPhoto%2F1773953261708?alt=media&amp;token=576a168f-384c-4c74-ac82-486ac2baf2c7</t>
  </si>
  <si>
    <t>https://firebasestorage.googleapis.com/v0/b/wt-foundation-production.appspot.com/o/measurements%2FMeasureMethod.ADM_FIXED_PCT%2Fdepth%2F1773953274670?alt=media&amp;token=94a6e8fa-d207-481b-9727-6f52f4623793</t>
  </si>
  <si>
    <t>PSZ5WfgDjjbPG43O8i7k</t>
  </si>
  <si>
    <t>2026_03_18 18:01:33</t>
  </si>
  <si>
    <t>https://firebasestorage.googleapis.com/v0/b/wt-foundation-production.appspot.com/o/measurements%2FMeasureMethod.ADM_FIXED_PCT%2FdbhPhoto%2F1773952365564?alt=media&amp;token=b255d946-0a44-40fa-bcbf-b9a4683ece20</t>
  </si>
  <si>
    <t>https://firebasestorage.googleapis.com/v0/b/wt-foundation-production.appspot.com/o/measurements%2FMeasureMethod.ADM_FIXED_PCT%2FheightPhoto%2F1773952352413?alt=media&amp;token=0b00c877-a4d2-4e21-864d-6be7582c2f38</t>
  </si>
  <si>
    <t>https://firebasestorage.googleapis.com/v0/b/wt-foundation-production.appspot.com/o/measurements%2FMeasureMethod.ADM_FIXED_PCT%2Fdepth%2F1773952370969?alt=media&amp;token=81644296-5b49-4a48-8922-dad0ab029a49</t>
  </si>
  <si>
    <t>J8UrRgEpjCQUoiMXzArA</t>
  </si>
  <si>
    <t>2026_03_18 18:12:06</t>
  </si>
  <si>
    <t>TREE 2
DAY 2</t>
  </si>
  <si>
    <t>https://firebasestorage.googleapis.com/v0/b/wt-foundation-production.appspot.com/o/measurements%2FMeasureMethod.ADM_FIXED_PCT%2FdbhPhoto%2F1773952405536?alt=media&amp;token=345c5eec-3c7a-4990-adb5-4b98d72d14ce</t>
  </si>
  <si>
    <t>https://firebasestorage.googleapis.com/v0/b/wt-foundation-production.appspot.com/o/measurements%2FMeasureMethod.ADM_FIXED_PCT%2FheightPhoto%2F1773952398605?alt=media&amp;token=2787cb6c-883c-49a3-a0a0-2acdf6fd2412</t>
  </si>
  <si>
    <t>https://firebasestorage.googleapis.com/v0/b/wt-foundation-production.appspot.com/o/measurements%2FMeasureMethod.ADM_FIXED_PCT%2Fdepth%2F1773952411592?alt=media&amp;token=6760968a-ff53-4625-a3d7-80d8275e76b7</t>
  </si>
  <si>
    <t>BUtlFqVKEy4c5psheDVs</t>
  </si>
  <si>
    <t>2026_03_18 18:13:29</t>
  </si>
  <si>
    <t>TREE 1 
stem 1 
DAY 2</t>
  </si>
  <si>
    <t>https://firebasestorage.googleapis.com/v0/b/wt-foundation-production.appspot.com/o/measurements%2FMeasureMethod.ADM_FIXED_PCT%2FdbhPhoto%2F1773952237574?alt=media&amp;token=af28138d-8c32-48cc-be93-9385b38ca1d9</t>
  </si>
  <si>
    <t>https://firebasestorage.googleapis.com/v0/b/wt-foundation-production.appspot.com/o/measurements%2FMeasureMethod.ADM_FIXED_PCT%2FheightPhoto%2F1773952228901?alt=media&amp;token=c527c493-deb4-43bf-8882-2b7efce2f419</t>
  </si>
  <si>
    <t>https://firebasestorage.googleapis.com/v0/b/wt-foundation-production.appspot.com/o/measurements%2FMeasureMethod.ADM_FIXED_PCT%2Fdepth%2F1773952244917?alt=media&amp;token=0874d77f-177a-45ad-a717-fdfe64520be8</t>
  </si>
  <si>
    <t>NqrCzvbErWIk9jPD1yNt</t>
  </si>
  <si>
    <t>2026_03_18 18:15:45</t>
  </si>
  <si>
    <t>TREE 1 
stem 4
DAY 2</t>
  </si>
  <si>
    <t>https://firebasestorage.googleapis.com/v0/b/wt-foundation-production.appspot.com/o/measurements%2FMeasureMethod.ADM_FIXED_PCT%2FdbhPhoto%2F1773952340313?alt=media&amp;token=d8ab6460-6564-4c89-a527-73a5bfe66af3</t>
  </si>
  <si>
    <t>https://firebasestorage.googleapis.com/v0/b/wt-foundation-production.appspot.com/o/measurements%2FMeasureMethod.ADM_FIXED_PCT%2FheightPhoto%2F1773952321177?alt=media&amp;token=122f0712-ed89-4b3c-8525-22e868c6b689</t>
  </si>
  <si>
    <t>https://firebasestorage.googleapis.com/v0/b/wt-foundation-production.appspot.com/o/measurements%2FMeasureMethod.ADM_FIXED_PCT%2Fdepth%2F1773952345406?alt=media&amp;token=bfee781d-4621-42c2-9c3a-aeefffce3a9a</t>
  </si>
  <si>
    <t>c2TC2YT60NezUZ2jTclW</t>
  </si>
  <si>
    <t>2026_03_18 18:22:21</t>
  </si>
  <si>
    <t>TREE 1 
stem 3
DAY 2</t>
  </si>
  <si>
    <t>https://firebasestorage.googleapis.com/v0/b/wt-foundation-production.appspot.com/o/measurements%2FMeasureMethod.ADM_FIXED_PCT%2FdbhPhoto%2F1773952296150?alt=media&amp;token=5fc1551e-ae4c-4d70-a379-ce040bbb7de8</t>
  </si>
  <si>
    <t>https://firebasestorage.googleapis.com/v0/b/wt-foundation-production.appspot.com/o/measurements%2FMeasureMethod.ADM_FIXED_PCT%2FheightPhoto%2F1773952282037?alt=media&amp;token=37b0413e-8315-4ef5-a518-5f71062bf9c0</t>
  </si>
  <si>
    <t>https://firebasestorage.googleapis.com/v0/b/wt-foundation-production.appspot.com/o/measurements%2FMeasureMethod.ADM_FIXED_PCT%2Fdepth%2F1773952311441?alt=media&amp;token=f2b9b993-3a45-4b30-81c3-cb818a066791</t>
  </si>
  <si>
    <t>AVS4chq6c7XmrsXIBPD1</t>
  </si>
  <si>
    <t>2026_03_18 18:23:24</t>
  </si>
  <si>
    <t>TREE 1
stem 1 
DAY 2</t>
  </si>
  <si>
    <t>https://firebasestorage.googleapis.com/v0/b/wt-foundation-production.appspot.com/o/measurements%2FMeasureMethod.ADM_FIXED_PCT%2FdbhPhoto%2F1773953527868?alt=media&amp;token=beeb60ec-a01d-44ec-bd4e-147a1e0795e1</t>
  </si>
  <si>
    <t>https://firebasestorage.googleapis.com/v0/b/wt-foundation-production.appspot.com/o/measurements%2FMeasureMethod.ADM_FIXED_PCT%2FheightPhoto%2F1773953522538?alt=media&amp;token=3a708f4a-cd06-431e-a555-ac64c94b7314</t>
  </si>
  <si>
    <t>https://firebasestorage.googleapis.com/v0/b/wt-foundation-production.appspot.com/o/measurements%2FMeasureMethod.ADM_FIXED_PCT%2Fdepth%2F1773953556006?alt=media&amp;token=f5fe3500-53a3-4282-976b-15fa183fe0aa</t>
  </si>
  <si>
    <t>gc5eperVm21SO2IZt9fE</t>
  </si>
  <si>
    <t>2026_03_18 18:28:41</t>
  </si>
  <si>
    <t>TREE 1 
stem 2
DAY 2</t>
  </si>
  <si>
    <t>https://firebasestorage.googleapis.com/v0/b/wt-foundation-production.appspot.com/o/measurements%2FMeasureMethod.ADM_FIXED_PCT%2FdbhPhoto%2F1773953770584?alt=media&amp;token=2727250a-e38a-452d-81e3-3a203519f430</t>
  </si>
  <si>
    <t>https://firebasestorage.googleapis.com/v0/b/wt-foundation-production.appspot.com/o/measurements%2FMeasureMethod.ADM_FIXED_PCT%2FheightPhoto%2F1773953561945?alt=media&amp;token=b8f9ff77-f616-47d9-81e9-3e21e33bdf65</t>
  </si>
  <si>
    <t>https://firebasestorage.googleapis.com/v0/b/wt-foundation-production.appspot.com/o/measurements%2FMeasureMethod.ADM_FIXED_PCT%2Fdepth%2F1773953775954?alt=media&amp;token=9a1de21f-193d-4ea2-91b1-a41b6b2575ab</t>
  </si>
  <si>
    <t>toMlrMKCkQQH6knFfXmp</t>
  </si>
  <si>
    <t>2026_03_18 18:29:43</t>
  </si>
  <si>
    <t>TREE 1
stem 3
DAY 2</t>
  </si>
  <si>
    <t>https://firebasestorage.googleapis.com/v0/b/wt-foundation-production.appspot.com/o/measurements%2FMeasureMethod.ADM_FIXED_PCT%2FdbhPhoto%2F1773953792925?alt=media&amp;token=212895da-4b52-478b-88b4-55ed39e3e97f</t>
  </si>
  <si>
    <t>https://firebasestorage.googleapis.com/v0/b/wt-foundation-production.appspot.com/o/measurements%2FMeasureMethod.ADM_FIXED_PCT%2FheightPhoto%2F1773953779666?alt=media&amp;token=8fcd921e-eb67-4536-a578-b015df4362f1</t>
  </si>
  <si>
    <t>https://firebasestorage.googleapis.com/v0/b/wt-foundation-production.appspot.com/o/measurements%2FMeasureMethod.ADM_FIXED_PCT%2Fdepth%2F1773953796769?alt=media&amp;token=5a7304bb-4235-4a2d-99b6-4c268f97fc58</t>
  </si>
  <si>
    <t>IVz67WH9AUdgOeOibya2</t>
  </si>
  <si>
    <t>2026_03_18 18:30:47</t>
  </si>
  <si>
    <t xml:space="preserve">TREE 1
potentially come back to 
(many many stems)
DAY 2 </t>
  </si>
  <si>
    <t>https://firebasestorage.googleapis.com/v0/b/wt-foundation-production.appspot.com/o/measurements%2FMeasureMethod.ADM_FIXED_PCT%2FdbhPhoto%2F1773952211729?alt=media&amp;token=90654eeb-5ad9-45f3-919a-a5541e6a96c2</t>
  </si>
  <si>
    <t>https://firebasestorage.googleapis.com/v0/b/wt-foundation-production.appspot.com/o/measurements%2FMeasureMethod.ADM_FIXED_PCT%2FheightPhoto%2F1773952200994?alt=media&amp;token=7e974e7b-28c5-4c7b-8dce-cc9c89babd9b</t>
  </si>
  <si>
    <t>https://firebasestorage.googleapis.com/v0/b/wt-foundation-production.appspot.com/o/measurements%2FMeasureMethod.ADM_FIXED_PCT%2Fdepth%2F1773952219384?alt=media&amp;token=4db5c223-956c-40e4-99df-4b971605d272</t>
  </si>
  <si>
    <t>nyJGdAiipk8a7XIWMCTB</t>
  </si>
  <si>
    <t>2026_03_18 18:38:51</t>
  </si>
  <si>
    <t>x</t>
  </si>
  <si>
    <t>https://firebasestorage.googleapis.com/v0/b/wt-foundation-production.appspot.com/o/measurements%2FMeasureMethod.ADM_FIXED_PCT%2FdbhPhoto%2F1773952473085?alt=media&amp;token=eb6bf63b-85fa-40c9-8e83-889ff862b141</t>
  </si>
  <si>
    <t>https://firebasestorage.googleapis.com/v0/b/wt-foundation-production.appspot.com/o/measurements%2FMeasureMethod.ADM_FIXED_PCT%2FheightPhoto%2F1773952465403?alt=media&amp;token=ca1bd186-3ee1-4a38-a2a5-c15445f76c98</t>
  </si>
  <si>
    <t>https://firebasestorage.googleapis.com/v0/b/wt-foundation-production.appspot.com/o/measurements%2FMeasureMethod.ADM_FIXED_PCT%2Fdepth%2F1773952479821?alt=media&amp;token=c0b912c3-33c5-4c0b-b9de-ba716443426d</t>
  </si>
  <si>
    <t>F6I4UpH06gcWb6F7XLtN</t>
  </si>
  <si>
    <t>2026_03_18 18:43:04</t>
  </si>
  <si>
    <t>https://firebasestorage.googleapis.com/v0/b/wt-foundation-production.appspot.com/o/measurements%2FMeasureMethod.ADM_FIXED_PCT%2FdbhPhoto%2F1773952509900?alt=media&amp;token=8e42552e-547d-41d0-9ff0-cd45fe445801</t>
  </si>
  <si>
    <t>https://firebasestorage.googleapis.com/v0/b/wt-foundation-production.appspot.com/o/measurements%2FMeasureMethod.ADM_FIXED_PCT%2FheightPhoto%2F1773952496828?alt=media&amp;token=f8539f8a-cb36-4b79-8e27-b8ebb7aa8bf8</t>
  </si>
  <si>
    <t>https://firebasestorage.googleapis.com/v0/b/wt-foundation-production.appspot.com/o/measurements%2FMeasureMethod.ADM_FIXED_PCT%2Fdepth%2F1773952600417?alt=media&amp;token=3a71ece7-fc82-4319-bd8d-ffeeb66acad1</t>
  </si>
  <si>
    <t>ZJL2NEsCPv8BTqhUztck</t>
  </si>
  <si>
    <t>2026_03_18 18:52:00</t>
  </si>
  <si>
    <t>TREE 1 
stem 3 
DAY 2</t>
  </si>
  <si>
    <t>https://firebasestorage.googleapis.com/v0/b/wt-foundation-production.appspot.com/o/measurements%2FMeasureMethod.ADM_FIXED_PCT%2FdbhPhoto%2F1773952629994?alt=media&amp;token=8a62a751-b820-4975-b104-97bd0192bc46</t>
  </si>
  <si>
    <t>https://firebasestorage.googleapis.com/v0/b/wt-foundation-production.appspot.com/o/measurements%2FMeasureMethod.ADM_FIXED_PCT%2FheightPhoto%2F1773952611320?alt=media&amp;token=12405104-e7af-4b2a-9aca-16ba2d44b488</t>
  </si>
  <si>
    <t>https://firebasestorage.googleapis.com/v0/b/wt-foundation-production.appspot.com/o/measurements%2FMeasureMethod.ADM_FIXED_PCT%2Fdepth%2F1773952869528?alt=media&amp;token=b9f01141-dfe5-45b5-8162-29e0485ba2fd</t>
  </si>
  <si>
    <t>RcybfURdMDPhHqXn5pT1</t>
  </si>
  <si>
    <t>2026_03_18 18:53:25</t>
  </si>
  <si>
    <t>https://firebasestorage.googleapis.com/v0/b/wt-foundation-production.appspot.com/o/measurements%2FMeasureMethod.ADM_FIXED_PCT%2FdbhPhoto%2F1773952995712?alt=media&amp;token=45b1dd9c-9263-49af-8973-798711807d4c</t>
  </si>
  <si>
    <t>https://firebasestorage.googleapis.com/v0/b/wt-foundation-production.appspot.com/o/measurements%2FMeasureMethod.ADM_FIXED_PCT%2FheightPhoto%2F1773952872570?alt=media&amp;token=86ebc59c-96bc-4165-b608-10d016dc6ee8</t>
  </si>
  <si>
    <t>https://firebasestorage.googleapis.com/v0/b/wt-foundation-production.appspot.com/o/measurements%2FMeasureMethod.ADM_FIXED_PCT%2Fdepth%2F1773953002322?alt=media&amp;token=e13bcafc-047f-425d-ac69-ccdc05ac804d</t>
  </si>
  <si>
    <t>QByKHAaVN9NMP3LDruCw</t>
  </si>
  <si>
    <t>2026_03_18 18:55:02</t>
  </si>
  <si>
    <t>TREE 1 
stem 5
DAY 2</t>
  </si>
  <si>
    <t>https://firebasestorage.googleapis.com/v0/b/wt-foundation-production.appspot.com/o/measurements%2FMeasureMethod.ADM_FIXED_PCT%2FdbhPhoto%2F1773953015288?alt=media&amp;token=66d8bdec-92bb-426b-842f-084203530779</t>
  </si>
  <si>
    <t>https://firebasestorage.googleapis.com/v0/b/wt-foundation-production.appspot.com/o/measurements%2FMeasureMethod.ADM_FIXED_PCT%2FheightPhoto%2F1773953010352?alt=media&amp;token=d4e00bcb-1069-4b64-bad1-ec36d192a9cb</t>
  </si>
  <si>
    <t>https://firebasestorage.googleapis.com/v0/b/wt-foundation-production.appspot.com/o/measurements%2FMeasureMethod.ADM_FIXED_PCT%2Fdepth%2F1773953035173?alt=media&amp;token=d4d67e2a-9e3d-46c8-b792-9d5b3defdb87</t>
  </si>
  <si>
    <t>bOkCTV0shyAfisr3Z6Wh</t>
  </si>
  <si>
    <t>2026_04_17 18:29:10</t>
  </si>
  <si>
    <t>GNNIaIPthVQKUTVjjbAekjaxeHo1</t>
  </si>
  <si>
    <t>2.5.0</t>
  </si>
  <si>
    <t>west calif garden trees</t>
  </si>
  <si>
    <t>https://firebasestorage.googleapis.com/v0/b/wt-foundation-production.appspot.com/o/measurements%2FMeasureMethod.ADM_FIXED_PCT%2FdbhPhoto%2F1776452670497?alt=media&amp;token=b28a4cc8-bf52-4e9a-952c-eff292dcc2ae</t>
  </si>
  <si>
    <t>https://firebasestorage.googleapis.com/v0/b/wt-foundation-production.appspot.com/o/measurements%2FMeasureMethod.ADM_FIXED_PCT%2FheightPhoto%2F1776452670497?alt=media&amp;token=c9306caa-b2ad-4701-9af1-84e9c44013e1</t>
  </si>
  <si>
    <t>groAZcbdS84uNAoNZlcO</t>
  </si>
  <si>
    <t>2026_04_17 18:32:54</t>
  </si>
  <si>
    <t>2.1.1 redwood tree 1, already did tree 2</t>
  </si>
  <si>
    <t>https://firebasestorage.googleapis.com/v0/b/wt-foundation-production.appspot.com/o/measurements%2FMeasureMethod.ADM_FIXED_PCT%2FdbhPhoto%2F1776452681598?alt=media&amp;token=9465de9a-d95b-4f0b-90be-12aad87167cb</t>
  </si>
  <si>
    <t>nxd2Q6jcYUigv1dygWyU</t>
  </si>
  <si>
    <t>2026_04_17 18:40:10</t>
  </si>
  <si>
    <t>tree 6 (skinny tree)</t>
  </si>
  <si>
    <t>https://firebasestorage.googleapis.com/v0/b/wt-foundation-production.appspot.com/o/measurements%2FMeasureMethod.ADM_FIXED_PCT%2FdbhPhoto%2F1776452682787?alt=media&amp;token=c19543db-557f-4be7-bed0-e7ab3903d2c9</t>
  </si>
  <si>
    <t>https://firebasestorage.googleapis.com/v0/b/wt-foundation-production.appspot.com/o/measurements%2FMeasureMethod.ADM_FIXED_PCT%2FheightPhoto%2F1776452681789?alt=media&amp;token=477d8e53-dcf8-4660-b637-60415216e953</t>
  </si>
  <si>
    <t>IG075HUxpUV7QcykiQoZ</t>
  </si>
  <si>
    <t>2026_04_17 18:45:56</t>
  </si>
  <si>
    <t>https://firebasestorage.googleapis.com/v0/b/wt-foundation-production.appspot.com/o/measurements%2FMeasureMethod.ADM_FIXED_PCT%2FdbhPhoto%2F1776452686472?alt=media&amp;token=3d95a966-31f5-40da-97dd-6a10592f5e2c</t>
  </si>
  <si>
    <t>https://firebasestorage.googleapis.com/v0/b/wt-foundation-production.appspot.com/o/measurements%2FMeasureMethod.ADM_FIXED_PCT%2FheightPhoto%2F1776452683885?alt=media&amp;token=7e8e45cd-6662-4569-8f97-27791d6fc428</t>
  </si>
  <si>
    <t>mBE02a34GnZYTHnQGfIz</t>
  </si>
  <si>
    <t>2026_04_17 18:48:40</t>
  </si>
  <si>
    <t>https://firebasestorage.googleapis.com/v0/b/wt-foundation-production.appspot.com/o/measurements%2FMeasureMethod.ADM_FIXED_PCT%2FdbhPhoto%2F1776654422410?alt=media&amp;token=5e2f48bb-4795-4c8a-8dd6-d989cd15a90f</t>
  </si>
  <si>
    <t>https://firebasestorage.googleapis.com/v0/b/wt-foundation-production.appspot.com/o/measurements%2FMeasureMethod.ADM_FIXED_PCT%2FheightPhoto%2F1776654422409?alt=media&amp;token=609d9647-feba-4b7b-9375-0272354f21dd</t>
  </si>
  <si>
    <t>1HbatzL5Fa1i5zoRCJH5</t>
  </si>
  <si>
    <t>2026_04_17 19:08:07</t>
  </si>
  <si>
    <t>tree1, strem1</t>
  </si>
  <si>
    <t>buckeye</t>
  </si>
  <si>
    <t>https://firebasestorage.googleapis.com/v0/b/wt-foundation-production.appspot.com/o/measurements%2FMeasureMethod.ADM_FIXED_PCT%2FdbhPhoto%2F1776654425185?alt=media&amp;token=4cebad13-1774-4053-b4f5-3b6adc7555f1</t>
  </si>
  <si>
    <t>https://firebasestorage.googleapis.com/v0/b/wt-foundation-production.appspot.com/o/measurements%2FMeasureMethod.ADM_FIXED_PCT%2FheightPhoto%2F1776654422410?alt=media&amp;token=20bf94ae-2773-4582-bafb-549d2a7e3cd4</t>
  </si>
  <si>
    <t>IxXgDuzBYdz7nI5gzs71</t>
  </si>
  <si>
    <t>2026_04_17 19:09:50</t>
  </si>
  <si>
    <t>b tree 1 stem 2</t>
  </si>
  <si>
    <t>https://firebasestorage.googleapis.com/v0/b/wt-foundation-production.appspot.com/o/measurements%2FMeasureMethod.ADM_FIXED_PCT%2FdbhPhoto%2F1776654430786?alt=media&amp;token=2d8a476e-0aec-460a-8a60-af3e90588345</t>
  </si>
  <si>
    <t>https://firebasestorage.googleapis.com/v0/b/wt-foundation-production.appspot.com/o/measurements%2FMeasureMethod.ADM_FIXED_PCT%2FheightPhoto%2F1776654428599?alt=media&amp;token=af145197-5416-4836-be26-9056db12d394</t>
  </si>
  <si>
    <t>PBG6MYS94yeieTV5sPB2</t>
  </si>
  <si>
    <t>2026_04_17 19:11:40</t>
  </si>
  <si>
    <t>https://firebasestorage.googleapis.com/v0/b/wt-foundation-production.appspot.com/o/measurements%2FMeasureMethod.ADM_FIXED_PCT%2FdbhPhoto%2F1776654434245?alt=media&amp;token=17577fe1-f5d1-4081-aa9f-df1ecac58433</t>
  </si>
  <si>
    <t>https://firebasestorage.googleapis.com/v0/b/wt-foundation-production.appspot.com/o/measurements%2FMeasureMethod.ADM_FIXED_PCT%2FheightPhoto%2F1776654433514?alt=media&amp;token=92f116b7-10d7-4bb2-a623-d9800064135b</t>
  </si>
  <si>
    <t>HUHyCQJskxSEnEDToAJD</t>
  </si>
  <si>
    <t>2026_04_17 19:13:04</t>
  </si>
  <si>
    <t>https://firebasestorage.googleapis.com/v0/b/wt-foundation-production.appspot.com/o/measurements%2FMeasureMethod.ADM_FIXED_PCT%2FdbhPhoto%2F1776654440742?alt=media&amp;token=457a3e6c-1e4e-4c92-9066-4606402251d6</t>
  </si>
  <si>
    <t>https://firebasestorage.googleapis.com/v0/b/wt-foundation-production.appspot.com/o/measurements%2FMeasureMethod.ADM_FIXED_PCT%2FheightPhoto%2F1776654438445?alt=media&amp;token=90c7d29b-ec1e-462d-a93f-07830e7b82d1</t>
  </si>
  <si>
    <t>MxeBgluxCBTbr1SmCLKT</t>
  </si>
  <si>
    <t>2026_04_17 19:14:44</t>
  </si>
  <si>
    <t>https://firebasestorage.googleapis.com/v0/b/wt-foundation-production.appspot.com/o/measurements%2FMeasureMethod.ADM_FIXED_PCT%2FdbhPhoto%2F1776654449123?alt=media&amp;token=cf301cc5-0a19-4c91-9f9b-602341c55970</t>
  </si>
  <si>
    <t>https://firebasestorage.googleapis.com/v0/b/wt-foundation-production.appspot.com/o/measurements%2FMeasureMethod.ADM_FIXED_PCT%2FheightPhoto%2F1776654443866?alt=media&amp;token=0da246dc-ec3c-4680-9239-4d518f9f64ac</t>
  </si>
  <si>
    <t>Hr3qAJnjSR41hUdsqZ1E</t>
  </si>
  <si>
    <t>2026_04_17 19:15:52</t>
  </si>
  <si>
    <t>https://firebasestorage.googleapis.com/v0/b/wt-foundation-production.appspot.com/o/measurements%2FMeasureMethod.ADM_FIXED_PCT%2FdbhPhoto%2F1776654455204?alt=media&amp;token=0bb561fe-494d-4205-97d1-e8a9449cce20</t>
  </si>
  <si>
    <t>https://firebasestorage.googleapis.com/v0/b/wt-foundation-production.appspot.com/o/measurements%2FMeasureMethod.ADM_FIXED_PCT%2FheightPhoto%2F1776654449691?alt=media&amp;token=cb060f38-66a6-4c51-bbda-e06a7fce1d8e</t>
  </si>
  <si>
    <t>ArIIQ9hKx67ftqyGdNeP</t>
  </si>
  <si>
    <t>2026_04_17 19:18:08</t>
  </si>
  <si>
    <t>https://firebasestorage.googleapis.com/v0/b/wt-foundation-production.appspot.com/o/measurements%2FMeasureMethod.ADM_FIXED_PCT%2FdbhPhoto%2F1776654459514?alt=media&amp;token=fd123816-b952-4fc9-b506-32fee32047bd</t>
  </si>
  <si>
    <t>https://firebasestorage.googleapis.com/v0/b/wt-foundation-production.appspot.com/o/measurements%2FMeasureMethod.ADM_FIXED_PCT%2FheightPhoto%2F1776654456031?alt=media&amp;token=db677bd8-6f59-4709-894a-5bf9ffa73a1b</t>
  </si>
  <si>
    <t>Qz4lgCNItdoOUx9ZmHYx</t>
  </si>
  <si>
    <t>2026_04_17 19:19:31</t>
  </si>
  <si>
    <t>https://firebasestorage.googleapis.com/v0/b/wt-foundation-production.appspot.com/o/measurements%2FMeasureMethod.ADM_FIXED_PCT%2FdbhPhoto%2F1776654462871?alt=media&amp;token=08eda84e-8787-4173-b906-abc8edf06da1</t>
  </si>
  <si>
    <t>https://firebasestorage.googleapis.com/v0/b/wt-foundation-production.appspot.com/o/measurements%2FMeasureMethod.ADM_FIXED_PCT%2FheightPhoto%2F1776654459991?alt=media&amp;token=aaa040c1-af84-4cbb-b90c-cde84dcd25a6</t>
  </si>
  <si>
    <t>cMWIRyfm0c2wkjxUulRN</t>
  </si>
  <si>
    <t>2026_04_17 19:23:07</t>
  </si>
  <si>
    <t>https://firebasestorage.googleapis.com/v0/b/wt-foundation-production.appspot.com/o/measurements%2FMeasureMethod.ADM_FIXED_PCT%2FdbhPhoto%2F1776654468933?alt=media&amp;token=e4493b2c-f966-46fc-a920-5439395d4759</t>
  </si>
  <si>
    <t>https://firebasestorage.googleapis.com/v0/b/wt-foundation-production.appspot.com/o/measurements%2FMeasureMethod.ADM_FIXED_PCT%2FheightPhoto%2F1776654466385?alt=media&amp;token=abdd1239-c624-403f-8eb2-e849b0903a2d</t>
  </si>
  <si>
    <t>juNatr1CZTUSZBGRkiDs</t>
  </si>
  <si>
    <t>2026_04_17 19:27:02</t>
  </si>
  <si>
    <t>https://firebasestorage.googleapis.com/v0/b/wt-foundation-production.appspot.com/o/measurements%2FMeasureMethod.ADM_FIXED_PCT%2FdbhPhoto%2F1776654472271?alt=media&amp;token=74cebfaa-5408-4446-a513-f57a474f9f41</t>
  </si>
  <si>
    <t>https://firebasestorage.googleapis.com/v0/b/wt-foundation-production.appspot.com/o/measurements%2FMeasureMethod.ADM_FIXED_PCT%2FheightPhoto%2F1776654469303?alt=media&amp;token=eec5b477-0dc8-4e3f-b429-38ebe88161ce</t>
  </si>
  <si>
    <t>WwZg8ZfuY9ymo5NF4QEE</t>
  </si>
  <si>
    <t>2026_04_17 19:29:00</t>
  </si>
  <si>
    <t>2.2 (full height)</t>
  </si>
  <si>
    <t>https://firebasestorage.googleapis.com/v0/b/wt-foundation-production.appspot.com/o/measurements%2FMeasureMethod.ADM_FIXED_PCT%2FdbhPhoto%2F1776654478008?alt=media&amp;token=e657d9ea-f407-4f15-8d31-c0ea37a62344</t>
  </si>
  <si>
    <t>https://firebasestorage.googleapis.com/v0/b/wt-foundation-production.appspot.com/o/measurements%2FMeasureMethod.ADM_FIXED_PCT%2FheightPhoto%2F1776654476503?alt=media&amp;token=7641f48c-c504-4eb6-9634-7c1cb92ee656</t>
  </si>
  <si>
    <t>1yN8qJZCCm58TwLYJA1s</t>
  </si>
  <si>
    <t>2026_04_17 19:30:37</t>
  </si>
  <si>
    <t>https://firebasestorage.googleapis.com/v0/b/wt-foundation-production.appspot.com/o/measurements%2FMeasureMethod.ADM_FIXED_PCT%2FdbhPhoto%2F1776654576335?alt=media&amp;token=3fb4611b-b056-4778-9d84-2e9459963e0d</t>
  </si>
  <si>
    <t>https://firebasestorage.googleapis.com/v0/b/wt-foundation-production.appspot.com/o/measurements%2FMeasureMethod.ADM_FIXED_PCT%2FheightPhoto%2F1776654576315?alt=media&amp;token=6d6b781f-dede-4ac3-8ec5-68e7ffa0e2d4</t>
  </si>
  <si>
    <t>zFs0cTBmhVIZ2NwhJ4wJ</t>
  </si>
  <si>
    <t>2026_04_17 19:33:34</t>
  </si>
  <si>
    <t>2.4 take 2</t>
  </si>
  <si>
    <t>https://firebasestorage.googleapis.com/v0/b/wt-foundation-production.appspot.com/o/measurements%2FMeasureMethod.ADM_FIXED_PCT%2FdbhPhoto%2F1776654587589?alt=media&amp;token=4cc6e064-e6b8-4887-ba78-ebf52fb4412a</t>
  </si>
  <si>
    <t>https://firebasestorage.googleapis.com/v0/b/wt-foundation-production.appspot.com/o/measurements%2FMeasureMethod.ADM_FIXED_PCT%2FheightPhoto%2F1776654584966?alt=media&amp;token=a6e05086-cb19-451b-9559-caf06519e0f2</t>
  </si>
  <si>
    <t>XN3juNx9hK4nkywmSnAQ</t>
  </si>
  <si>
    <t>2026_04_17 19:38:23</t>
  </si>
  <si>
    <t>https://firebasestorage.googleapis.com/v0/b/wt-foundation-production.appspot.com/o/measurements%2FMeasureMethod.ADM_FIXED_PCT%2FdbhPhoto%2F1776654592157?alt=media&amp;token=b4483e79-8511-4cbf-a105-166257b50148</t>
  </si>
  <si>
    <t>https://firebasestorage.googleapis.com/v0/b/wt-foundation-production.appspot.com/o/measurements%2FMeasureMethod.ADM_FIXED_PCT%2FheightPhoto%2F1776654588670?alt=media&amp;token=7fbce421-9f7a-4184-a4f6-6e263e6f2d76</t>
  </si>
  <si>
    <t>UBY0iKOhfmvewN1OIEIL</t>
  </si>
  <si>
    <t>2026_04_17 19:39:16</t>
  </si>
  <si>
    <t>https://firebasestorage.googleapis.com/v0/b/wt-foundation-production.appspot.com/o/measurements%2FMeasureMethod.ADM_FIXED_PCT%2FdbhPhoto%2F1776654599292?alt=media&amp;token=57cfe323-226c-4b87-8e0e-8b44099f0c5a</t>
  </si>
  <si>
    <t>https://firebasestorage.googleapis.com/v0/b/wt-foundation-production.appspot.com/o/measurements%2FMeasureMethod.ADM_FIXED_PCT%2FheightPhoto%2F1776654596960?alt=media&amp;token=4c70ec23-6257-4c43-926f-340a1109cafb</t>
  </si>
  <si>
    <t>q9NFpycD2JusvjXaEBgW</t>
  </si>
  <si>
    <t>2026_04_29 17:41:06</t>
  </si>
  <si>
    <t xml:space="preserve">3d SCAN </t>
  </si>
  <si>
    <t>ginkgo</t>
  </si>
  <si>
    <t>https://firebasestorage.googleapis.com/v0/b/wt-foundation-production.appspot.com/o/measurements%2FMeasureMethod.ADM_FIXED_PCT%2FdbhPhoto%2F1777484482675?alt=media&amp;token=71d0ec6e-aeba-46ab-b82f-90f5c802795c</t>
  </si>
  <si>
    <t>https://firebasestorage.googleapis.com/v0/b/wt-foundation-production.appspot.com/o/measurements%2FMeasureMethod.ADM_FIXED_PCT%2FheightPhoto%2F1777484466358?alt=media&amp;token=da90b7c7-3f29-4d89-bc4d-7316573a3ccc</t>
  </si>
  <si>
    <t>x2BrsqWFIgZRyiQ5TOeM</t>
  </si>
  <si>
    <t>2026_04_29 17:46:24</t>
  </si>
  <si>
    <t>callery pear</t>
  </si>
  <si>
    <t>https://firebasestorage.googleapis.com/v0/b/wt-foundation-production.appspot.com/o/measurements%2FMeasureMethod.ADM_FIXED_PCT%2FdbhPhoto%2F1777484790265?alt=media&amp;token=016f9268-53d9-4248-8e47-5139cb1a432f</t>
  </si>
  <si>
    <t>https://firebasestorage.googleapis.com/v0/b/wt-foundation-production.appspot.com/o/measurements%2FMeasureMethod.ADM_FIXED_PCT%2FheightPhoto%2F1777484784282?alt=media&amp;token=eeef4286-691e-4826-8066-1340cf0be64f</t>
  </si>
  <si>
    <t>j2aGcC7SogH2K0L26DPZ</t>
  </si>
  <si>
    <t>2026_05_01 18:48:10</t>
  </si>
  <si>
    <t>tree2 
stem 1</t>
  </si>
  <si>
    <t>Callistemon viminalis (weeping bottlebrush)</t>
  </si>
  <si>
    <t>https://firebasestorage.googleapis.com/v0/b/wt-foundation-production.appspot.com/o/measurements%2FMeasureMethod.ADM_FIXED_PCT%2FdbhPhoto%2F1777661297248?alt=media&amp;token=526bd46a-f805-431a-b911-8a142a70c727</t>
  </si>
  <si>
    <t>https://firebasestorage.googleapis.com/v0/b/wt-foundation-production.appspot.com/o/measurements%2FMeasureMethod.ADM_FIXED_PCT%2FheightPhoto%2F1777661290457?alt=media&amp;token=b4ebca95-2e65-43df-8ef5-eb5dcdb53827</t>
  </si>
  <si>
    <t>QOjHNpx34kv12ntZNUYx</t>
  </si>
  <si>
    <t>2026_05_01 18:49:41</t>
  </si>
  <si>
    <t>tree 2
stem 2</t>
  </si>
  <si>
    <t>https://firebasestorage.googleapis.com/v0/b/wt-foundation-production.appspot.com/o/measurements%2FMeasureMethod.ADM_FIXED_PCT%2FdbhPhoto%2F1777661391152?alt=media&amp;token=c3558e55-ff89-4fc8-99f9-ca71d0556998</t>
  </si>
  <si>
    <t>https://firebasestorage.googleapis.com/v0/b/wt-foundation-production.appspot.com/o/measurements%2FMeasureMethod.ADM_FIXED_PCT%2FheightPhoto%2F1777661381410?alt=media&amp;token=3c847b7a-5858-40ac-8325-728586e68bfa</t>
  </si>
  <si>
    <t>59ib3pLODPtZI653mZoz</t>
  </si>
  <si>
    <t>2026_05_01 18:54:05</t>
  </si>
  <si>
    <t>tree 2 
stem 3</t>
  </si>
  <si>
    <t>https://firebasestorage.googleapis.com/v0/b/wt-foundation-production.appspot.com/o/measurements%2FMeasureMethod.ADM_FIXED_PCT%2FdbhPhoto%2F1777661653256?alt=media&amp;token=bb016a6c-3490-4cc7-a93e-2a70ef62a37b</t>
  </si>
  <si>
    <t>https://firebasestorage.googleapis.com/v0/b/wt-foundation-production.appspot.com/o/measurements%2FMeasureMethod.ADM_FIXED_PCT%2FheightPhoto%2F1777661646197?alt=media&amp;token=bd5bcb27-1762-4854-b594-a99d1e9fc935</t>
  </si>
  <si>
    <t>SFVjfO9QsYxMhghJzfc3</t>
  </si>
  <si>
    <t>2026_05_01 18:56:21</t>
  </si>
  <si>
    <t>tree 2
stem 4</t>
  </si>
  <si>
    <t>https://firebasestorage.googleapis.com/v0/b/wt-foundation-production.appspot.com/o/measurements%2FMeasureMethod.ADM_FIXED_PCT%2FdbhPhoto%2F1777661793021?alt=media&amp;token=14ef2caf-d682-4d95-bd8e-0e4ee67c3ef2</t>
  </si>
  <si>
    <t>https://firebasestorage.googleapis.com/v0/b/wt-foundation-production.appspot.com/o/measurements%2FMeasureMethod.ADM_FIXED_PCT%2FheightPhoto%2F1777661782039?alt=media&amp;token=84b9beca-7199-485b-a109-46aac9087233</t>
  </si>
  <si>
    <t>mPYcbwO6DF607ObDNPML</t>
  </si>
  <si>
    <t>2026_05_01 18:57:34</t>
  </si>
  <si>
    <t>tree 2
stem5</t>
  </si>
  <si>
    <t>https://firebasestorage.googleapis.com/v0/b/wt-foundation-production.appspot.com/o/measurements%2FMeasureMethod.ADM_FIXED_PCT%2FdbhPhoto%2F1777661861627?alt=media&amp;token=99a05685-049d-4ad5-afad-0f198820a8f5</t>
  </si>
  <si>
    <t>https://firebasestorage.googleapis.com/v0/b/wt-foundation-production.appspot.com/o/measurements%2FMeasureMethod.ADM_FIXED_PCT%2FheightPhoto%2F1777661854488?alt=media&amp;token=89cd7e5b-a286-437c-b48c-9b26ac25bb2b</t>
  </si>
  <si>
    <t>hsqq3cPqmvEgE4pbhyDQ</t>
  </si>
  <si>
    <t>2026_05_01 18:59:57</t>
  </si>
  <si>
    <t>tree 2
stem 6</t>
  </si>
  <si>
    <t>https://firebasestorage.googleapis.com/v0/b/wt-foundation-production.appspot.com/o/measurements%2FMeasureMethod.ADM_FIXED_PCT%2FdbhPhoto%2F1777662011072?alt=media&amp;token=006cee0b-f419-4857-82bb-34fb5adb4aa6</t>
  </si>
  <si>
    <t>https://firebasestorage.googleapis.com/v0/b/wt-foundation-production.appspot.com/o/measurements%2FMeasureMethod.ADM_FIXED_PCT%2FheightPhoto%2F1777661998171?alt=media&amp;token=ca3d5ddf-152b-4dfd-ac10-a7a05c1d08ee</t>
  </si>
  <si>
    <t>pQlIvRwi8ADn8dW2lRon</t>
  </si>
  <si>
    <t>2026_05_01 19:01:28</t>
  </si>
  <si>
    <t>tree 2
stem 7</t>
  </si>
  <si>
    <t>https://firebasestorage.googleapis.com/v0/b/wt-foundation-production.appspot.com/o/measurements%2FMeasureMethod.ADM_FIXED_PCT%2FdbhPhoto%2F1777662095644?alt=media&amp;token=a17d7455-01ef-4f3d-a054-ef4b36f8eac5</t>
  </si>
  <si>
    <t>https://firebasestorage.googleapis.com/v0/b/wt-foundation-production.appspot.com/o/measurements%2FMeasureMethod.ADM_FIXED_PCT%2FheightPhoto%2F1777662088609?alt=media&amp;token=0ba8bbdb-1454-4a6a-bc37-87701de0d5eb</t>
  </si>
  <si>
    <t>45m7RkG5D8ddtTfCiz3m</t>
  </si>
  <si>
    <t>2026_05_01 19:07:30</t>
  </si>
  <si>
    <t>tree3</t>
  </si>
  <si>
    <t>Melaleuca quinquenervia (punk tree)</t>
  </si>
  <si>
    <t>https://firebasestorage.googleapis.com/v0/b/wt-foundation-production.appspot.com/o/measurements%2FMeasureMethod.ADM_FIXED_PCT%2FdbhPhoto%2F1777662461728?alt=media&amp;token=f97f008d-a028-486d-8b03-aee3483d2f3d</t>
  </si>
  <si>
    <t>https://firebasestorage.googleapis.com/v0/b/wt-foundation-production.appspot.com/o/measurements%2FMeasureMethod.ADM_FIXED_PCT%2FheightPhoto%2F1777662451138?alt=media&amp;token=2aeaef18-fc62-4515-9cbf-2d3fe497067a</t>
  </si>
  <si>
    <t>t1APWlbm0fOrwao3cGuo</t>
  </si>
  <si>
    <t>2026_05_01 19:14:01</t>
  </si>
  <si>
    <t>tree4</t>
  </si>
  <si>
    <t>https://firebasestorage.googleapis.com/v0/b/wt-foundation-production.appspot.com/o/measurements%2FMeasureMethod.ADM_FIXED_PCT%2FdbhPhoto%2F1777662874895?alt=media&amp;token=cdd66639-f24e-4126-afbc-cd155921b7c8</t>
  </si>
  <si>
    <t>https://firebasestorage.googleapis.com/v0/b/wt-foundation-production.appspot.com/o/measurements%2FMeasureMethod.ADM_FIXED_PCT%2FheightPhoto%2F1777662841437?alt=media&amp;token=3168d94c-994e-4de0-a33d-0e157f15f4c2</t>
  </si>
  <si>
    <t>H8LD7fhNszdNkwPLnMnC</t>
  </si>
  <si>
    <t>2026_05_01 19:21:07</t>
  </si>
  <si>
    <t>unknown species</t>
  </si>
  <si>
    <t>tree 1 
stem 2
actual</t>
  </si>
  <si>
    <t>?</t>
  </si>
  <si>
    <t>https://firebasestorage.googleapis.com/v0/b/wt-foundation-production.appspot.com/o/measurements%2FMeasureMethod.ADM_FIXED_PCT%2FdbhPhoto%2F1777663286522?alt=media&amp;token=c16d2057-a580-4367-a653-a28797e1a1e3</t>
  </si>
  <si>
    <t>https://firebasestorage.googleapis.com/v0/b/wt-foundation-production.appspot.com/o/measurements%2FMeasureMethod.ADM_FIXED_PCT%2FheightPhoto%2F1777663267476?alt=media&amp;token=12f14930-4aee-4dcc-9840-fe0936f0c160</t>
  </si>
  <si>
    <t>pDg7TLrvMN8a9gMFoGr7</t>
  </si>
  <si>
    <t>2026_05_01 19:24:33</t>
  </si>
  <si>
    <t>tree 1 
stem 1
actual</t>
  </si>
  <si>
    <t>https://firebasestorage.googleapis.com/v0/b/wt-foundation-production.appspot.com/o/measurements%2FMeasureMethod.ADM_FIXED_PCT%2FdbhPhoto%2F1777663481541?alt=media&amp;token=edd3ae3b-1aa7-47d3-af3a-a88becd9c367</t>
  </si>
  <si>
    <t>https://firebasestorage.googleapis.com/v0/b/wt-foundation-production.appspot.com/o/measurements%2FMeasureMethod.ADM_FIXED_PCT%2FheightPhoto%2F1777663473731?alt=media&amp;token=e0517204-00cb-4eb7-a63f-5c3aff85c72b</t>
  </si>
  <si>
    <t>upnP4p2r94mWOHkjRfrQ</t>
  </si>
  <si>
    <t>2026_05_01 19:36:02</t>
  </si>
  <si>
    <t>tree5</t>
  </si>
  <si>
    <t>dawn redwood</t>
  </si>
  <si>
    <t>https://firebasestorage.googleapis.com/v0/b/wt-foundation-production.appspot.com/o/measurements%2FMeasureMethod.ADM_FIXED_PCT%2FdbhPhoto%2F1777664172730?alt=media&amp;token=7823d1da-b5e7-4aee-b193-1023c1cc8b07</t>
  </si>
  <si>
    <t>https://firebasestorage.googleapis.com/v0/b/wt-foundation-production.appspot.com/o/measurements%2FMeasureMethod.ADM_FIXED_PCT%2FheightPhoto%2F1777664172727?alt=media&amp;token=bce67835-0e21-4734-82ae-b666fde87630</t>
  </si>
  <si>
    <t>AdGPW6fJNat70L25d0VG</t>
  </si>
  <si>
    <t>2026_05_01 19:45:41</t>
  </si>
  <si>
    <t>tree6</t>
  </si>
  <si>
    <t>https://firebasestorage.googleapis.com/v0/b/wt-foundation-production.appspot.com/o/measurements%2FMeasureMethod.ADM_FIXED_PCT%2FdbhPhoto%2F1777664754270?alt=media&amp;token=f8de0272-7b7d-48ba-8cb8-59f0406e23b9</t>
  </si>
  <si>
    <t>https://firebasestorage.googleapis.com/v0/b/wt-foundation-production.appspot.com/o/measurements%2FMeasureMethod.ADM_FIXED_PCT%2FheightPhoto%2F1777664741672?alt=media&amp;token=783e30f1-0d99-41e4-95ee-1434a8d4c0b6</t>
  </si>
  <si>
    <t>dhHXCufR5qh6c0P0pnB5</t>
  </si>
  <si>
    <t>2026_05_01 19:49:47</t>
  </si>
  <si>
    <t>edge case</t>
  </si>
  <si>
    <t>tree 7
big redwood outside of radius</t>
  </si>
  <si>
    <t>https://firebasestorage.googleapis.com/v0/b/wt-foundation-production.appspot.com/o/measurements%2FMeasureMethod.ADM_FIXED_PCT%2FdbhPhoto%2F1777664998764?alt=media&amp;token=78828db2-cd84-49bc-a9ae-3c2246147cc3</t>
  </si>
  <si>
    <t>https://firebasestorage.googleapis.com/v0/b/wt-foundation-production.appspot.com/o/measurements%2FMeasureMethod.ADM_FIXED_PCT%2FheightPhoto%2F1777664988120?alt=media&amp;token=eeea371e-22bd-4879-9b2d-562d6c712a3d</t>
  </si>
  <si>
    <t>NbxDYOlRmSMoLJh2A2rR</t>
  </si>
  <si>
    <t>2026_05_01 19:55:04</t>
  </si>
  <si>
    <t>https://firebasestorage.googleapis.com/v0/b/wt-foundation-production.appspot.com/o/measurements%2FMeasureMethod.ADM_FIXED_PCT%2FdbhPhoto%2F1778038319486?alt=media&amp;token=b0fcd9c8-aec7-41c8-a54e-abaddb79e4d9</t>
  </si>
  <si>
    <t>https://firebasestorage.googleapis.com/v0/b/wt-foundation-production.appspot.com/o/measurements%2FMeasureMethod.ADM_FIXED_PCT%2FheightPhoto%2F1777665305258?alt=media&amp;token=ebe75aae-ce52-4827-a158-b24af7e3861b</t>
  </si>
  <si>
    <t>stWmu3Me2kSSUWHbLrgU</t>
  </si>
  <si>
    <t>2026_05_04 17:56:46</t>
  </si>
  <si>
    <t>stem 1</t>
  </si>
  <si>
    <t>https://firebasestorage.googleapis.com/v0/b/wt-foundation-production.appspot.com/o/measurements%2FMeasureMethod.ADM_FIXED_PCT%2FdbhPhoto%2F1777917414972?alt=media&amp;token=625dc11f-452a-4c5a-b57d-00fcaa56f860</t>
  </si>
  <si>
    <t>https://firebasestorage.googleapis.com/v0/b/wt-foundation-production.appspot.com/o/measurements%2FMeasureMethod.ADM_FIXED_PCT%2FheightPhoto%2F1777917406815?alt=media&amp;token=5b1e33a1-0536-46a5-87ed-0de79a2827ce</t>
  </si>
  <si>
    <t>pOXpIxT2CcVkwZxUtOAK</t>
  </si>
  <si>
    <t>2026_05_04 17:57:51</t>
  </si>
  <si>
    <t>https://firebasestorage.googleapis.com/v0/b/wt-foundation-production.appspot.com/o/measurements%2FMeasureMethod.ADM_FIXED_PCT%2FdbhPhoto%2F1777917488989?alt=media&amp;token=9255e55b-c28a-41a6-99a6-09dc56e86195</t>
  </si>
  <si>
    <t>https://firebasestorage.googleapis.com/v0/b/wt-foundation-production.appspot.com/o/measurements%2FMeasureMethod.ADM_FIXED_PCT%2FheightPhoto%2F1777917472141?alt=media&amp;token=23322b98-2fc9-43ba-963e-287eed0640ce</t>
  </si>
  <si>
    <t>Eb00QS6zOvE4ob6Su4Bs</t>
  </si>
  <si>
    <t>2026_05_04 17:58:46</t>
  </si>
  <si>
    <t>stem 3</t>
  </si>
  <si>
    <t>https://firebasestorage.googleapis.com/v0/b/wt-foundation-production.appspot.com/o/measurements%2FMeasureMethod.ADM_FIXED_PCT%2FdbhPhoto%2F1777917545931?alt=media&amp;token=1319b362-d704-4e34-9591-cf7fce66c669</t>
  </si>
  <si>
    <t>https://firebasestorage.googleapis.com/v0/b/wt-foundation-production.appspot.com/o/measurements%2FMeasureMethod.ADM_FIXED_PCT%2FheightPhoto%2F1777917526306?alt=media&amp;token=25416c63-42c8-4aba-905d-1aa04b75f411</t>
  </si>
  <si>
    <t>QQMyNpjp488uFjXQ3m8j</t>
  </si>
  <si>
    <t>2026_05_04 17:59:35</t>
  </si>
  <si>
    <t>stem 4</t>
  </si>
  <si>
    <t>https://firebasestorage.googleapis.com/v0/b/wt-foundation-production.appspot.com/o/measurements%2FMeasureMethod.ADM_FIXED_PCT%2FdbhPhoto%2F1777918427982?alt=media&amp;token=75dbe300-19e5-4ef0-9b05-6d3c1290417c</t>
  </si>
  <si>
    <t>https://firebasestorage.googleapis.com/v0/b/wt-foundation-production.appspot.com/o/measurements%2FMeasureMethod.ADM_FIXED_PCT%2FheightPhoto%2F1777917575809?alt=media&amp;token=a61cf8d8-0559-4cc5-83d4-ab450a4b7839</t>
  </si>
  <si>
    <t>AMHpIRRM8MUEhkznn5UQ</t>
  </si>
  <si>
    <t>2026_05_08 17:48:04</t>
  </si>
  <si>
    <t>https://firebasestorage.googleapis.com/v0/b/wt-foundation-production.appspot.com/o/measurements%2FMeasureMethod.ADM_FIXED_PCT%2FdbhPhoto%2F1778276027634?alt=media&amp;token=ee763374-119c-4174-bef6-543ec39089bd</t>
  </si>
  <si>
    <t>https://firebasestorage.googleapis.com/v0/b/wt-foundation-production.appspot.com/o/measurements%2FMeasureMethod.ADM_FIXED_PCT%2FheightPhoto%2F1778276027634?alt=media&amp;token=7fe81402-626d-4fdb-873b-4de7dc22da14</t>
  </si>
  <si>
    <t>qnLPoeh0WW2hsW6Lsonf</t>
  </si>
  <si>
    <t>2026_05_08 17:54:49</t>
  </si>
  <si>
    <t>https://firebasestorage.googleapis.com/v0/b/wt-foundation-production.appspot.com/o/measurements%2FMeasureMethod.ADM_FIXED_PCT%2FdbhPhoto%2F1778276027634?alt=media&amp;token=fdf805e8-e0f9-4f98-9ffc-1486ed832378</t>
  </si>
  <si>
    <t>CaOezlIASRpG5HOmW9wq</t>
  </si>
  <si>
    <t>2026_05_08 17:57:53</t>
  </si>
  <si>
    <t>https://firebasestorage.googleapis.com/v0/b/wt-foundation-production.appspot.com/o/measurements%2FMeasureMethod.ADM_FIXED_PCT%2FdbhPhoto%2F1778276158471?alt=media&amp;token=00eb517e-4db6-49ff-9e95-eaaac4d6b79a</t>
  </si>
  <si>
    <t>https://firebasestorage.googleapis.com/v0/b/wt-foundation-production.appspot.com/o/measurements%2FMeasureMethod.ADM_FIXED_PCT%2FheightPhoto%2F1778276153889?alt=media&amp;token=07b49f8d-393e-4ccb-8b45-1693ee65038c</t>
  </si>
  <si>
    <t>Cbi60Ghs8Us5sSOePQHy</t>
  </si>
  <si>
    <t>2026_05_08 18:03:25</t>
  </si>
  <si>
    <t>silver palm</t>
  </si>
  <si>
    <t>https://firebasestorage.googleapis.com/v0/b/wt-foundation-production.appspot.com/o/measurements%2FMeasureMethod.ADM_FIXED_PCT%2FdbhPhoto%2F1778276203187?alt=media&amp;token=d9dbad09-687a-4eca-baf6-b94764258631</t>
  </si>
  <si>
    <t>https://firebasestorage.googleapis.com/v0/b/wt-foundation-production.appspot.com/o/measurements%2FMeasureMethod.ADM_FIXED_PCT%2FheightPhoto%2F1778276203174?alt=media&amp;token=aa05fd92-f5ac-4f13-9410-64a550cf1651</t>
  </si>
  <si>
    <t>QJ7l6F511I4K8bjNesg9</t>
  </si>
  <si>
    <t>2026_05_08 18:10:16</t>
  </si>
  <si>
    <t>palm2</t>
  </si>
  <si>
    <t>?palm</t>
  </si>
  <si>
    <t>https://firebasestorage.googleapis.com/v0/b/wt-foundation-production.appspot.com/o/measurements%2FMeasureMethod.ADM_FIXED_PCT%2FdbhPhoto%2F1778276208933?alt=media&amp;token=e82a7b5c-4644-4835-9bf3-560ad4f68525</t>
  </si>
  <si>
    <t>https://firebasestorage.googleapis.com/v0/b/wt-foundation-production.appspot.com/o/measurements%2FMeasureMethod.ADM_FIXED_PCT%2FheightPhoto%2F1778276205596?alt=media&amp;token=59381756-e50b-49ab-af78-108c4dfd4e27</t>
  </si>
  <si>
    <t>I99abqgSUwfuQQHGZQ9Y</t>
  </si>
  <si>
    <t>2026_05_08 18:19:09</t>
  </si>
  <si>
    <t>unknown species, several stems / no dbh, edge case</t>
  </si>
  <si>
    <t>6m within footprint, 7m overall,
many stemmed giant palm tree on edge of footprint</t>
  </si>
  <si>
    <t>https://firebasestorage.googleapis.com/v0/b/wt-foundation-production.appspot.com/o/measurements%2FMeasureMethod.ADM_FIXED_PCT%2FdbhPhoto%2F1778276211201?alt=media&amp;token=7227e301-ff19-481d-aa01-f90bff5eee18</t>
  </si>
  <si>
    <t>https://firebasestorage.googleapis.com/v0/b/wt-foundation-production.appspot.com/o/measurements%2FMeasureMethod.ADM_FIXED_PCT%2FheightPhoto%2F1778276210180?alt=media&amp;token=09045526-47cc-4d53-97f2-04795db84040</t>
  </si>
  <si>
    <t>Cp0c3xmUzTclY2DH2xCl</t>
  </si>
  <si>
    <t>2026_05_08 18:23:56</t>
  </si>
  <si>
    <t>palm 4</t>
  </si>
  <si>
    <t>https://firebasestorage.googleapis.com/v0/b/wt-foundation-production.appspot.com/o/measurements%2FMeasureMethod.ADM_FIXED_PCT%2FdbhPhoto%2F1778276213235?alt=media&amp;token=12ddde00-e171-45f8-bda4-4e0c372369c4</t>
  </si>
  <si>
    <t>https://firebasestorage.googleapis.com/v0/b/wt-foundation-production.appspot.com/o/measurements%2FMeasureMethod.ADM_FIXED_PCT%2FheightPhoto%2F1778276212909?alt=media&amp;token=829bc7b5-49d5-4cf3-9a81-3d390023cda9</t>
  </si>
  <si>
    <t>1VN5awutVTb9pS8GY42N</t>
  </si>
  <si>
    <t>2026_05_08 18:53:55</t>
  </si>
  <si>
    <t>repeat</t>
  </si>
  <si>
    <t>https://firebasestorage.googleapis.com/v0/b/wt-foundation-production.appspot.com/o/measurements%2FMeasureMethod.ADM_FIXED_PCT%2FdbhPhoto%2F1778276222231?alt=media&amp;token=76de8080-ea71-4923-9ed4-8fd949260d03</t>
  </si>
  <si>
    <t>https://firebasestorage.googleapis.com/v0/b/wt-foundation-production.appspot.com/o/measurements%2FMeasureMethod.ADM_FIXED_PCT%2FheightPhoto%2F1778276220870?alt=media&amp;token=3885a3be-6e74-446f-9a2c-b75fbc96a677</t>
  </si>
  <si>
    <t>Qk3ncyOBpyAhjJxtuSUj</t>
  </si>
  <si>
    <t>2026_05_08 18:56:37</t>
  </si>
  <si>
    <t>https://firebasestorage.googleapis.com/v0/b/wt-foundation-production.appspot.com/o/measurements%2FMeasureMethod.ADM_FIXED_PCT%2FdbhPhoto%2F1778276227278?alt=media&amp;token=89565969-b65b-4ef8-afe1-e8f856a7453a</t>
  </si>
  <si>
    <t>https://firebasestorage.googleapis.com/v0/b/wt-foundation-production.appspot.com/o/measurements%2FMeasureMethod.ADM_FIXED_PCT%2FheightPhoto%2F1778276224361?alt=media&amp;token=03396310-7bea-4a83-91a7-4ba545d9d245</t>
  </si>
  <si>
    <t>YDkyaZPgWyBW0vVG4gFY</t>
  </si>
  <si>
    <t>2026_05_08 19:07:44</t>
  </si>
  <si>
    <t>https://firebasestorage.googleapis.com/v0/b/wt-foundation-production.appspot.com/o/measurements%2FMeasureMethod.ADM_FIXED_PCT%2FdbhPhoto%2F1778276231631?alt=media&amp;token=5e7575ee-a150-4062-af1b-8c6fdcb6eed6</t>
  </si>
  <si>
    <t>https://firebasestorage.googleapis.com/v0/b/wt-foundation-production.appspot.com/o/measurements%2FMeasureMethod.ADM_FIXED_PCT%2FheightPhoto%2F1778276229204?alt=media&amp;token=29eb8298-7cf0-4613-a311-7eff7b457abd</t>
  </si>
  <si>
    <t>yDlTcbM5KJ17jDyClzGA</t>
  </si>
  <si>
    <t>2026_05_08 19:08:51</t>
  </si>
  <si>
    <t>tree 3 stem 2</t>
  </si>
  <si>
    <t>https://firebasestorage.googleapis.com/v0/b/wt-foundation-production.appspot.com/o/measurements%2FMeasureMethod.ADM_FIXED_PCT%2FdbhPhoto%2F1778276237270?alt=media&amp;token=7aca114c-24d7-469c-b877-91782437fb0d</t>
  </si>
  <si>
    <t>https://firebasestorage.googleapis.com/v0/b/wt-foundation-production.appspot.com/o/measurements%2FMeasureMethod.ADM_FIXED_PCT%2FheightPhoto%2F1778276233811?alt=media&amp;token=fda8322d-420c-492e-80d5-3128f0dc7835</t>
  </si>
  <si>
    <t>aQrWi2zE2dnOVzDp74Df</t>
  </si>
  <si>
    <t>2026_05_08 19:09:49</t>
  </si>
  <si>
    <t>tree 3 stem 3</t>
  </si>
  <si>
    <t>https://firebasestorage.googleapis.com/v0/b/wt-foundation-production.appspot.com/o/measurements%2FMeasureMethod.ADM_FIXED_PCT%2FdbhPhoto%2F1778276241997?alt=media&amp;token=cc9a7371-3347-4b15-bc05-797f0c3225f1</t>
  </si>
  <si>
    <t>https://firebasestorage.googleapis.com/v0/b/wt-foundation-production.appspot.com/o/measurements%2FMeasureMethod.ADM_FIXED_PCT%2FheightPhoto%2F1778276238957?alt=media&amp;token=37f1e9a8-6f9b-4478-b558-2853e2284cbd</t>
  </si>
  <si>
    <t>HUovRc8saOvTFS4A1H0y</t>
  </si>
  <si>
    <t>2026_05_08 19:10:50</t>
  </si>
  <si>
    <t>https://firebasestorage.googleapis.com/v0/b/wt-foundation-production.appspot.com/o/measurements%2FMeasureMethod.ADM_FIXED_PCT%2FdbhPhoto%2F1778276246430?alt=media&amp;token=9f3a0fa4-2651-472f-af85-50456791bde6</t>
  </si>
  <si>
    <t>https://firebasestorage.googleapis.com/v0/b/wt-foundation-production.appspot.com/o/measurements%2FMeasureMethod.ADM_FIXED_PCT%2FheightPhoto%2F1778276243751?alt=media&amp;token=c2f5a237-7990-48e5-aae6-69e1b4e098b3</t>
  </si>
  <si>
    <t>rGefe0xpiwJEuzTMgaDz</t>
  </si>
  <si>
    <t>2026_05_08 19:19:20</t>
  </si>
  <si>
    <t>several unmeasured stems</t>
  </si>
  <si>
    <t>channel island scrub oak</t>
  </si>
  <si>
    <t>https://firebasestorage.googleapis.com/v0/b/wt-foundation-production.appspot.com/o/measurements%2FMeasureMethod.ADM_FIXED_PCT%2FdbhPhoto%2F1778276256289?alt=media&amp;token=66ea7e72-f0c8-4aff-a5aa-4adfe67ee447</t>
  </si>
  <si>
    <t>https://firebasestorage.googleapis.com/v0/b/wt-foundation-production.appspot.com/o/measurements%2FMeasureMethod.ADM_FIXED_PCT%2FheightPhoto%2F1778276252844?alt=media&amp;token=35759466-02b6-4899-b49b-7e2f4d673657</t>
  </si>
  <si>
    <t>B4zttyy4xqZtg2SN1UZw</t>
  </si>
  <si>
    <t>2026_05_08 19:27:21</t>
  </si>
  <si>
    <t>https://firebasestorage.googleapis.com/v0/b/wt-foundation-production.appspot.com/o/measurements%2FMeasureMethod.ADM_FIXED_PCT%2FdbhPhoto%2F1778276268067?alt=media&amp;token=5023f051-5a26-4e52-bc8b-3cae69018bb2</t>
  </si>
  <si>
    <t>https://firebasestorage.googleapis.com/v0/b/wt-foundation-production.appspot.com/o/measurements%2FMeasureMethod.ADM_FIXED_PCT%2FheightPhoto%2F1778276265403?alt=media&amp;token=409b4628-4ee8-4d11-9c90-13b6cfc5dfbe</t>
  </si>
  <si>
    <t>zGrTsARpXMbt9bt5LQ3b</t>
  </si>
  <si>
    <t>2026_05_08 19:28:00</t>
  </si>
  <si>
    <t>https://firebasestorage.googleapis.com/v0/b/wt-foundation-production.appspot.com/o/measurements%2FMeasureMethod.ADM_FIXED_PCT%2FdbhPhoto%2F1778276273536?alt=media&amp;token=4591fa50-a8d9-4ccf-8e26-eee44bfe6ae5</t>
  </si>
  <si>
    <t>https://firebasestorage.googleapis.com/v0/b/wt-foundation-production.appspot.com/o/measurements%2FMeasureMethod.ADM_FIXED_PCT%2FheightPhoto%2F1778276271162?alt=media&amp;token=b788a90f-bbf5-475f-8bc2-2864709d748b</t>
  </si>
  <si>
    <t>H7TRTflQYf9fDMkqYyLz</t>
  </si>
  <si>
    <t>2026_05_08 19:28:52</t>
  </si>
  <si>
    <t>https://firebasestorage.googleapis.com/v0/b/wt-foundation-production.appspot.com/o/measurements%2FMeasureMethod.ADM_FIXED_PCT%2FdbhPhoto%2F1778276278237?alt=media&amp;token=37becf67-e55c-4513-904d-a781d7604fb8</t>
  </si>
  <si>
    <t>https://firebasestorage.googleapis.com/v0/b/wt-foundation-production.appspot.com/o/measurements%2FMeasureMethod.ADM_FIXED_PCT%2FheightPhoto%2F1778276275617?alt=media&amp;token=e341f9eb-a05a-4f5d-83cc-7ea35a058a86</t>
  </si>
  <si>
    <t>72DpaDmAkmN2r8I8hsgH</t>
  </si>
  <si>
    <t>2026_05_08 20:15:14</t>
  </si>
  <si>
    <t>atlas cedar</t>
  </si>
  <si>
    <t>https://firebasestorage.googleapis.com/v0/b/wt-foundation-production.appspot.com/o/measurements%2FMeasureMethod.ADM_FIXED_PCT%2FdbhPhoto%2F1778276282092?alt=media&amp;token=7dbd7e7e-0d71-44b3-a99e-44ec63a9eea7</t>
  </si>
  <si>
    <t>https://firebasestorage.googleapis.com/v0/b/wt-foundation-production.appspot.com/o/measurements%2FMeasureMethod.ADM_FIXED_PCT%2FheightPhoto%2F1778276278987?alt=media&amp;token=a4a611d3-6b74-498a-b08b-f08ab64a6afe</t>
  </si>
  <si>
    <t>Zi2L2jBn1Zx6Ox0fgRCg</t>
  </si>
  <si>
    <t>2026_05_08 20:18:20</t>
  </si>
  <si>
    <t>canary island pine</t>
  </si>
  <si>
    <t>https://firebasestorage.googleapis.com/v0/b/wt-foundation-production.appspot.com/o/measurements%2FMeasureMethod.ADM_FIXED_PCT%2FdbhPhoto%2F1778276288365?alt=media&amp;token=35521e3e-2eed-46fc-9b98-93157515bf65</t>
  </si>
  <si>
    <t>https://firebasestorage.googleapis.com/v0/b/wt-foundation-production.appspot.com/o/measurements%2FMeasureMethod.ADM_FIXED_PCT%2FheightPhoto%2F1778276284593?alt=media&amp;token=f37cea9e-7ba4-46c9-b2da-9e7f0d7ef7fb</t>
  </si>
  <si>
    <t>bHo2TVv8t4zRZmnTJfeb</t>
  </si>
  <si>
    <t>2026_05_08 20:25:44</t>
  </si>
  <si>
    <t>bad app dbh</t>
  </si>
  <si>
    <t>keep height, delete dbh</t>
  </si>
  <si>
    <t>https://firebasestorage.googleapis.com/v0/b/wt-foundation-production.appspot.com/o/measurements%2FMeasureMethod.ADM_FIXED_PCT%2FdbhPhoto%2F1778276292429?alt=media&amp;token=eee44a7c-2874-46d3-9c76-866a3fa4d3de</t>
  </si>
  <si>
    <t>https://firebasestorage.googleapis.com/v0/b/wt-foundation-production.appspot.com/o/measurements%2FMeasureMethod.ADM_FIXED_PCT%2FheightPhoto%2F1778276289317?alt=media&amp;token=5122a896-9eeb-4e5a-9b3b-fcd6401584c7</t>
  </si>
  <si>
    <t>UL2c5v3cYoCcKc7ucUxR</t>
  </si>
  <si>
    <t>2026_05_08 20:27:35</t>
  </si>
  <si>
    <t>https://firebasestorage.googleapis.com/v0/b/wt-foundation-production.appspot.com/o/measurements%2FMeasureMethod.ADM_FIXED_PCT%2FdbhPhoto%2F1778276298907?alt=media&amp;token=cb172852-f8c7-4616-a8a0-4d1a1b3f8425</t>
  </si>
  <si>
    <t>https://firebasestorage.googleapis.com/v0/b/wt-foundation-production.appspot.com/o/measurements%2FMeasureMethod.ADM_FIXED_PCT%2FheightPhoto%2F1778276294226?alt=media&amp;token=d7b21fd2-3e5a-43ed-8cce-b54bac4c167b</t>
  </si>
  <si>
    <t>fYc3afppiKXdX6JETcfY</t>
  </si>
  <si>
    <t>2026_05_08 20:28:45</t>
  </si>
  <si>
    <t>bad app height</t>
  </si>
  <si>
    <t>pine tree 2 larger stem take 2</t>
  </si>
  <si>
    <t>https://firebasestorage.googleapis.com/v0/b/wt-foundation-production.appspot.com/o/measurements%2FMeasureMethod.ADM_FIXED_PCT%2FdbhPhoto%2F1778276303232?alt=media&amp;token=e4e2bb0d-4ca4-41db-ad50-16c8f253afae</t>
  </si>
  <si>
    <t>https://firebasestorage.googleapis.com/v0/b/wt-foundation-production.appspot.com/o/measurements%2FMeasureMethod.ADM_FIXED_PCT%2FheightPhoto%2F1778276301825?alt=media&amp;token=14adc0e1-15c6-4ae2-b4d6-3f2d59f00588</t>
  </si>
  <si>
    <t>rVLSxfMMVyTYulOA0qOG</t>
  </si>
  <si>
    <t>2026_05_09 16:39:05</t>
  </si>
  <si>
    <t>italian stone pine</t>
  </si>
  <si>
    <t>https://firebasestorage.googleapis.com/v0/b/wt-foundation-production.appspot.com/o/measurements%2FMeasureMethod.ADM_FIXED_PCT%2FdbhPhoto%2F1778363576152?alt=media&amp;token=de70695e-45b8-4400-864d-680252aa49f9</t>
  </si>
  <si>
    <t>https://firebasestorage.googleapis.com/v0/b/wt-foundation-production.appspot.com/o/measurements%2FMeasureMethod.ADM_FIXED_PCT%2FheightPhoto%2F1778363576147?alt=media&amp;token=a8609150-9f04-45e6-9441-e424dd44c10d</t>
  </si>
  <si>
    <t>hja566twX8jb83DLQ1UL</t>
  </si>
  <si>
    <t>2026_05_09 16:56:47</t>
  </si>
  <si>
    <t>https://firebasestorage.googleapis.com/v0/b/wt-foundation-production.appspot.com/o/measurements%2FMeasureMethod.ADM_FIXED_PCT%2FdbhPhoto%2F1778363580024?alt=media&amp;token=a1dde6b9-931e-4793-9222-46cc3660d360</t>
  </si>
  <si>
    <t>https://firebasestorage.googleapis.com/v0/b/wt-foundation-production.appspot.com/o/measurements%2FMeasureMethod.ADM_FIXED_PCT%2FheightPhoto%2F1778363576152?alt=media&amp;token=1f720e16-a05d-4f02-948c-54e894f84d7c</t>
  </si>
  <si>
    <t>sdchWe0s71PLIbO1WNiV</t>
  </si>
  <si>
    <t>2026_05_09 17:00:18</t>
  </si>
  <si>
    <t>tree 2 stem 2</t>
  </si>
  <si>
    <t>https://firebasestorage.googleapis.com/v0/b/wt-foundation-production.appspot.com/o/measurements%2FMeasureMethod.ADM_FIXED_PCT%2FdbhPhoto%2F1778363612914?alt=media&amp;token=88d52af1-d097-4155-b597-93f3b6d61243</t>
  </si>
  <si>
    <t>https://firebasestorage.googleapis.com/v0/b/wt-foundation-production.appspot.com/o/measurements%2FMeasureMethod.ADM_FIXED_PCT%2FheightPhoto%2F1778363603095?alt=media&amp;token=58ed725d-b542-4dbf-8097-c18aab8580d7</t>
  </si>
  <si>
    <t>3nASBGfvishGxENUvk40</t>
  </si>
  <si>
    <t>2026_05_09 17:00:46</t>
  </si>
  <si>
    <t>https://firebasestorage.googleapis.com/v0/b/wt-foundation-production.appspot.com/o/measurements%2FMeasureMethod.ADM_FIXED_PCT%2FdbhPhoto%2F1778363642048?alt=media&amp;token=a6083727-9fa1-413d-a4ce-845a4202b91a</t>
  </si>
  <si>
    <t>https://firebasestorage.googleapis.com/v0/b/wt-foundation-production.appspot.com/o/measurements%2FMeasureMethod.ADM_FIXED_PCT%2FheightPhoto%2F1778363620011?alt=media&amp;token=eb687db4-f16a-4561-a4aa-2a884b7b9989</t>
  </si>
  <si>
    <t>sGmlyWFm8dZoyQXyxwbf</t>
  </si>
  <si>
    <t>2026_05_09 17:05:30</t>
  </si>
  <si>
    <t>https://firebasestorage.googleapis.com/v0/b/wt-foundation-production.appspot.com/o/measurements%2FMeasureMethod.ADM_FIXED_PCT%2FdbhPhoto%2F1778363652834?alt=media&amp;token=d0f0fce7-8600-4868-b73b-4c9c5347e755</t>
  </si>
  <si>
    <t>https://firebasestorage.googleapis.com/v0/b/wt-foundation-production.appspot.com/o/measurements%2FMeasureMethod.ADM_FIXED_PCT%2FheightPhoto%2F1778363649192?alt=media&amp;token=4eab073e-31fe-4130-8851-77b66bc0539f</t>
  </si>
  <si>
    <t>9KWgOqXow7f1yGNQc6On</t>
  </si>
  <si>
    <t>2026_05_09 17:06:16</t>
  </si>
  <si>
    <t>https://firebasestorage.googleapis.com/v0/b/wt-foundation-production.appspot.com/o/measurements%2FMeasureMethod.ADM_FIXED_PCT%2FdbhPhoto%2F1778363669017?alt=media&amp;token=0508e443-303d-4c79-b41e-47ac585b028b</t>
  </si>
  <si>
    <t>https://firebasestorage.googleapis.com/v0/b/wt-foundation-production.appspot.com/o/measurements%2FMeasureMethod.ADM_FIXED_PCT%2FheightPhoto%2F1778363655918?alt=media&amp;token=13db40e7-5c35-46af-af7e-3c64e9eec336</t>
  </si>
  <si>
    <t>4o9eZvg6JoY6NH3XtjfI</t>
  </si>
  <si>
    <t>2026_05_09 17:09:38</t>
  </si>
  <si>
    <t>https://firebasestorage.googleapis.com/v0/b/wt-foundation-production.appspot.com/o/measurements%2FMeasureMethod.ADM_FIXED_PCT%2FdbhPhoto%2F1778363689407?alt=media&amp;token=5237ad44-82d0-444a-b662-1aa4d4051ca3</t>
  </si>
  <si>
    <t>https://firebasestorage.googleapis.com/v0/b/wt-foundation-production.appspot.com/o/measurements%2FMeasureMethod.ADM_FIXED_PCT%2FheightPhoto%2F1778363672140?alt=media&amp;token=eabe9a0f-aea1-44bf-b8a7-5805b09e3f76</t>
  </si>
  <si>
    <t>EvXbXRwxcZ9a1qvuQ4zP</t>
  </si>
  <si>
    <t>2026_05_09 17:10:16</t>
  </si>
  <si>
    <t>https://firebasestorage.googleapis.com/v0/b/wt-foundation-production.appspot.com/o/measurements%2FMeasureMethod.ADM_FIXED_PCT%2FdbhPhoto%2F1778363712000?alt=media&amp;token=ce882bc6-05ac-41e8-a9cc-a56912def8ff</t>
  </si>
  <si>
    <t>https://firebasestorage.googleapis.com/v0/b/wt-foundation-production.appspot.com/o/measurements%2FMeasureMethod.ADM_FIXED_PCT%2FheightPhoto%2F1778363694849?alt=media&amp;token=ba261537-85af-441f-9441-78ef7e530de6</t>
  </si>
  <si>
    <t>ZVjPj0a7xbi4Yt4kojvE</t>
  </si>
  <si>
    <t>2026_05_09 17:17:08</t>
  </si>
  <si>
    <t>https://firebasestorage.googleapis.com/v0/b/wt-foundation-production.appspot.com/o/measurements%2FMeasureMethod.ADM_FIXED_PCT%2FdbhPhoto%2F1778363724846?alt=media&amp;token=ed5c1f72-d6bc-4102-a6f8-e0fa7bfd6001</t>
  </si>
  <si>
    <t>https://firebasestorage.googleapis.com/v0/b/wt-foundation-production.appspot.com/o/measurements%2FMeasureMethod.ADM_FIXED_PCT%2FheightPhoto%2F1778363722127?alt=media&amp;token=4f95fd9f-f155-401a-be78-1e12db948b2f</t>
  </si>
  <si>
    <t>UycAoGd3SIDQbP7z97tR</t>
  </si>
  <si>
    <t>2026_05_09 17:31:07</t>
  </si>
  <si>
    <t>https://firebasestorage.googleapis.com/v0/b/wt-foundation-production.appspot.com/o/measurements%2FMeasureMethod.ADM_FIXED_PCT%2FdbhPhoto%2F1778363840451?alt=media&amp;token=dd289eb9-87cd-4508-b0c8-bb3afe266613</t>
  </si>
  <si>
    <t>https://firebasestorage.googleapis.com/v0/b/wt-foundation-production.appspot.com/o/measurements%2FMeasureMethod.ADM_FIXED_PCT%2FheightPhoto%2F1778363833038?alt=media&amp;token=b3672d3a-d5a9-4d5b-8bed-eaf33b8ed76f</t>
  </si>
  <si>
    <t>JtLwc2PZUqCUT5vJHfvb</t>
  </si>
  <si>
    <t>2026_05_09 17:33:18</t>
  </si>
  <si>
    <t>https://firebasestorage.googleapis.com/v0/b/wt-foundation-production.appspot.com/o/measurements%2FMeasureMethod.ADM_FIXED_PCT%2FdbhPhoto%2F1778363842465?alt=media&amp;token=30ef3cce-e7b4-4297-8a69-7fd9225ba529</t>
  </si>
  <si>
    <t>https://firebasestorage.googleapis.com/v0/b/wt-foundation-production.appspot.com/o/measurements%2FMeasureMethod.ADM_FIXED_PCT%2FheightPhoto%2F1778363840710?alt=media&amp;token=be09be1d-be9a-4035-98cc-3f33369f7eae</t>
  </si>
  <si>
    <t>t2k9hN15hAbjXrt9O46x</t>
  </si>
  <si>
    <t>2026_05_09 17:37:16</t>
  </si>
  <si>
    <t>https://firebasestorage.googleapis.com/v0/b/wt-foundation-production.appspot.com/o/measurements%2FMeasureMethod.ADM_FIXED_PCT%2FdbhPhoto%2F1778363848302?alt=media&amp;token=74e0e4e1-b48b-4491-9a8b-5afe4aa8b14b</t>
  </si>
  <si>
    <t>https://firebasestorage.googleapis.com/v0/b/wt-foundation-production.appspot.com/o/measurements%2FMeasureMethod.ADM_FIXED_PCT%2FheightPhoto%2F1778363846170?alt=media&amp;token=8c7aff57-4fe9-428c-8a76-60e763327c5b</t>
  </si>
  <si>
    <t>t8jRQ05hJeUgwxJucVio</t>
  </si>
  <si>
    <t>2026_05_09 17:39:02</t>
  </si>
  <si>
    <t>https://firebasestorage.googleapis.com/v0/b/wt-foundation-production.appspot.com/o/measurements%2FMeasureMethod.ADM_FIXED_PCT%2FdbhPhoto%2F1778363851949?alt=media&amp;token=35a3d59a-b246-46e2-9188-af82cfdedcde</t>
  </si>
  <si>
    <t>https://firebasestorage.googleapis.com/v0/b/wt-foundation-production.appspot.com/o/measurements%2FMeasureMethod.ADM_FIXED_PCT%2FheightPhoto%2F1778363851233?alt=media&amp;token=0028f1d3-0b75-4696-989d-9ebadb8b42f9</t>
  </si>
  <si>
    <t>L9fGGLCKBXwpQKC9iNsE</t>
  </si>
  <si>
    <t>2026_05_09 17:40:22</t>
  </si>
  <si>
    <t>https://firebasestorage.googleapis.com/v0/b/wt-foundation-production.appspot.com/o/measurements%2FMeasureMethod.ADM_FIXED_PCT%2FdbhPhoto%2F1778363860533?alt=media&amp;token=264fb231-67d6-4257-a448-d3c30b355c5a</t>
  </si>
  <si>
    <t>https://firebasestorage.googleapis.com/v0/b/wt-foundation-production.appspot.com/o/measurements%2FMeasureMethod.ADM_FIXED_PCT%2FheightPhoto%2F1778363854704?alt=media&amp;token=a276d4e5-bb77-4983-b803-69ef138d3c40</t>
  </si>
  <si>
    <t>XlIpP6Wui6ZMhFCXQfWB</t>
  </si>
  <si>
    <t>2026_05_09 17:40:58</t>
  </si>
  <si>
    <t>https://firebasestorage.googleapis.com/v0/b/wt-foundation-production.appspot.com/o/measurements%2FMeasureMethod.ADM_FIXED_PCT%2FdbhPhoto%2F1778363868069?alt=media&amp;token=66474bc7-4895-4d4e-8e2d-b5c4dbbcadca</t>
  </si>
  <si>
    <t>https://firebasestorage.googleapis.com/v0/b/wt-foundation-production.appspot.com/o/measurements%2FMeasureMethod.ADM_FIXED_PCT%2FheightPhoto%2F1778363862416?alt=media&amp;token=76ab5881-7552-4637-93bb-defe67be5720</t>
  </si>
  <si>
    <t>O1C5LyOptlQ5M4X4oqL4</t>
  </si>
  <si>
    <t>2026_05_09 18:19:10</t>
  </si>
  <si>
    <t>11 stems (only height measured)</t>
  </si>
  <si>
    <t xml:space="preserve">unknown </t>
  </si>
  <si>
    <t>https://firebasestorage.googleapis.com/v0/b/wt-foundation-production.appspot.com/o/measurements%2FMeasureMethod.ADM_FIXED_PCT%2FdbhPhoto%2F1778363872294?alt=media&amp;token=0fb36779-13df-4d6d-aa4a-23b5f7124e4c</t>
  </si>
  <si>
    <t>https://firebasestorage.googleapis.com/v0/b/wt-foundation-production.appspot.com/o/measurements%2FMeasureMethod.ADM_FIXED_PCT%2FheightPhoto%2F1778363870554?alt=media&amp;token=ec51f1a7-40f5-464e-bf54-67db813d5982</t>
  </si>
  <si>
    <t>TAwl18ekj0McZukbWwo1</t>
  </si>
  <si>
    <t>2026_05_09 18:23:58</t>
  </si>
  <si>
    <t>https://firebasestorage.googleapis.com/v0/b/wt-foundation-production.appspot.com/o/measurements%2FMeasureMethod.ADM_FIXED_PCT%2FdbhPhoto%2F1778363876984?alt=media&amp;token=e8c68657-5854-4ae9-bf36-7da814601836</t>
  </si>
  <si>
    <t>https://firebasestorage.googleapis.com/v0/b/wt-foundation-production.appspot.com/o/measurements%2FMeasureMethod.ADM_FIXED_PCT%2FheightPhoto%2F1778363874424?alt=media&amp;token=0ce15009-556d-4d78-95df-778189f18a0e</t>
  </si>
  <si>
    <t>b5klVqxP7Tglb4lFusX7</t>
  </si>
  <si>
    <t>2026_05_09 18:24:47</t>
  </si>
  <si>
    <t>https://firebasestorage.googleapis.com/v0/b/wt-foundation-production.appspot.com/o/measurements%2FMeasureMethod.ADM_FIXED_PCT%2FdbhPhoto%2F1778363881385?alt=media&amp;token=205b890d-c9a7-425c-9425-4f3e6e955434</t>
  </si>
  <si>
    <t>https://firebasestorage.googleapis.com/v0/b/wt-foundation-production.appspot.com/o/measurements%2FMeasureMethod.ADM_FIXED_PCT%2FheightPhoto%2F1778363877450?alt=media&amp;token=ebbe0cbd-963c-43e8-92df-3f264211d4bc</t>
  </si>
  <si>
    <t>Cqc2rFQGWYkziakOE5ve</t>
  </si>
  <si>
    <t>2026_05_09 18:25:28</t>
  </si>
  <si>
    <t>https://firebasestorage.googleapis.com/v0/b/wt-foundation-production.appspot.com/o/measurements%2FMeasureMethod.ADM_FIXED_PCT%2FdbhPhoto%2F1778363885892?alt=media&amp;token=58c86711-cb9d-4034-80f0-8426a9f1100f</t>
  </si>
  <si>
    <t>https://firebasestorage.googleapis.com/v0/b/wt-foundation-production.appspot.com/o/measurements%2FMeasureMethod.ADM_FIXED_PCT%2FheightPhoto%2F1778363885678?alt=media&amp;token=2fd5a3fb-971c-4527-8390-8707d54d0c4a</t>
  </si>
  <si>
    <t>Wem0HDmKfH0thY72Noge</t>
  </si>
  <si>
    <t>2026_05_09 18:26:01</t>
  </si>
  <si>
    <t>https://firebasestorage.googleapis.com/v0/b/wt-foundation-production.appspot.com/o/measurements%2FMeasureMethod.ADM_FIXED_PCT%2FdbhPhoto%2F1778363890513?alt=media&amp;token=1f69e97b-5893-455d-a199-0371f5a63306</t>
  </si>
  <si>
    <t>https://firebasestorage.googleapis.com/v0/b/wt-foundation-production.appspot.com/o/measurements%2FMeasureMethod.ADM_FIXED_PCT%2FheightPhoto%2F1778363887538?alt=media&amp;token=a17f6574-c7ec-4be4-b7ca-29fbc95c0786</t>
  </si>
  <si>
    <t>ZJG5NBAufyYD5iqwYjnq</t>
  </si>
  <si>
    <t>2026_05_09 18:26:51</t>
  </si>
  <si>
    <t>https://firebasestorage.googleapis.com/v0/b/wt-foundation-production.appspot.com/o/measurements%2FMeasureMethod.ADM_FIXED_PCT%2FdbhPhoto%2F1778363894132?alt=media&amp;token=e9d3aa2a-48c8-4d95-8617-c6f00161e25c</t>
  </si>
  <si>
    <t>https://firebasestorage.googleapis.com/v0/b/wt-foundation-production.appspot.com/o/measurements%2FMeasureMethod.ADM_FIXED_PCT%2FheightPhoto%2F1778363891023?alt=media&amp;token=18d2ea6f-38bf-46c0-8e6d-d8704889f520</t>
  </si>
  <si>
    <t>Fd5ek0S4ORvCmxNYe5vl</t>
  </si>
  <si>
    <t>2026_05_09 18:27:26</t>
  </si>
  <si>
    <t>https://firebasestorage.googleapis.com/v0/b/wt-foundation-production.appspot.com/o/measurements%2FMeasureMethod.ADM_FIXED_PCT%2FdbhPhoto%2F1778363897260?alt=media&amp;token=aadc91c7-ef7c-4ab0-a081-87f47115a032</t>
  </si>
  <si>
    <t>https://firebasestorage.googleapis.com/v0/b/wt-foundation-production.appspot.com/o/measurements%2FMeasureMethod.ADM_FIXED_PCT%2FheightPhoto%2F1778363896862?alt=media&amp;token=e8ed65a8-057b-49f3-96b4-45e167ba3c6d</t>
  </si>
  <si>
    <t>bUt8fKP7JLrVBmseUF9S</t>
  </si>
  <si>
    <t>2026_05_09 18:28:25</t>
  </si>
  <si>
    <t>https://firebasestorage.googleapis.com/v0/b/wt-foundation-production.appspot.com/o/measurements%2FMeasureMethod.ADM_FIXED_PCT%2FdbhPhoto%2F1778363899911?alt=media&amp;token=2c8a7012-c177-4319-be51-a1a326c1d24e</t>
  </si>
  <si>
    <t>https://firebasestorage.googleapis.com/v0/b/wt-foundation-production.appspot.com/o/measurements%2FMeasureMethod.ADM_FIXED_PCT%2FheightPhoto%2F1778363899556?alt=media&amp;token=d22d8f0d-dc37-4167-9076-87cf1343ee4e</t>
  </si>
  <si>
    <t>v6TlYpClCHubMsh1I1je</t>
  </si>
  <si>
    <t>2026_05_09 18:36:47</t>
  </si>
  <si>
    <t>covered in shrubs at base, may have many stems</t>
  </si>
  <si>
    <t>https://firebasestorage.googleapis.com/v0/b/wt-foundation-production.appspot.com/o/measurements%2FMeasureMethod.ADM_FIXED_PCT%2FdbhPhoto%2F1778363906443?alt=media&amp;token=1c466290-2d46-45a8-8fea-6609368d7adb</t>
  </si>
  <si>
    <t>https://firebasestorage.googleapis.com/v0/b/wt-foundation-production.appspot.com/o/measurements%2FMeasureMethod.ADM_FIXED_PCT%2FheightPhoto%2F1778363902461?alt=media&amp;token=b4f46b5f-e526-4eff-964c-db6e61169492</t>
  </si>
  <si>
    <t>4BHGdsux7bOBQ6pP5MYg</t>
  </si>
  <si>
    <t>2026_05_09 18:48:20</t>
  </si>
  <si>
    <t>hungarian oak</t>
  </si>
  <si>
    <t>https://firebasestorage.googleapis.com/v0/b/wt-foundation-production.appspot.com/o/measurements%2FMeasureMethod.ADM_FIXED_PCT%2FdbhPhoto%2F1778363912112?alt=media&amp;token=68b97b2e-ccd3-48ed-ac65-9907a819ec2d</t>
  </si>
  <si>
    <t>https://firebasestorage.googleapis.com/v0/b/wt-foundation-production.appspot.com/o/measurements%2FMeasureMethod.ADM_FIXED_PCT%2FheightPhoto%2F1778363909194?alt=media&amp;token=61861192-cc23-4986-bafb-70a332a25e51</t>
  </si>
  <si>
    <t>VsIobBy1hJBA4U0az9jO</t>
  </si>
  <si>
    <t>2026_05_09 18:49:59</t>
  </si>
  <si>
    <t>oak 1, possibly 2-4 stems</t>
  </si>
  <si>
    <t>https://firebasestorage.googleapis.com/v0/b/wt-foundation-production.appspot.com/o/measurements%2FMeasureMethod.ADM_FIXED_PCT%2FdbhPhoto%2F1778363917975?alt=media&amp;token=79d04a1e-dee1-4d51-b374-1e71f15163da</t>
  </si>
  <si>
    <t>https://firebasestorage.googleapis.com/v0/b/wt-foundation-production.appspot.com/o/measurements%2FMeasureMethod.ADM_FIXED_PCT%2FheightPhoto%2F1778363915373?alt=media&amp;token=d793b9fc-5103-4376-bf1f-e36b0b20ab92</t>
  </si>
  <si>
    <t>YHfSEUPMQB47CEpNIvNZ</t>
  </si>
  <si>
    <t>2026_05_09 18:51:09</t>
  </si>
  <si>
    <t>several very tiny stems</t>
  </si>
  <si>
    <t>https://firebasestorage.googleapis.com/v0/b/wt-foundation-production.appspot.com/o/measurements%2FMeasureMethod.ADM_FIXED_PCT%2FdbhPhoto%2F1778363922173?alt=media&amp;token=437cca91-1d19-4e76-85bd-596a56c9701a</t>
  </si>
  <si>
    <t>https://firebasestorage.googleapis.com/v0/b/wt-foundation-production.appspot.com/o/measurements%2FMeasureMethod.ADM_FIXED_PCT%2FheightPhoto%2F1778363919242?alt=media&amp;token=6ec52ac3-5229-479d-a8e0-9e679900cf99</t>
  </si>
  <si>
    <t>sFW4l7JtnG34dEFqoDFK</t>
  </si>
  <si>
    <t>2026_05_09 18:52:41</t>
  </si>
  <si>
    <t>several small stems</t>
  </si>
  <si>
    <t>strawberry tree</t>
  </si>
  <si>
    <t>https://firebasestorage.googleapis.com/v0/b/wt-foundation-production.appspot.com/o/measurements%2FMeasureMethod.ADM_FIXED_PCT%2FdbhPhoto%2F1778363927229?alt=media&amp;token=a5107aec-5bf7-4aee-9501-b1ce4a49311c</t>
  </si>
  <si>
    <t>https://firebasestorage.googleapis.com/v0/b/wt-foundation-production.appspot.com/o/measurements%2FMeasureMethod.ADM_FIXED_PCT%2FheightPhoto%2F1778363926778?alt=media&amp;token=aa4d3273-834a-46e8-b5a4-5d24004ebb8d</t>
  </si>
  <si>
    <t>CapzOL88t9SxMpHwmIBo</t>
  </si>
  <si>
    <t>2026_05_09 18:55:24</t>
  </si>
  <si>
    <t>almost looks more like a bush</t>
  </si>
  <si>
    <t>https://firebasestorage.googleapis.com/v0/b/wt-foundation-production.appspot.com/o/measurements%2FMeasureMethod.ADM_FIXED_PCT%2FdbhPhoto%2F1778363931682?alt=media&amp;token=87a81ab0-f5d7-401b-9a80-272cf81c178d</t>
  </si>
  <si>
    <t>https://firebasestorage.googleapis.com/v0/b/wt-foundation-production.appspot.com/o/measurements%2FMeasureMethod.ADM_FIXED_PCT%2FheightPhoto%2F1778363931120?alt=media&amp;token=10724faa-3571-4207-8380-62513c321372</t>
  </si>
  <si>
    <t>Q3rmHnkaAQyn6v3hTwno</t>
  </si>
  <si>
    <t>2026_05_09 18:56:53</t>
  </si>
  <si>
    <t>several stems, surrounded by bushes</t>
  </si>
  <si>
    <t>https://firebasestorage.googleapis.com/v0/b/wt-foundation-production.appspot.com/o/measurements%2FMeasureMethod.ADM_FIXED_PCT%2FdbhPhoto%2F1778363934722?alt=media&amp;token=49019678-eeb9-4c52-ab19-f29ad5a6aa45</t>
  </si>
  <si>
    <t>https://firebasestorage.googleapis.com/v0/b/wt-foundation-production.appspot.com/o/measurements%2FMeasureMethod.ADM_FIXED_PCT%2FheightPhoto%2F1778363932792?alt=media&amp;token=43ade469-bd98-42f8-9889-158f401f5cda</t>
  </si>
  <si>
    <t>kWq9790K3XWJVGQLf9r4</t>
  </si>
  <si>
    <t>2026_05_09 19:11:33</t>
  </si>
  <si>
    <t>https://firebasestorage.googleapis.com/v0/b/wt-foundation-production.appspot.com/o/measurements%2FMeasureMethod.ADM_FIXED_PCT%2FdbhPhoto%2F1778363939640?alt=media&amp;token=d83513e7-c0e8-416e-9f92-0eecb62bf9ab</t>
  </si>
  <si>
    <t>https://firebasestorage.googleapis.com/v0/b/wt-foundation-production.appspot.com/o/measurements%2FMeasureMethod.ADM_FIXED_PCT%2FheightPhoto%2F1778363937253?alt=media&amp;token=ad9b4c53-de44-489a-9c28-5afe7170b7e2</t>
  </si>
  <si>
    <t>ojeF4S4lh1IM2a1Qpd9E</t>
  </si>
  <si>
    <t>2026_05_09 19:16:37</t>
  </si>
  <si>
    <t>looks like a purple bush, many stems</t>
  </si>
  <si>
    <t>chilopsis linearis</t>
  </si>
  <si>
    <t>https://firebasestorage.googleapis.com/v0/b/wt-foundation-production.appspot.com/o/measurements%2FMeasureMethod.ADM_FIXED_PCT%2FdbhPhoto%2F1778399386453?alt=media&amp;token=a13c863d-5a1b-4bd2-8419-d4c1019354a7</t>
  </si>
  <si>
    <t>https://firebasestorage.googleapis.com/v0/b/wt-foundation-production.appspot.com/o/measurements%2FMeasureMethod.ADM_FIXED_PCT%2FheightPhoto%2F1778363941558?alt=media&amp;token=30472e20-7bec-40f0-9ec8-b6b15e5ac44f</t>
  </si>
  <si>
    <t>FtYB56xiCt3GVGM5g2Uj</t>
  </si>
  <si>
    <t>2026_05_09 19:19:48</t>
  </si>
  <si>
    <t>desert willow</t>
  </si>
  <si>
    <t>https://firebasestorage.googleapis.com/v0/b/wt-foundation-production.appspot.com/o/measurements%2FMeasureMethod.ADM_FIXED_PCT%2FdbhPhoto%2F1778365513729?alt=media&amp;token=bc140a6c-432f-45d9-a887-650a81794477</t>
  </si>
  <si>
    <t>https://firebasestorage.googleapis.com/v0/b/wt-foundation-production.appspot.com/o/measurements%2FMeasureMethod.ADM_FIXED_PCT%2FheightPhoto%2F1778399386453?alt=media&amp;token=eed6a65d-6d74-43a4-bf0a-239ee01f6297</t>
  </si>
  <si>
    <t>F5yEueZPxKlp8n2EVNZQ</t>
  </si>
  <si>
    <t>2026_05_09 19:22:34</t>
  </si>
  <si>
    <t>DBH</t>
  </si>
  <si>
    <t>https://firebasestorage.googleapis.com/v0/b/wt-foundation-production.appspot.com/o/measurements%2FMeasureMethod.ADM_FIXED_PCT%2FdbhPhoto%2F1778365513741?alt=media&amp;token=05882b9d-3f38-4a41-b95a-44c2d924c02e</t>
  </si>
  <si>
    <t>https://firebasestorage.googleapis.com/v0/b/wt-foundation-production.appspot.com/o/measurements%2FMeasureMethod.ADM_FIXED_PCT%2FheightPhoto%2F1778365513734?alt=media&amp;token=1ba113e4-a0a4-4420-9b79-6caf980040a3</t>
  </si>
  <si>
    <t>G4m0Ckb9RI3CRxCVpYwN</t>
  </si>
  <si>
    <t>2026_05_09 19:25:42</t>
  </si>
  <si>
    <t>fernleaf ironwood</t>
  </si>
  <si>
    <t>https://firebasestorage.googleapis.com/v0/b/wt-foundation-production.appspot.com/o/measurements%2FMeasureMethod.ADM_FIXED_PCT%2FdbhPhoto%2F1778365519897?alt=media&amp;token=a5998141-3ed2-43a8-a770-cb67e6d552d9</t>
  </si>
  <si>
    <t>https://firebasestorage.googleapis.com/v0/b/wt-foundation-production.appspot.com/o/measurements%2FMeasureMethod.ADM_FIXED_PCT%2FheightPhoto%2F1778365515879?alt=media&amp;token=0d63092e-e579-41d9-8c0c-4608ca634ddb</t>
  </si>
  <si>
    <t>5lHW4S3FD9elLQzh0UYW</t>
  </si>
  <si>
    <t>2026_05_09 19:31:55</t>
  </si>
  <si>
    <t>island live oak</t>
  </si>
  <si>
    <t>https://firebasestorage.googleapis.com/v0/b/wt-foundation-production.appspot.com/o/measurements%2FMeasureMethod.ADM_FIXED_PCT%2FdbhPhoto%2F1778365524505?alt=media&amp;token=9c4ff805-9097-4b9d-bd01-4a359cec7b7b</t>
  </si>
  <si>
    <t>https://firebasestorage.googleapis.com/v0/b/wt-foundation-production.appspot.com/o/measurements%2FMeasureMethod.ADM_FIXED_PCT%2FheightPhoto%2F1778365521836?alt=media&amp;token=af78d634-f47a-4c68-8e0a-98915820d04f</t>
  </si>
  <si>
    <t>QgRp4tdGQY3dNqBVRJsA</t>
  </si>
  <si>
    <t>2026_05_09 19:36:14</t>
  </si>
  <si>
    <t>cerocarpus trakiae (Santa Catalina Island Mountain mahogany</t>
  </si>
  <si>
    <t>https://firebasestorage.googleapis.com/v0/b/wt-foundation-production.appspot.com/o/measurements%2FMeasureMethod.ADM_FIXED_PCT%2FdbhPhoto%2F1778365526615?alt=media&amp;token=b2e165bd-8ca5-495b-8d47-4d11a63a1792</t>
  </si>
  <si>
    <t>https://firebasestorage.googleapis.com/v0/b/wt-foundation-production.appspot.com/o/measurements%2FMeasureMethod.ADM_FIXED_PCT%2FheightPhoto%2F1778365524686?alt=media&amp;token=25b433ba-ed26-4b7f-9565-43fb4e130b5e</t>
  </si>
  <si>
    <t>mYdnVfKAf8rbMOMe6gGw</t>
  </si>
  <si>
    <t>2026_05_09 19:41:25</t>
  </si>
  <si>
    <t>lemonadeberry 1.1</t>
  </si>
  <si>
    <t>https://firebasestorage.googleapis.com/v0/b/wt-foundation-production.appspot.com/o/measurements%2FMeasureMethod.ADM_FIXED_PCT%2FdbhPhoto%2F1778365531288?alt=media&amp;token=52b7e687-7211-419b-abd4-ff5c1722854a</t>
  </si>
  <si>
    <t>https://firebasestorage.googleapis.com/v0/b/wt-foundation-production.appspot.com/o/measurements%2FMeasureMethod.ADM_FIXED_PCT%2FheightPhoto%2F1778365529889?alt=media&amp;token=26bb30d2-0a26-482b-922e-f37510c05bfa</t>
  </si>
  <si>
    <t>cbllRzr9DUUgUvw5oxkI</t>
  </si>
  <si>
    <t>2026_05_09 19:42:44</t>
  </si>
  <si>
    <t>Lemonade berry  1</t>
  </si>
  <si>
    <t>https://firebasestorage.googleapis.com/v0/b/wt-foundation-production.appspot.com/o/measurements%2FMeasureMethod.ADM_FIXED_PCT%2FdbhPhoto%2F1778365534094?alt=media&amp;token=64c43889-d0ba-4b31-af40-95bdd427c218</t>
  </si>
  <si>
    <t>https://firebasestorage.googleapis.com/v0/b/wt-foundation-production.appspot.com/o/measurements%2FMeasureMethod.ADM_FIXED_PCT%2FheightPhoto%2F1778365533723?alt=media&amp;token=8961b3aa-9753-4c92-9fef-7097c1f0f32c</t>
  </si>
  <si>
    <t>X8DY4tHczb71Tk3aLxG8</t>
  </si>
  <si>
    <t>2026_05_09 19:44:39</t>
  </si>
  <si>
    <t>lemonade berry 1.3</t>
  </si>
  <si>
    <t>https://firebasestorage.googleapis.com/v0/b/wt-foundation-production.appspot.com/o/measurements%2FMeasureMethod.ADM_FIXED_PCT%2FdbhPhoto%2F1778365540118?alt=media&amp;token=29ed7413-b22a-49ea-b9e8-70ae6bbb7dcd</t>
  </si>
  <si>
    <t>https://firebasestorage.googleapis.com/v0/b/wt-foundation-production.appspot.com/o/measurements%2FMeasureMethod.ADM_FIXED_PCT%2FheightPhoto%2F1778365537275?alt=media&amp;token=9aa0c799-0287-4878-b2b0-42c8af489362</t>
  </si>
  <si>
    <t>IPTPzXe1Y6V4o3KVM3Oc</t>
  </si>
  <si>
    <t>2026_05_09 19:48:03</t>
  </si>
  <si>
    <t>lemonadeberry 2.1</t>
  </si>
  <si>
    <t>https://firebasestorage.googleapis.com/v0/b/wt-foundation-production.appspot.com/o/measurements%2FMeasureMethod.ADM_FIXED_PCT%2FdbhPhoto%2F1778399388616?alt=media&amp;token=f46a355e-cec8-4204-9ae3-2bd207c061c7</t>
  </si>
  <si>
    <t>https://firebasestorage.googleapis.com/v0/b/wt-foundation-production.appspot.com/o/measurements%2FMeasureMethod.ADM_FIXED_PCT%2FheightPhoto%2F1778399386457?alt=media&amp;token=8062ded1-e43d-4936-950a-0d6a67d2b1c0</t>
  </si>
  <si>
    <t>2gKyXNjyx8GovVeYnR4V</t>
  </si>
  <si>
    <t>2026_05_09 19:48:51</t>
  </si>
  <si>
    <t>lb 2.2</t>
  </si>
  <si>
    <t>https://firebasestorage.googleapis.com/v0/b/wt-foundation-production.appspot.com/o/measurements%2FMeasureMethod.ADM_FIXED_PCT%2FdbhPhoto%2F1778399396196?alt=media&amp;token=20bc9496-c05d-4ac1-97b1-3a59669a3824</t>
  </si>
  <si>
    <t>https://firebasestorage.googleapis.com/v0/b/wt-foundation-production.appspot.com/o/measurements%2FMeasureMethod.ADM_FIXED_PCT%2FheightPhoto%2F1778399393614?alt=media&amp;token=21d0cb0f-07c1-4260-a71c-de281348c81a</t>
  </si>
  <si>
    <t>RAEL730tTXlVSTynEzBe</t>
  </si>
  <si>
    <t>2026_05_09 19:50:33</t>
  </si>
  <si>
    <t>LB 2.3</t>
  </si>
  <si>
    <t>https://firebasestorage.googleapis.com/v0/b/wt-foundation-production.appspot.com/o/measurements%2FMeasureMethod.ADM_FIXED_PCT%2FdbhPhoto%2F1778399403444?alt=media&amp;token=b6d9ff08-0c15-406e-9fae-df3ca6329ce0</t>
  </si>
  <si>
    <t>https://firebasestorage.googleapis.com/v0/b/wt-foundation-production.appspot.com/o/measurements%2FMeasureMethod.ADM_FIXED_PCT%2FheightPhoto%2F1778399401260?alt=media&amp;token=55cb38e0-e2e7-43e2-b88f-3696a352ce8e</t>
  </si>
  <si>
    <t>cXV79MmSE5zIuLFXeiGM</t>
  </si>
  <si>
    <t>2026_05_09 19:51:16</t>
  </si>
  <si>
    <t>lb 2.4</t>
  </si>
  <si>
    <t>https://firebasestorage.googleapis.com/v0/b/wt-foundation-production.appspot.com/o/measurements%2FMeasureMethod.ADM_FIXED_PCT%2FdbhPhoto%2F1778399409960?alt=media&amp;token=6f01c33e-d8ff-49ca-974b-63d8ca6c9aa7</t>
  </si>
  <si>
    <t>https://firebasestorage.googleapis.com/v0/b/wt-foundation-production.appspot.com/o/measurements%2FMeasureMethod.ADM_FIXED_PCT%2FheightPhoto%2F1778399405205?alt=media&amp;token=c9e21be3-20ce-4a9a-bcea-f002236cec6b</t>
  </si>
  <si>
    <t>cjFnpp0QWzzycgFY2YwT</t>
  </si>
  <si>
    <t>2026_05_09 19:52:15</t>
  </si>
  <si>
    <t>delete</t>
  </si>
  <si>
    <t>https://firebasestorage.googleapis.com/v0/b/wt-foundation-production.appspot.com/o/measurements%2FMeasureMethod.ADM_FIXED_PCT%2FdbhPhoto%2F1778399414671?alt=media&amp;token=cb061564-0715-405a-af9f-e18cc0094072</t>
  </si>
  <si>
    <t>https://firebasestorage.googleapis.com/v0/b/wt-foundation-production.appspot.com/o/measurements%2FMeasureMethod.ADM_FIXED_PCT%2FheightPhoto%2F1778399410665?alt=media&amp;token=4fe19c69-b766-4f0d-b53b-a2bf29df79e4</t>
  </si>
  <si>
    <t>ky3JJHWEtuA8CptOV6k5</t>
  </si>
  <si>
    <t>2026_05_09 19:52:54</t>
  </si>
  <si>
    <t>lv 2.5</t>
  </si>
  <si>
    <t>https://firebasestorage.googleapis.com/v0/b/wt-foundation-production.appspot.com/o/measurements%2FMeasureMethod.ADM_FIXED_PCT%2FdbhPhoto%2F1778399341042?alt=media&amp;token=3f19249c-fc4c-467e-b829-87a286056ce5</t>
  </si>
  <si>
    <t>https://firebasestorage.googleapis.com/v0/b/wt-foundation-production.appspot.com/o/measurements%2FMeasureMethod.ADM_FIXED_PCT%2FheightPhoto%2F1778399341042?alt=media&amp;token=2ea2e478-8fd1-4a92-b3fe-58f026197b34</t>
  </si>
  <si>
    <t>mmYBdbRjCvOL1Ptje8uD</t>
  </si>
  <si>
    <t>2026_05_09 19:56:10</t>
  </si>
  <si>
    <t>lb 3.1</t>
  </si>
  <si>
    <t>https://firebasestorage.googleapis.com/v0/b/wt-foundation-production.appspot.com/o/measurements%2FMeasureMethod.ADM_FIXED_PCT%2FdbhPhoto%2F1778399354590?alt=media&amp;token=6c833d7a-68cf-4199-96d8-0440e5d0e9fe</t>
  </si>
  <si>
    <t>https://firebasestorage.googleapis.com/v0/b/wt-foundation-production.appspot.com/o/measurements%2FMeasureMethod.ADM_FIXED_PCT%2FheightPhoto%2F1778399341042?alt=media&amp;token=bac1c5e0-a79c-4d2f-9a0a-050177420c9f</t>
  </si>
  <si>
    <t>OlwxP4CusG1MxIt7Cuwy</t>
  </si>
  <si>
    <t>2026_05_09 19:57:38</t>
  </si>
  <si>
    <t>lb 3.2</t>
  </si>
  <si>
    <t>https://firebasestorage.googleapis.com/v0/b/wt-foundation-production.appspot.com/o/measurements%2FMeasureMethod.ADM_FIXED_PCT%2FdbhPhoto%2F1778399359816?alt=media&amp;token=22743d60-0b10-437f-9ebc-4ab28c13bf7c</t>
  </si>
  <si>
    <t>https://firebasestorage.googleapis.com/v0/b/wt-foundation-production.appspot.com/o/measurements%2FMeasureMethod.ADM_FIXED_PCT%2FheightPhoto%2F1778399354939?alt=media&amp;token=a81286a7-4fb2-4e33-a575-593abf6097f2</t>
  </si>
  <si>
    <t>K8QoMHKQUiDgfYmnyysW</t>
  </si>
  <si>
    <t>2026_05_09 19:58:46</t>
  </si>
  <si>
    <t>lb 3.3</t>
  </si>
  <si>
    <t>https://firebasestorage.googleapis.com/v0/b/wt-foundation-production.appspot.com/o/measurements%2FMeasureMethod.ADM_FIXED_PCT%2FdbhPhoto%2F1778399363942?alt=media&amp;token=f09890f2-fc0f-40d6-b00b-92b611674789</t>
  </si>
  <si>
    <t>https://firebasestorage.googleapis.com/v0/b/wt-foundation-production.appspot.com/o/measurements%2FMeasureMethod.ADM_FIXED_PCT%2FheightPhoto%2F1778399360881?alt=media&amp;token=8060e1b6-2389-42d4-b838-b4e5b6283494</t>
  </si>
  <si>
    <t>7a8HRQrjAPkfeIEcGXMq</t>
  </si>
  <si>
    <t>2026_05_09 20:00:33</t>
  </si>
  <si>
    <t>lb 3.4</t>
  </si>
  <si>
    <t>https://firebasestorage.googleapis.com/v0/b/wt-foundation-production.appspot.com/o/measurements%2FMeasureMethod.ADM_FIXED_PCT%2FdbhPhoto%2F1778399370135?alt=media&amp;token=97fb718e-dc32-4bf2-9f26-762a38b8fb18</t>
  </si>
  <si>
    <t>https://firebasestorage.googleapis.com/v0/b/wt-foundation-production.appspot.com/o/measurements%2FMeasureMethod.ADM_FIXED_PCT%2FheightPhoto%2F1778399367799?alt=media&amp;token=6c80cf83-1b7e-4861-b4da-6e976efe4172</t>
  </si>
  <si>
    <t>lhSf23m57Wr8NkXaRvp6</t>
  </si>
  <si>
    <t>2026_05_09 20:01:18</t>
  </si>
  <si>
    <t>lb 3.5</t>
  </si>
  <si>
    <t>https://firebasestorage.googleapis.com/v0/b/wt-foundation-production.appspot.com/o/measurements%2FMeasureMethod.ADM_FIXED_PCT%2FdbhPhoto%2F1778399374570?alt=media&amp;token=7e20e3e0-ac0d-4c49-9bf6-5191b4954327</t>
  </si>
  <si>
    <t>https://firebasestorage.googleapis.com/v0/b/wt-foundation-production.appspot.com/o/measurements%2FMeasureMethod.ADM_FIXED_PCT%2FheightPhoto%2F1778399372322?alt=media&amp;token=e0acb653-09b3-4c17-93a4-fdadcc94df8f</t>
  </si>
  <si>
    <t>d21gwhRPpSMyj2Z2cpfS</t>
  </si>
  <si>
    <t>2026_05_09 20:03:45</t>
  </si>
  <si>
    <t>california buckthorn</t>
  </si>
  <si>
    <t>https://firebasestorage.googleapis.com/v0/b/wt-foundation-production.appspot.com/o/measurements%2FMeasureMethod.ADM_FIXED_PCT%2FdbhPhoto%2F1778399379395?alt=media&amp;token=c0ce81dc-fb4a-4f88-9f95-7dc72fef7e62</t>
  </si>
  <si>
    <t>https://firebasestorage.googleapis.com/v0/b/wt-foundation-production.appspot.com/o/measurements%2FMeasureMethod.ADM_FIXED_PCT%2FheightPhoto%2F1778399376559?alt=media&amp;token=854ad24e-4baf-4fd6-a49e-8bb491f87b1c</t>
  </si>
  <si>
    <t>yXzZ0xEl41gEFDhbq4QA</t>
  </si>
  <si>
    <t>WT_latitude</t>
  </si>
  <si>
    <t>WT_longitude</t>
  </si>
  <si>
    <t>Lat</t>
  </si>
  <si>
    <t>Long</t>
  </si>
  <si>
    <t>GPS?</t>
  </si>
  <si>
    <t>Species - Common Name</t>
  </si>
  <si>
    <t>Species - Scientific Name</t>
  </si>
  <si>
    <t>Field Maps Image Link</t>
  </si>
  <si>
    <t>y</t>
  </si>
  <si>
    <t>weeping bottlebrush</t>
  </si>
  <si>
    <t>Callistemon viminalis</t>
  </si>
  <si>
    <t>punk tree / broad-leafed paperbark</t>
  </si>
  <si>
    <t>Melaleuca quinquenervia</t>
  </si>
  <si>
    <t>Australian coral tree</t>
  </si>
  <si>
    <t>Erythrina × sykesii</t>
  </si>
  <si>
    <t>Metasequoia glyptostroboides</t>
  </si>
  <si>
    <t>Sequoia sempervirens</t>
  </si>
  <si>
    <t>2026_06_18 16:58:07</t>
  </si>
  <si>
    <t>2.6.1</t>
  </si>
  <si>
    <t>https://firebasestorage.googleapis.com/v0/b/wt-foundation-production.appspot.com/o/measurements%2FMeasureMethod.ADM_FIXED_PCT%2FdbhPhoto%2F1781838087715?alt=media&amp;token=078f12dd-b707-4dda-bb15-fe739c2545ae</t>
  </si>
  <si>
    <t>https://firebasestorage.googleapis.com/v0/b/wt-foundation-production.appspot.com/o/measurements%2FMeasureMethod.ADM_FIXED_PCT%2FheightPhoto%2F1781838085111?alt=media&amp;token=4bf2f986-467c-461c-b779-692256a89fee</t>
  </si>
  <si>
    <t>4kuGNGMWqMERQyuM1Zjp</t>
  </si>
  <si>
    <t>2026_06_18 18:10:49</t>
  </si>
  <si>
    <t>tree 1 stem 1</t>
  </si>
  <si>
    <t>crimson bottlebrush</t>
  </si>
  <si>
    <t>callistemon citrinus</t>
  </si>
  <si>
    <t>https://firebasestorage.googleapis.com/v0/b/wt-foundation-production.appspot.com/o/measurements%2FMeasureMethod.ADM_FIXED_PCT%2FdbhPhoto%2F1781838116119?alt=media&amp;token=ec9b0285-bff8-4df6-a1bb-8e6653f6def4</t>
  </si>
  <si>
    <t>https://firebasestorage.googleapis.com/v0/b/wt-foundation-production.appspot.com/o/measurements%2FMeasureMethod.ADM_FIXED_PCT%2FheightPhoto%2F1781838090373?alt=media&amp;token=dfb04177-ee44-418a-b051-0f3ad1869251</t>
  </si>
  <si>
    <t>Fo2wuAKNXnD4rKRiR6o7</t>
  </si>
  <si>
    <t>2026_05_29 18:54:18</t>
  </si>
  <si>
    <t>tree 1 stem 2</t>
  </si>
  <si>
    <t>lemon bottlebrush</t>
  </si>
  <si>
    <t>https://firebasestorage.googleapis.com/v0/b/wt-foundation-production.appspot.com/o/measurements%2FMeasureMethod.ADM_FIXED_PCT%2FdbhPhoto%2F1781723864974?alt=media&amp;token=d87f2385-ecad-4d4a-9a23-d1f67e7497c5</t>
  </si>
  <si>
    <t>https://firebasestorage.googleapis.com/v0/b/wt-foundation-production.appspot.com/o/measurements%2FMeasureMethod.ADM_FIXED_PCT%2FheightPhoto%2F1781723855129?alt=media&amp;token=e1621e56-ce47-4dba-8baa-9b355596b874</t>
  </si>
  <si>
    <t>SICXlhtBVWDzdMwXqe3y</t>
  </si>
  <si>
    <t>2026_05_29 18:55:35</t>
  </si>
  <si>
    <t>tree 1 stem 3</t>
  </si>
  <si>
    <t>https://firebasestorage.googleapis.com/v0/b/wt-foundation-production.appspot.com/o/measurements%2FMeasureMethod.ADM_FIXED_PCT%2FdbhPhoto%2F1781723869462?alt=media&amp;token=c744b31d-d504-41fc-94f1-d26925532686</t>
  </si>
  <si>
    <t>https://firebasestorage.googleapis.com/v0/b/wt-foundation-production.appspot.com/o/measurements%2FMeasureMethod.ADM_FIXED_PCT%2FheightPhoto%2F1781723868250?alt=media&amp;token=ececf927-4773-4012-9698-5ec793bcb485</t>
  </si>
  <si>
    <t>VxbpiFPi03j54wdRC3n0</t>
  </si>
  <si>
    <t>2026_05_29 18:57:22</t>
  </si>
  <si>
    <t>tree 1 stem 4</t>
  </si>
  <si>
    <t>https://firebasestorage.googleapis.com/v0/b/wt-foundation-production.appspot.com/o/measurements%2FMeasureMethod.ADM_FIXED_PCT%2FdbhPhoto%2F1781723871543?alt=media&amp;token=7324d6de-8b33-414a-9ae0-50ca63434651</t>
  </si>
  <si>
    <t>https://firebasestorage.googleapis.com/v0/b/wt-foundation-production.appspot.com/o/measurements%2FMeasureMethod.ADM_FIXED_PCT%2FheightPhoto%2F1781723870255?alt=media&amp;token=6093c2df-7a66-44f7-8028-1290e1aaf075</t>
  </si>
  <si>
    <t>DL74Y095Sv1NsiTANDQ2</t>
  </si>
  <si>
    <t>2026_05_29 19:00:02</t>
  </si>
  <si>
    <t>tree 1 stem 5</t>
  </si>
  <si>
    <t>https://firebasestorage.googleapis.com/v0/b/wt-foundation-production.appspot.com/o/measurements%2FMeasureMethod.ADM_FIXED_PCT%2FdbhPhoto%2F1781723873542?alt=media&amp;token=2cafb71e-3b84-42eb-ba42-77f8c5c35af9</t>
  </si>
  <si>
    <t>https://firebasestorage.googleapis.com/v0/b/wt-foundation-production.appspot.com/o/measurements%2FMeasureMethod.ADM_FIXED_PCT%2FheightPhoto%2F1781723872805?alt=media&amp;token=ac5f89e6-0277-486f-bab8-b436ed2bff6a</t>
  </si>
  <si>
    <t>DeObPws4gwnPO3gYUZCO</t>
  </si>
  <si>
    <t>2026_05_29 19:04:56</t>
  </si>
  <si>
    <t>tree 2 1 stem</t>
  </si>
  <si>
    <t>acacia</t>
  </si>
  <si>
    <t>Acacia boormanii</t>
  </si>
  <si>
    <t>https://firebasestorage.googleapis.com/v0/b/wt-foundation-production.appspot.com/o/measurements%2FMeasureMethod.ADM_FIXED_PCT%2FdbhPhoto%2F1781723875646?alt=media&amp;token=05a5401f-c871-4ed7-9d8b-282af40b2817</t>
  </si>
  <si>
    <t>https://firebasestorage.googleapis.com/v0/b/wt-foundation-production.appspot.com/o/measurements%2FMeasureMethod.ADM_FIXED_PCT%2FheightPhoto%2F1781723874608?alt=media&amp;token=be6abef2-274e-42c4-805b-b3109bc006b4</t>
  </si>
  <si>
    <t>XvBKXuVbOHc4WD3Cu2I7</t>
  </si>
  <si>
    <t>2026_05_29 19:11:31</t>
  </si>
  <si>
    <t>tree 3 stem 1</t>
  </si>
  <si>
    <t>https://firebasestorage.googleapis.com/v0/b/wt-foundation-production.appspot.com/o/measurements%2FMeasureMethod.ADM_FIXED_PCT%2FdbhPhoto%2F1781723877603?alt=media&amp;token=491bda0d-2c08-4a25-adb8-af9a7f1cedbb</t>
  </si>
  <si>
    <t>https://firebasestorage.googleapis.com/v0/b/wt-foundation-production.appspot.com/o/measurements%2FMeasureMethod.ADM_FIXED_PCT%2FheightPhoto%2F1781723876658?alt=media&amp;token=45ad1a83-df99-46a8-bec6-a449e5694b08</t>
  </si>
  <si>
    <t>1tsU4YBkPtnZqmd7Q3TD</t>
  </si>
  <si>
    <t>2026_05_29 19:12:55</t>
  </si>
  <si>
    <t>https://firebasestorage.googleapis.com/v0/b/wt-foundation-production.appspot.com/o/measurements%2FMeasureMethod.ADM_FIXED_PCT%2FdbhPhoto%2F1781723879487?alt=media&amp;token=a5c85681-6892-4f4e-9443-cf6c16138683</t>
  </si>
  <si>
    <t>https://firebasestorage.googleapis.com/v0/b/wt-foundation-production.appspot.com/o/measurements%2FMeasureMethod.ADM_FIXED_PCT%2FheightPhoto%2F1781723878567?alt=media&amp;token=1ff6fd1a-406d-4800-9cad-51d4d884f611</t>
  </si>
  <si>
    <t>D7qfiuoiK6pydLdvKVrY</t>
  </si>
  <si>
    <t>2026_05_29 19:14:31</t>
  </si>
  <si>
    <t>https://firebasestorage.googleapis.com/v0/b/wt-foundation-production.appspot.com/o/measurements%2FMeasureMethod.ADM_FIXED_PCT%2FdbhPhoto%2F1781723880950?alt=media&amp;token=071339bd-d90a-4521-b3db-9efe2fc0dc51</t>
  </si>
  <si>
    <t>https://firebasestorage.googleapis.com/v0/b/wt-foundation-production.appspot.com/o/measurements%2FMeasureMethod.ADM_FIXED_PCT%2FheightPhoto%2F1781723880608?alt=media&amp;token=eff794bf-a308-4e91-82f5-f2c78a47b238</t>
  </si>
  <si>
    <t>i30LJY7TdEMu8XUbgJYa</t>
  </si>
  <si>
    <t>2026_05_29 19:19:57</t>
  </si>
  <si>
    <t>tree 4 1 stem</t>
  </si>
  <si>
    <t>bunya bunya</t>
  </si>
  <si>
    <t>Araucaria bidwillii</t>
  </si>
  <si>
    <t>https://firebasestorage.googleapis.com/v0/b/wt-foundation-production.appspot.com/o/measurements%2FMeasureMethod.ADM_FIXED_PCT%2FdbhPhoto%2F1781723883089?alt=media&amp;token=fc8925b0-e2f7-436a-b4f7-6226ad10a972</t>
  </si>
  <si>
    <t>https://firebasestorage.googleapis.com/v0/b/wt-foundation-production.appspot.com/o/measurements%2FMeasureMethod.ADM_FIXED_PCT%2FheightPhoto%2F1781723881967?alt=media&amp;token=e3f3be12-897d-4bb7-9a14-a19e14557def</t>
  </si>
  <si>
    <t>2TuyWuCuwk4xU80lpTXv</t>
  </si>
  <si>
    <t>2026_05_29 19:24:47</t>
  </si>
  <si>
    <t>tree 5 1 stem</t>
  </si>
  <si>
    <t>https://firebasestorage.googleapis.com/v0/b/wt-foundation-production.appspot.com/o/measurements%2FMeasureMethod.ADM_FIXED_PCT%2FdbhPhoto%2F1781723886398?alt=media&amp;token=0fc6db81-1de6-4148-949f-11b542db2286</t>
  </si>
  <si>
    <t>https://firebasestorage.googleapis.com/v0/b/wt-foundation-production.appspot.com/o/measurements%2FMeasureMethod.ADM_FIXED_PCT%2FheightPhoto%2F1781723885387?alt=media&amp;token=152f4fa8-7e92-4526-a6b3-f0a923f65426</t>
  </si>
  <si>
    <t>kGwJd7P3TFNqOKPSuAJG</t>
  </si>
  <si>
    <t>2026_05_29 19:28:46</t>
  </si>
  <si>
    <t>tree 6 stem 1</t>
  </si>
  <si>
    <t>white bottlebrush</t>
  </si>
  <si>
    <t>Banksia integrifolia</t>
  </si>
  <si>
    <t>https://firebasestorage.googleapis.com/v0/b/wt-foundation-production.appspot.com/o/measurements%2FMeasureMethod.ADM_FIXED_PCT%2FdbhPhoto%2F1781723888018?alt=media&amp;token=1f553501-c091-40be-a3f8-8601df7a882a</t>
  </si>
  <si>
    <t>https://firebasestorage.googleapis.com/v0/b/wt-foundation-production.appspot.com/o/measurements%2FMeasureMethod.ADM_FIXED_PCT%2FheightPhoto%2F1781723886721?alt=media&amp;token=434746d1-42a9-46bf-9e25-6f5061f53c50</t>
  </si>
  <si>
    <t>xp4Fjl3jznUsqm7mH99I</t>
  </si>
  <si>
    <t>2026_05_29 19:29:45</t>
  </si>
  <si>
    <t>tree 6 stem 2</t>
  </si>
  <si>
    <t>https://firebasestorage.googleapis.com/v0/b/wt-foundation-production.appspot.com/o/measurements%2FMeasureMethod.ADM_FIXED_PCT%2FdbhPhoto%2F1781723889280?alt=media&amp;token=6f008db5-d1a7-4dd5-bdcd-0c592a295b8d</t>
  </si>
  <si>
    <t>https://firebasestorage.googleapis.com/v0/b/wt-foundation-production.appspot.com/o/measurements%2FMeasureMethod.ADM_FIXED_PCT%2FheightPhoto%2F1781723888737?alt=media&amp;token=218813eb-2f76-4f88-a02c-be33ebaf3236</t>
  </si>
  <si>
    <t>shrxRbzNn837lyRZmRNc</t>
  </si>
  <si>
    <t>2026_05_29 19:34:57</t>
  </si>
  <si>
    <t>tree 7 1 stem
visually looks closer to 11, based on surrounding trees</t>
  </si>
  <si>
    <t>https://firebasestorage.googleapis.com/v0/b/wt-foundation-production.appspot.com/o/measurements%2FMeasureMethod.ADM_FIXED_PCT%2FdbhPhoto%2F1781723891141?alt=media&amp;token=63b1e328-d6aa-4fea-a01b-ba3ae3ec2628</t>
  </si>
  <si>
    <t>https://firebasestorage.googleapis.com/v0/b/wt-foundation-production.appspot.com/o/measurements%2FMeasureMethod.ADM_FIXED_PCT%2FheightPhoto%2F1781723890422?alt=media&amp;token=574e0a64-4f39-4745-90cb-f94421339551</t>
  </si>
  <si>
    <t>AoDiQcheJKmua31BOQ6J</t>
  </si>
  <si>
    <t>2026_05_29 19:47:26</t>
  </si>
  <si>
    <t>tree 8 1 stem</t>
  </si>
  <si>
    <t>bald cypress</t>
  </si>
  <si>
    <t>Taxodium distichum</t>
  </si>
  <si>
    <t>https://firebasestorage.googleapis.com/v0/b/wt-foundation-production.appspot.com/o/measurements%2FMeasureMethod.ADM_FIXED_PCT%2FdbhPhoto%2F1781723892773?alt=media&amp;token=c7f0e7fc-2528-4273-a4da-d2dcd82d07e8</t>
  </si>
  <si>
    <t>https://firebasestorage.googleapis.com/v0/b/wt-foundation-production.appspot.com/o/measurements%2FMeasureMethod.ADM_FIXED_PCT%2FheightPhoto%2F1781723891761?alt=media&amp;token=63d7ca61-ad84-48d2-8526-6f60d82e4f01</t>
  </si>
  <si>
    <t>af4qwmpbHFu3E0ZfWoD6</t>
  </si>
  <si>
    <t>2026_05_29 19:58:45</t>
  </si>
  <si>
    <t>tree 9 1 stem</t>
  </si>
  <si>
    <t>https://firebasestorage.googleapis.com/v0/b/wt-foundation-production.appspot.com/o/measurements%2FMeasureMethod.ADM_FIXED_PCT%2FdbhPhoto%2F1781723895541?alt=media&amp;token=50ab7f32-1a9a-4845-a06d-a4c98d454dbd</t>
  </si>
  <si>
    <t>https://firebasestorage.googleapis.com/v0/b/wt-foundation-production.appspot.com/o/measurements%2FMeasureMethod.ADM_FIXED_PCT%2FheightPhoto%2F1781723895188?alt=media&amp;token=45931d4e-b423-4707-986f-dd0e6d1923bb</t>
  </si>
  <si>
    <t>mDJzBjPZmpj06GIAJuID</t>
  </si>
  <si>
    <t>2026_05_29 20:04:24</t>
  </si>
  <si>
    <t>tree 10 1stem</t>
  </si>
  <si>
    <t>https://firebasestorage.googleapis.com/v0/b/wt-foundation-production.appspot.com/o/measurements%2FMeasureMethod.ADM_FIXED_PCT%2FdbhPhoto%2F1781723899670?alt=media&amp;token=501a6ead-4a1e-4f09-9697-0db393d4fcc9</t>
  </si>
  <si>
    <t>https://firebasestorage.googleapis.com/v0/b/wt-foundation-production.appspot.com/o/measurements%2FMeasureMethod.ADM_FIXED_PCT%2FheightPhoto%2F1781723898187?alt=media&amp;token=65171f55-5cac-49d5-b890-bf5fcf19e6f7</t>
  </si>
  <si>
    <t>9qn9p7Yo1hDqjizFevH7</t>
  </si>
  <si>
    <t>2026_05_29 20:17:16</t>
  </si>
  <si>
    <t>tree 11 stem 1</t>
  </si>
  <si>
    <t>https://firebasestorage.googleapis.com/v0/b/wt-foundation-production.appspot.com/o/measurements%2FMeasureMethod.ADM_FIXED_PCT%2FdbhPhoto%2F1781723901093?alt=media&amp;token=8750d225-a2ee-48d2-91c4-e25f76b6bb1d</t>
  </si>
  <si>
    <t>https://firebasestorage.googleapis.com/v0/b/wt-foundation-production.appspot.com/o/measurements%2FMeasureMethod.ADM_FIXED_PCT%2FheightPhoto%2F1781723900576?alt=media&amp;token=3b0a3787-9870-4af7-88bd-3b8a9576f0ae</t>
  </si>
  <si>
    <t>yUsdQpDrpJqcW9Ixnge8</t>
  </si>
  <si>
    <t>outlier, unk spec, no GT or WT dat</t>
  </si>
  <si>
    <t>acacia?</t>
  </si>
  <si>
    <t>spec. unk</t>
  </si>
  <si>
    <t>https://services1.arcgis.com/0j6vZbECadDEXdAS/arcgis/rest/services/GEDI_Footprint_1_trees/FeatureServer/0/98/attachments/30?token=ao52L_k31BAKY8Blc2HzENw..O9GosqdA_uLMr3_qcHp1IExuwOyNhBhE2kaJtWGrkrfU_7PxE-CbCmoS6xuVQ8-RpV3svAW4k--oZty_ddXwUYMPCXQYgwAfghLlc9_L7Xzjg_09ryHXrxQNlNZbjp4D9tgeMLw3Oz9bVLaj2CcnAHrdsq31S_0-iZNMVbrJPclTNM4CfF_KA8jU1fxI0H34fbwceJYm3yRpywB6NT_lTmaTJyGaYirf7UmC_iVIyMY5ouQtagS0uMPkARx3Hbxm798eN_pLBisiETqbp9SpG-VbtNEXDGcfn0WWTk6DYwYcAw87XMFuBJwDOPJNvaGris9giDDOaf2yM4xQJSR3</t>
  </si>
  <si>
    <t>filoli redwood</t>
  </si>
  <si>
    <t>sequoia sempervirens 'filoli'</t>
  </si>
  <si>
    <t>MEXICAN BLUE PALM</t>
  </si>
  <si>
    <t>Coccothrinax argentata</t>
  </si>
  <si>
    <t>MEXICAN FAN PALM</t>
  </si>
  <si>
    <t>Washingtonia robusta</t>
  </si>
  <si>
    <t>no DBH / multi-stem, outlier, 21 stems</t>
  </si>
  <si>
    <t>GIANT YUCCA</t>
  </si>
  <si>
    <t>Yucca gigantea</t>
  </si>
  <si>
    <t>no WT or GT info, 4 stems</t>
  </si>
  <si>
    <t>no species label, for larger skinny stocks next to palm bush?</t>
  </si>
  <si>
    <t>PYGMY DATE PALM</t>
  </si>
  <si>
    <t>Phoenix roebelenii</t>
  </si>
  <si>
    <t>outlier</t>
  </si>
  <si>
    <t>redwood outlier (caution tape)</t>
  </si>
  <si>
    <t>redwood</t>
  </si>
  <si>
    <t>quercus agrifolia</t>
  </si>
  <si>
    <t>2026_06_17 22:23:39</t>
  </si>
  <si>
    <t>2.6.0</t>
  </si>
  <si>
    <t>Quercus pacifica</t>
  </si>
  <si>
    <t>https://firebasestorage.googleapis.com/v0/b/wt-foundation-production.appspot.com/o/measurements%2FMeasureMethod.ADM_FIXED_PCT%2FdbhPhoto%2F1781803660211?alt=media&amp;token=f11489ce-0e2b-4c2a-8141-d9eacd666b2a</t>
  </si>
  <si>
    <t>https://firebasestorage.googleapis.com/v0/b/wt-foundation-production.appspot.com/o/measurements%2FMeasureMethod.ADM_FIXED_PCT%2FheightPhoto%2F1781803660211?alt=media&amp;token=b101223c-f6a6-468b-b242-cd0a82fb7461</t>
  </si>
  <si>
    <t>qSRZAfoA6dSeEq8fP4vu</t>
  </si>
  <si>
    <t>2026_06_17 22:26:37</t>
  </si>
  <si>
    <t>https://firebasestorage.googleapis.com/v0/b/wt-foundation-production.appspot.com/o/measurements%2FMeasureMethod.ADM_FIXED_PCT%2FdbhPhoto%2F1781803662280?alt=media&amp;token=71f543a3-2c28-4815-b8c1-bb106c58b188</t>
  </si>
  <si>
    <t>VZO8oJ475c8GK7cLrhD4</t>
  </si>
  <si>
    <t>2026_06_17 22:27:55</t>
  </si>
  <si>
    <t>https://firebasestorage.googleapis.com/v0/b/wt-foundation-production.appspot.com/o/measurements%2FMeasureMethod.ADM_FIXED_PCT%2FdbhPhoto%2F1781803665339?alt=media&amp;token=479e30fa-736a-4a18-9ad6-b8cc5bddc5fb</t>
  </si>
  <si>
    <t>https://firebasestorage.googleapis.com/v0/b/wt-foundation-production.appspot.com/o/measurements%2FMeasureMethod.ADM_FIXED_PCT%2FheightPhoto%2F1781803664407?alt=media&amp;token=c3c1a12e-f48d-4d81-b1e1-29e56648cf4e</t>
  </si>
  <si>
    <t>EJvi0jtqxvosGvp21w2A</t>
  </si>
  <si>
    <t>2026_06_17 22:29:05</t>
  </si>
  <si>
    <t>https://firebasestorage.googleapis.com/v0/b/wt-foundation-production.appspot.com/o/measurements%2FMeasureMethod.ADM_FIXED_PCT%2FdbhPhoto%2F1781803669231?alt=media&amp;token=a217e1a3-f92f-451c-9668-8c85d7b4b80a</t>
  </si>
  <si>
    <t>https://firebasestorage.googleapis.com/v0/b/wt-foundation-production.appspot.com/o/measurements%2FMeasureMethod.ADM_FIXED_PCT%2FheightPhoto%2F1781803668985?alt=media&amp;token=e8faf049-4f9f-4916-a1c5-03ff1766f3d7</t>
  </si>
  <si>
    <t>akbK6XMTmcGig945RCmP</t>
  </si>
  <si>
    <t>2026_06_17 22:31:07</t>
  </si>
  <si>
    <t>https://firebasestorage.googleapis.com/v0/b/wt-foundation-production.appspot.com/o/measurements%2FMeasureMethod.ADM_FIXED_PCT%2FdbhPhoto%2F1781803673755?alt=media&amp;token=ff3fed3c-7768-4d1d-bbf3-b08e4cffaf6b</t>
  </si>
  <si>
    <t>https://firebasestorage.googleapis.com/v0/b/wt-foundation-production.appspot.com/o/measurements%2FMeasureMethod.ADM_FIXED_PCT%2FheightPhoto%2F1781803672516?alt=media&amp;token=47ee7829-5506-426c-be5c-495c170cc7e6</t>
  </si>
  <si>
    <t>OLuxjSkWmYd62NN6cI9w</t>
  </si>
  <si>
    <t>2026_06_17 22:32:38</t>
  </si>
  <si>
    <t>https://firebasestorage.googleapis.com/v0/b/wt-foundation-production.appspot.com/o/measurements%2FMeasureMethod.ADM_FIXED_PCT%2FdbhPhoto%2F1781803675800?alt=media&amp;token=9cf7ff66-5127-44e4-8ce8-a17476d441ce</t>
  </si>
  <si>
    <t>https://firebasestorage.googleapis.com/v0/b/wt-foundation-production.appspot.com/o/measurements%2FMeasureMethod.ADM_FIXED_PCT%2FheightPhoto%2F1781803674364?alt=media&amp;token=2d673c57-3660-4c04-b0bb-687acef8bb50</t>
  </si>
  <si>
    <t>IMvIeFF7rUqLRckytUZx</t>
  </si>
  <si>
    <t>2026_06_17 22:34:03</t>
  </si>
  <si>
    <t>https://firebasestorage.googleapis.com/v0/b/wt-foundation-production.appspot.com/o/measurements%2FMeasureMethod.ADM_FIXED_PCT%2FdbhPhoto%2F1781803677659?alt=media&amp;token=161f5d1a-dcb9-4a74-8746-cb6b813ccfad</t>
  </si>
  <si>
    <t>https://firebasestorage.googleapis.com/v0/b/wt-foundation-production.appspot.com/o/measurements%2FMeasureMethod.ADM_FIXED_PCT%2FheightPhoto%2F1781803677254?alt=media&amp;token=af7cf094-b864-4843-a3ff-6cb118399335</t>
  </si>
  <si>
    <t>9RhN6GjKuVoZhH4pt2ds</t>
  </si>
  <si>
    <t>2026_06_17 22:36:05</t>
  </si>
  <si>
    <t>https://firebasestorage.googleapis.com/v0/b/wt-foundation-production.appspot.com/o/measurements%2FMeasureMethod.ADM_FIXED_PCT%2FdbhPhoto%2F1781803680143?alt=media&amp;token=112193ed-8a20-456d-9090-a4db069547ab</t>
  </si>
  <si>
    <t>https://firebasestorage.googleapis.com/v0/b/wt-foundation-production.appspot.com/o/measurements%2FMeasureMethod.ADM_FIXED_PCT%2FheightPhoto%2F1781803679000?alt=media&amp;token=81f6cf68-a8ab-414f-a2c6-3675690b0368</t>
  </si>
  <si>
    <t>P47yEOOX942GG6bPICKx</t>
  </si>
  <si>
    <t>2026_06_17 22:38:34</t>
  </si>
  <si>
    <t>https://firebasestorage.googleapis.com/v0/b/wt-foundation-production.appspot.com/o/measurements%2FMeasureMethod.ADM_FIXED_PCT%2FdbhPhoto%2F1781803681791?alt=media&amp;token=883649e1-3ec0-4c1a-8b68-55c50a2c1722</t>
  </si>
  <si>
    <t>https://firebasestorage.googleapis.com/v0/b/wt-foundation-production.appspot.com/o/measurements%2FMeasureMethod.ADM_FIXED_PCT%2FheightPhoto%2F1781803681019?alt=media&amp;token=6484eb2b-a6e6-48bd-89bc-ad69e3d4fd52</t>
  </si>
  <si>
    <t>rWcMuUkatLOjDqPv9OGY</t>
  </si>
  <si>
    <t>2026_06_17 22:42:10</t>
  </si>
  <si>
    <t>https://firebasestorage.googleapis.com/v0/b/wt-foundation-production.appspot.com/o/measurements%2FMeasureMethod.ADM_FIXED_PCT%2FdbhPhoto%2F1781803683851?alt=media&amp;token=71bc3cfb-0d6f-4d20-965c-fe9077ff7d06</t>
  </si>
  <si>
    <t>https://firebasestorage.googleapis.com/v0/b/wt-foundation-production.appspot.com/o/measurements%2FMeasureMethod.ADM_FIXED_PCT%2FheightPhoto%2F1781803682843?alt=media&amp;token=177f28bc-ca90-4015-a62a-5c2dc2725dde</t>
  </si>
  <si>
    <t>NhLx4JFSGUGcFpK5NUnn</t>
  </si>
  <si>
    <t>2026_06_17 22:43:37</t>
  </si>
  <si>
    <t>https://firebasestorage.googleapis.com/v0/b/wt-foundation-production.appspot.com/o/measurements%2FMeasureMethod.ADM_FIXED_PCT%2FdbhPhoto%2F1781803685800?alt=media&amp;token=83d0e0fe-804b-40ec-94e7-f5cdb387ef40</t>
  </si>
  <si>
    <t>https://firebasestorage.googleapis.com/v0/b/wt-foundation-production.appspot.com/o/measurements%2FMeasureMethod.ADM_FIXED_PCT%2FheightPhoto%2F1781803684871?alt=media&amp;token=dc8fe41e-f36c-4b35-a630-a13fb35eb6b3</t>
  </si>
  <si>
    <t>QVNdRcvhJO4f26a1CyW0</t>
  </si>
  <si>
    <t>2026_06_17 22:46:06</t>
  </si>
  <si>
    <t>https://firebasestorage.googleapis.com/v0/b/wt-foundation-production.appspot.com/o/measurements%2FMeasureMethod.ADM_FIXED_PCT%2FdbhPhoto%2F1781838014954?alt=media&amp;token=20c85b99-d785-4562-9429-3a44e5bec34e</t>
  </si>
  <si>
    <t>https://firebasestorage.googleapis.com/v0/b/wt-foundation-production.appspot.com/o/measurements%2FMeasureMethod.ADM_FIXED_PCT%2FheightPhoto%2F1781803687171?alt=media&amp;token=0af7d819-0832-4a32-a927-7c4326d22d20</t>
  </si>
  <si>
    <t>ptTEX5cPuPMTU5joEPeX</t>
  </si>
  <si>
    <t>2026_06_17 22:47:30</t>
  </si>
  <si>
    <t>https://firebasestorage.googleapis.com/v0/b/wt-foundation-production.appspot.com/o/measurements%2FMeasureMethod.ADM_FIXED_PCT%2FheightPhoto%2F1781838014954?alt=media&amp;token=6d3f206f-8948-4a5b-a151-0832dbb4a07c</t>
  </si>
  <si>
    <t>YHm8Uj0FyZP9CRjGfNrc</t>
  </si>
  <si>
    <t>2026_06_17 22:49:01</t>
  </si>
  <si>
    <t>https://firebasestorage.googleapis.com/v0/b/wt-foundation-production.appspot.com/o/measurements%2FMeasureMethod.ADM_FIXED_PCT%2FdbhPhoto%2F1781838027485?alt=media&amp;token=337e13f1-12ef-483f-bb0e-fecc0069ce0c</t>
  </si>
  <si>
    <t>https://firebasestorage.googleapis.com/v0/b/wt-foundation-production.appspot.com/o/measurements%2FMeasureMethod.ADM_FIXED_PCT%2FheightPhoto%2F1781838014954?alt=media&amp;token=20e6d7e2-1965-4ead-86aa-0589fd2fb64a</t>
  </si>
  <si>
    <t>G8odGyYFAMoRVvewRvgK</t>
  </si>
  <si>
    <t>2026_06_17 22:50:03</t>
  </si>
  <si>
    <t>https://firebasestorage.googleapis.com/v0/b/wt-foundation-production.appspot.com/o/measurements%2FMeasureMethod.ADM_FIXED_PCT%2FdbhPhoto%2F1781838041599?alt=media&amp;token=650c1baf-9856-44fa-8c4d-9f5c44514984</t>
  </si>
  <si>
    <t>https://firebasestorage.googleapis.com/v0/b/wt-foundation-production.appspot.com/o/measurements%2FMeasureMethod.ADM_FIXED_PCT%2FheightPhoto%2F1781838037201?alt=media&amp;token=799bf7b8-01f6-4ab6-88ff-c95375a189db</t>
  </si>
  <si>
    <t>Aax7ejQbHcup03UPZupi</t>
  </si>
  <si>
    <t>2026_06_17 22:51:03</t>
  </si>
  <si>
    <t>https://firebasestorage.googleapis.com/v0/b/wt-foundation-production.appspot.com/o/measurements%2FMeasureMethod.ADM_FIXED_PCT%2FdbhPhoto%2F1781838044699?alt=media&amp;token=ef6edc58-e934-4541-89ea-b167533a570c</t>
  </si>
  <si>
    <t>https://firebasestorage.googleapis.com/v0/b/wt-foundation-production.appspot.com/o/measurements%2FMeasureMethod.ADM_FIXED_PCT%2FheightPhoto%2F1781838043858?alt=media&amp;token=b9349674-2590-4a61-819e-acea9bea3ff1</t>
  </si>
  <si>
    <t>d5SKp3gXNNMLp6Kowo0J</t>
  </si>
  <si>
    <t>2026_06_17 22:52:01</t>
  </si>
  <si>
    <t>https://firebasestorage.googleapis.com/v0/b/wt-foundation-production.appspot.com/o/measurements%2FMeasureMethod.ADM_FIXED_PCT%2FdbhPhoto%2F1781838048226?alt=media&amp;token=178825a5-2de1-45b0-8bc6-d79a0868b8ec</t>
  </si>
  <si>
    <t>https://firebasestorage.googleapis.com/v0/b/wt-foundation-production.appspot.com/o/measurements%2FMeasureMethod.ADM_FIXED_PCT%2FheightPhoto%2F1781838047055?alt=media&amp;token=c7b8db18-03bc-4f1a-bae3-c179b95a5426</t>
  </si>
  <si>
    <t>rqtqtZJDwUsk4SMPzoSP</t>
  </si>
  <si>
    <t>2026_06_17 22:52:41</t>
  </si>
  <si>
    <t>https://firebasestorage.googleapis.com/v0/b/wt-foundation-production.appspot.com/o/measurements%2FMeasureMethod.ADM_FIXED_PCT%2FdbhPhoto%2F1781838052019?alt=media&amp;token=8f14bca9-53a7-408d-b75d-5c3921f2253a</t>
  </si>
  <si>
    <t>https://firebasestorage.googleapis.com/v0/b/wt-foundation-production.appspot.com/o/measurements%2FMeasureMethod.ADM_FIXED_PCT%2FheightPhoto%2F1781838050135?alt=media&amp;token=33ed59c4-081e-4826-813e-04b58c509f02</t>
  </si>
  <si>
    <t>Fl95MS8rmxaX8JpF1YyC</t>
  </si>
  <si>
    <t>2026_06_17 22:53:41</t>
  </si>
  <si>
    <t>https://firebasestorage.googleapis.com/v0/b/wt-foundation-production.appspot.com/o/measurements%2FMeasureMethod.ADM_FIXED_PCT%2FdbhPhoto%2F1781838063023?alt=media&amp;token=5e524cba-a893-425c-9e99-5e592b38e0ff</t>
  </si>
  <si>
    <t>https://firebasestorage.googleapis.com/v0/b/wt-foundation-production.appspot.com/o/measurements%2FMeasureMethod.ADM_FIXED_PCT%2FheightPhoto%2F1781838054407?alt=media&amp;token=cb43cda5-16f5-4933-9f19-250c557ff1dd</t>
  </si>
  <si>
    <t>M9LkJgLlg9mpNFZdFVrH</t>
  </si>
  <si>
    <t>2026_06_17 22:55:00</t>
  </si>
  <si>
    <t>https://firebasestorage.googleapis.com/v0/b/wt-foundation-production.appspot.com/o/measurements%2FMeasureMethod.ADM_FIXED_PCT%2FdbhPhoto%2F1781838080054?alt=media&amp;token=fa394964-ba4c-4503-94be-f5ce773dce2d</t>
  </si>
  <si>
    <t>https://firebasestorage.googleapis.com/v0/b/wt-foundation-production.appspot.com/o/measurements%2FMeasureMethod.ADM_FIXED_PCT%2FheightPhoto%2F1781838070841?alt=media&amp;token=2a10d3a1-c6bf-4ceb-801c-4fe866d8c16e</t>
  </si>
  <si>
    <t>dLVoueIyNwZIHy5PgvMo</t>
  </si>
  <si>
    <t>Quercus engelmannii</t>
  </si>
  <si>
    <t xml:space="preserve">	35.31038504816667</t>
  </si>
  <si>
    <t xml:space="preserve">	-120.661998228</t>
  </si>
  <si>
    <t>no dbh / multi-stem, outlier, 10 stems</t>
  </si>
  <si>
    <t>western chokeberry</t>
  </si>
  <si>
    <t>prunus virginiana var. demissa</t>
  </si>
  <si>
    <t>Cedrus deodara</t>
  </si>
  <si>
    <t>weeping atlas cedar</t>
  </si>
  <si>
    <t>cedrus libani ssp. atlantica 'pendula'</t>
  </si>
  <si>
    <t>Pinus canariensis</t>
  </si>
  <si>
    <t>keep height, delete dbh?</t>
  </si>
  <si>
    <t>no WT data available</t>
  </si>
  <si>
    <t>no WT data able to be</t>
  </si>
  <si>
    <t>MONTEREY CYPRESS</t>
  </si>
  <si>
    <t>Hesperocyparis macrocarpa</t>
  </si>
  <si>
    <t>collected</t>
  </si>
  <si>
    <t>Pinus pinea</t>
  </si>
  <si>
    <t>2026_06_18 21:59:07</t>
  </si>
  <si>
    <t xml:space="preserve">	-120.66138327449998</t>
  </si>
  <si>
    <t>euphorbia</t>
  </si>
  <si>
    <t>Euphorbia lambii</t>
  </si>
  <si>
    <t>https://firebasestorage.googleapis.com/v0/b/wt-foundation-production.appspot.com/o/measurements%2FMeasureMethod.ADM_FIXED_PCT%2FdbhPhoto%2F1781838120637?alt=media&amp;token=b9dc505b-3375-46db-88c8-2b83973272cd</t>
  </si>
  <si>
    <t>https://firebasestorage.googleapis.com/v0/b/wt-foundation-production.appspot.com/o/measurements%2FMeasureMethod.ADM_FIXED_PCT%2FheightPhoto%2F1781838116310?alt=media&amp;token=5576e09a-841f-46f3-b2f9-8315175d074e</t>
  </si>
  <si>
    <t>oZh9z3phvkZDUH8FrGtp</t>
  </si>
  <si>
    <t>2026_06_18 22:24:50</t>
  </si>
  <si>
    <t>https://firebasestorage.googleapis.com/v0/b/wt-foundation-production.appspot.com/o/measurements%2FMeasureMethod.ADM_FIXED_PCT%2FdbhPhoto%2F1781838130168?alt=media&amp;token=e81dbb7a-ea35-4df6-b14f-fd383d0095b8</t>
  </si>
  <si>
    <t>https://firebasestorage.googleapis.com/v0/b/wt-foundation-production.appspot.com/o/measurements%2FMeasureMethod.ADM_FIXED_PCT%2FheightPhoto%2F1781838125321?alt=media&amp;token=d1719f0b-d445-45ea-8a11-4c82968a29ae</t>
  </si>
  <si>
    <t>hFPIqbuioWgOGA9pLBEO</t>
  </si>
  <si>
    <t>https://services1.arcgis.com/0j6vZbECadDEXdAS/arcgis/rest/services/GEDI_Footprint_1_trees/FeatureServer/0/50/attachments/39?token=a4ScKDTipBjXN_Oqldylu4w..UgkQi_pE2TXisCb5jSTUnpixVgv0hqjaSApOkQg75dwShQYGf_twWwpGGF1P6BCN926pawb04AGvOVX8YrrC8G4VlcZ5E2bC6D8tVqT4NVzoz6lwYM3uYtjyPSAv7yfl5WCm6m-1yIpA7C_jsX1wKLfEJl6mUXzQ11UOpx4tzXSi0pfnZSJisMZTwOy25urJqdN3gkt_PKGY6JaHF91JM8b4BQ3fClU2CxnN2zxlWjhq3lVyYE83s6jl17JTdY_dniGWoW8KM_TaEwEg2fMK497-XzBZ7eztH73B7lIYmey8ySaKD5FvZCLQlW-QPyPz_wT5lulo19V9W6Zuk8mc&amp;s=455078</t>
  </si>
  <si>
    <t>2026_06_18 22:29:32</t>
  </si>
  <si>
    <t>further south</t>
  </si>
  <si>
    <t>https://firebasestorage.googleapis.com/v0/b/wt-foundation-production.appspot.com/o/measurements%2FMeasureMethod.ADM_FIXED_PCT%2FdbhPhoto%2F1781838147733?alt=media&amp;token=3f2b5bcd-e4f9-4c23-a786-9176bd11357d</t>
  </si>
  <si>
    <t>https://firebasestorage.googleapis.com/v0/b/wt-foundation-production.appspot.com/o/measurements%2FMeasureMethod.ADM_FIXED_PCT%2FheightPhoto%2F1781838137594?alt=media&amp;token=fe18b788-aa3a-43f8-b5a2-cbd78d2dd0d4</t>
  </si>
  <si>
    <t>jh96EVgdrapp5jcIBy7r</t>
  </si>
  <si>
    <t>2026_06_18 22:32:37</t>
  </si>
  <si>
    <t>Euphoria lambii</t>
  </si>
  <si>
    <t>https://firebasestorage.googleapis.com/v0/b/wt-foundation-production.appspot.com/o/measurements%2FMeasureMethod.ADM_FIXED_PCT%2FdbhPhoto%2F1781838153243?alt=media&amp;token=fc262915-ce82-476d-a815-b4da732ef55f</t>
  </si>
  <si>
    <t>https://firebasestorage.googleapis.com/v0/b/wt-foundation-production.appspot.com/o/measurements%2FMeasureMethod.ADM_FIXED_PCT%2FheightPhoto%2F1781838152387?alt=media&amp;token=1b87b20a-f44c-4b44-a7df-94d2db123a24</t>
  </si>
  <si>
    <t>6kd2HeFXkn8zMInTc8jb</t>
  </si>
  <si>
    <t>https://services1.arcgis.com/0j6vZbECadDEXdAS/arcgis/rest/services/GEDI_Footprint_1_trees/FeatureServer/0/49/attachments/42?token=abSypVu6DLSDSfkNbwn8yiw..1YtW_stEWnveCwxuWHb554rKL8Hu0KKBgwsNi4y7N9D8aEfe6TyTsFYLWXbW-C1LH5Q9fSakJMFVlH6w51AnZ0FApoWOiu5ozUXWLt1ItgoiHFj8Kdrb8xijvSQVFl01T7jNf3QbIKe_eL8LxZqgvOeHRw3lwqUruvnICnwyeJjXzCNXLAo5EJQjnZpEGxbX7Gz2TFo1uvbmMJVbisnTIhOFAKANYGUU8fziN159jpJiN_AoPlzckimImAyazeOrPOT_APsBbvzN0-Dj5iaacziJBLQuc3R8Xk8ymgTniCXNiUT6CCvJTnZ_e_aw-HAObGPQnxlPS4FJG2D_VDVu&amp;s=815744</t>
  </si>
  <si>
    <t>no wt data</t>
  </si>
  <si>
    <t>elfin strawberry tree</t>
  </si>
  <si>
    <t>Arbutus unedo</t>
  </si>
  <si>
    <t>2026_06_18 22:39:51</t>
  </si>
  <si>
    <t>sweet bay laurel</t>
  </si>
  <si>
    <t>Laurus nobilis</t>
  </si>
  <si>
    <t>https://firebasestorage.googleapis.com/v0/b/wt-foundation-production.appspot.com/o/measurements%2FMeasureMethod.ADM_FIXED_PCT%2FdbhPhoto%2F1781838156623?alt=media&amp;token=946956b8-ebec-44da-96e1-f4b0251e2631</t>
  </si>
  <si>
    <t>https://firebasestorage.googleapis.com/v0/b/wt-foundation-production.appspot.com/o/measurements%2FMeasureMethod.ADM_FIXED_PCT%2FheightPhoto%2F1781838155931?alt=media&amp;token=5e5b3218-52fa-4bb3-80c8-8bb7b9757457</t>
  </si>
  <si>
    <t>mSChBb9JfJ5h6RTEM6KQ</t>
  </si>
  <si>
    <t>https://services1.arcgis.com/0j6vZbECadDEXdAS/arcgis/rest/services/GEDI_Footprint_1_trees/FeatureServer/0/51/attachments/43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</t>
  </si>
  <si>
    <t>2026_06_18 22:41:07</t>
  </si>
  <si>
    <t>unk spec (4.1) stem 2</t>
  </si>
  <si>
    <t>https://firebasestorage.googleapis.com/v0/b/wt-foundation-production.appspot.com/o/measurements%2FMeasureMethod.ADM_FIXED_PCT%2FdbhPhoto%2F1781838210309?alt=media&amp;token=e951aa79-d7d3-471a-b872-b6dab1a673a7</t>
  </si>
  <si>
    <t>https://firebasestorage.googleapis.com/v0/b/wt-foundation-production.appspot.com/o/measurements%2FMeasureMethod.ADM_FIXED_PCT%2FheightPhoto%2F1781838201290?alt=media&amp;token=d2eb55f7-9910-40ae-ab02-5e3f79166d88</t>
  </si>
  <si>
    <t>nuYMCAEEfsRkxTSdOvAh</t>
  </si>
  <si>
    <t>https://services1.arcgis.com/0j6vZbECadDEXdAS/arcgis/rest/services/GEDI_Footprint_1_trees/FeatureServer/0/51/attachments/44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</t>
  </si>
  <si>
    <t>2026_06_18 22:42:13</t>
  </si>
  <si>
    <t>https://firebasestorage.googleapis.com/v0/b/wt-foundation-production.appspot.com/o/measurements%2FMeasureMethod.ADM_FIXED_PCT%2FdbhPhoto%2F1781838255605?alt=media&amp;token=b5ae02de-828e-44a7-ac36-72f979c3e906</t>
  </si>
  <si>
    <t>https://firebasestorage.googleapis.com/v0/b/wt-foundation-production.appspot.com/o/measurements%2FMeasureMethod.ADM_FIXED_PCT%2FheightPhoto%2F1781838211018?alt=media&amp;token=8682df60-431e-4747-b57f-9e4ae47fda31</t>
  </si>
  <si>
    <t>GESPdbzzePAAcIZ5WA88</t>
  </si>
  <si>
    <t>2026_06_18 22:43:46</t>
  </si>
  <si>
    <t>https://firebasestorage.googleapis.com/v0/b/wt-foundation-production.appspot.com/o/measurements%2FMeasureMethod.ADM_FIXED_PCT%2FdbhPhoto%2F1781838282037?alt=media&amp;token=00ec29f5-da06-4774-8fb8-6ec976565047</t>
  </si>
  <si>
    <t>https://firebasestorage.googleapis.com/v0/b/wt-foundation-production.appspot.com/o/measurements%2FMeasureMethod.ADM_FIXED_PCT%2FheightPhoto%2F1781838262286?alt=media&amp;token=b00a336e-fd97-436c-954e-e3eb91f1963e</t>
  </si>
  <si>
    <t>EY4sKECKSbDiRZKoPWUT</t>
  </si>
  <si>
    <t>2026_06_18 22:45:15</t>
  </si>
  <si>
    <t>bad app dbh (i added the 0.0 bc it was previously 0.5)</t>
  </si>
  <si>
    <t>ink stem 5</t>
  </si>
  <si>
    <t>https://firebasestorage.googleapis.com/v0/b/wt-foundation-production.appspot.com/o/measurements%2FMeasureMethod.ADM_FIXED_PCT%2FdbhPhoto%2F1781838325502?alt=media&amp;token=7a42b687-5e95-40fe-800f-627f70588c3f</t>
  </si>
  <si>
    <t>https://firebasestorage.googleapis.com/v0/b/wt-foundation-production.appspot.com/o/measurements%2FMeasureMethod.ADM_FIXED_PCT%2FheightPhoto%2F1781838290627?alt=media&amp;token=c8262178-ea2c-4d63-accb-f44ce9593c0a</t>
  </si>
  <si>
    <t>qkzPJIYwfAdiHfKJ8pNh</t>
  </si>
  <si>
    <t>2026_06_18 22:50:02</t>
  </si>
  <si>
    <t>stem 6</t>
  </si>
  <si>
    <t>https://firebasestorage.googleapis.com/v0/b/wt-foundation-production.appspot.com/o/measurements%2FMeasureMethod.ADM_FIXED_PCT%2FdbhPhoto%2F1781838528274?alt=media&amp;token=86bfb70e-69be-476d-a94b-a124a42d5226</t>
  </si>
  <si>
    <t>https://firebasestorage.googleapis.com/v0/b/wt-foundation-production.appspot.com/o/measurements%2FMeasureMethod.ADM_FIXED_PCT%2FheightPhoto%2F1781838524539?alt=media&amp;token=beea6f4c-4a83-4d53-8a07-317de7da44c8</t>
  </si>
  <si>
    <t>vrGlg1JfsmkfNYme29iY</t>
  </si>
  <si>
    <t>2026_06_18 22:57:02</t>
  </si>
  <si>
    <t>no DBH / multi-stem, 5 stems</t>
  </si>
  <si>
    <t>tree 2 unk stem 1 measured at 0.88 5 stems</t>
  </si>
  <si>
    <t>https://firebasestorage.googleapis.com/v0/b/wt-foundation-production.appspot.com/o/measurements%2FMeasureMethod.ADM_FIXED_PCT%2FdbhPhoto%2F1781838531099?alt=media&amp;token=ce4c7be1-bf37-4e68-b198-23c20a155232</t>
  </si>
  <si>
    <t>https://firebasestorage.googleapis.com/v0/b/wt-foundation-production.appspot.com/o/measurements%2FMeasureMethod.ADM_FIXED_PCT%2FheightPhoto%2F1781838530001?alt=media&amp;token=2f163329-6d52-4a0d-9e4f-7a0089806ef5</t>
  </si>
  <si>
    <t>xVv8ta7MijUYmVn2CiYV</t>
  </si>
  <si>
    <t>https://services1.arcgis.com/0j6vZbECadDEXdAS/arcgis/rest/services/GEDI_Footprint_1_trees/FeatureServer/0/52/attachments/45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&amp;s=853981</t>
  </si>
  <si>
    <t>2026_06_18 23:01:07</t>
  </si>
  <si>
    <t>euphorbia lambs</t>
  </si>
  <si>
    <t>https://firebasestorage.googleapis.com/v0/b/wt-foundation-production.appspot.com/o/measurements%2FMeasureMethod.ADM_FIXED_PCT%2FdbhPhoto%2F1781838536428?alt=media&amp;token=f0107dca-bb55-4e70-a756-faff474e437d</t>
  </si>
  <si>
    <t>https://firebasestorage.googleapis.com/v0/b/wt-foundation-production.appspot.com/o/measurements%2FMeasureMethod.ADM_FIXED_PCT%2FheightPhoto%2F1781838532507?alt=media&amp;token=1d200eee-44f3-42ce-9ba7-811f17340bb6</t>
  </si>
  <si>
    <t>XF3QQvbeb4E4piCv2j0L</t>
  </si>
  <si>
    <t>https://services1.arcgis.com/0j6vZbECadDEXdAS/arcgis/rest/services/GEDI_Footprint_1_trees/FeatureServer/0/53/attachments/46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&amp;s=841895</t>
  </si>
  <si>
    <t>2026_06_18 23:05:35</t>
  </si>
  <si>
    <t>no dbh / multi-stem, 10 stems</t>
  </si>
  <si>
    <t>https://firebasestorage.googleapis.com/v0/b/wt-foundation-production.appspot.com/o/measurements%2FMeasureMethod.ADM_FIXED_PCT%2FdbhPhoto%2F1781838538562?alt=media&amp;token=3153aa8d-0de8-4841-a3ae-87ba6492d062</t>
  </si>
  <si>
    <t>https://firebasestorage.googleapis.com/v0/b/wt-foundation-production.appspot.com/o/measurements%2FMeasureMethod.ADM_FIXED_PCT%2FheightPhoto%2F1781838538168?alt=media&amp;token=af84cc52-a2a8-42c1-b923-386aed874b6e</t>
  </si>
  <si>
    <t>wgRgENaFWZDDNnb4Xl7i</t>
  </si>
  <si>
    <t>https://services1.arcgis.com/0j6vZbECadDEXdAS/arcgis/rest/services/GEDI_Footprint_1_trees/FeatureServer/0/54/attachments/47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&amp;s=865712</t>
  </si>
  <si>
    <t>2026_06_18 23:12:41</t>
  </si>
  <si>
    <t>cedrus libani ssp. atlantica ‘pendula’</t>
  </si>
  <si>
    <t>https://firebasestorage.googleapis.com/v0/b/wt-foundation-production.appspot.com/o/measurements%2FMeasureMethod.ADM_FIXED_PCT%2FdbhPhoto%2F1781838544256?alt=media&amp;token=08517458-fdf3-4a5c-8ae4-81e682133067</t>
  </si>
  <si>
    <t>https://firebasestorage.googleapis.com/v0/b/wt-foundation-production.appspot.com/o/measurements%2FMeasureMethod.ADM_FIXED_PCT%2FheightPhoto%2F1781838541191?alt=media&amp;token=27ef3407-41fb-48bf-a6b4-9047f19163a9</t>
  </si>
  <si>
    <t>dvCjIySCYWwK9Ez9izJE</t>
  </si>
  <si>
    <t>2026_06_18 23:51:45</t>
  </si>
  <si>
    <t>palm</t>
  </si>
  <si>
    <t>canary island date palm</t>
  </si>
  <si>
    <t>Phoenix canariensis</t>
  </si>
  <si>
    <t>https://firebasestorage.googleapis.com/v0/b/wt-foundation-production.appspot.com/o/measurements%2FMeasureMethod.ADM_FIXED_PCT%2FdbhPhoto%2F1781838567861?alt=media&amp;token=881f2412-ca18-43e9-a614-75de5a01e47c</t>
  </si>
  <si>
    <t>https://firebasestorage.googleapis.com/v0/b/wt-foundation-production.appspot.com/o/measurements%2FMeasureMethod.ADM_FIXED_PCT%2FheightPhoto%2F1781838565854?alt=media&amp;token=171a0a08-df4b-4038-8a33-a1388f1287ce</t>
  </si>
  <si>
    <t>x1teVz8cGNwN2AAC1N4u</t>
  </si>
  <si>
    <t>https://services1.arcgis.com/0j6vZbECadDEXdAS/arcgis/rest/services/GEDI_Footprint_1_trees/FeatureServer/0/108/attachments/37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</t>
  </si>
  <si>
    <t>Y</t>
  </si>
  <si>
    <t>no DBH / multi-stem, 14 stems</t>
  </si>
  <si>
    <t>elfin king strawberry tree</t>
  </si>
  <si>
    <t>https://services1.arcgis.com/0j6vZbECadDEXdAS/arcgis/rest/services/GEDI_Footprint_1_trees/FeatureServer/0/55/attachments/1?token=arWipgykShC9z9IYhMlwNeg..uPPHcQXCQLbYhDIHMKA_AsmeNe6NpRWqtabULTKVxATw6PJgB8KFJrLSVddeQVaPKPlFgo9-AII1azyMzoNrojIPnPrl8OOzBoC7zxzJxRK3Fbw8Cgq2zDfjlNIIGFeSqiUcTbtyZXdIVPL3akV5TCdsOnuEJ9VJ6NZAZ95pxVmkFAF4PZ3nsHukYnbNcA0OU1dSeoW5eGxTDkw-3kspG3SK4fmdZYCSkHsuT4sF0rVXtUnm7wc30ZmlWOgctboDvItiOVOBlBFzS88k9J_fZDzxBBBPP-I0OuK8oRZNhg4HEUbyqVpH39R6hBTGcaXbIEEPGiNLwHx6y8AJEvwi&amp;s=818684</t>
  </si>
  <si>
    <t>unk. species</t>
  </si>
  <si>
    <t>holm oak</t>
  </si>
  <si>
    <t>Quercus ilex</t>
  </si>
  <si>
    <t>4_6</t>
  </si>
  <si>
    <t>no dbh / multi-stem, 8 stems</t>
  </si>
  <si>
    <t>2026_06_18 23:29:47</t>
  </si>
  <si>
    <t>no dbh / multi-stem</t>
  </si>
  <si>
    <t>looking more like a shrub too many stems to even try to measure, largest stem measured</t>
  </si>
  <si>
    <t>Quercus agrofolia</t>
  </si>
  <si>
    <t>https://firebasestorage.googleapis.com/v0/b/wt-foundation-production.appspot.com/o/measurements%2FMeasureMethod.ADM_FIXED_PCT%2FdbhPhoto%2F1781838557324?alt=media&amp;token=be1e612f-f6fd-419a-aa53-7a87bc011735</t>
  </si>
  <si>
    <t>https://firebasestorage.googleapis.com/v0/b/wt-foundation-production.appspot.com/o/measurements%2FMeasureMethod.ADM_FIXED_PCT%2FheightPhoto%2F1781838554938?alt=media&amp;token=8eaa41c6-84d1-4db1-a661-cb0acab52bba</t>
  </si>
  <si>
    <t>vdMr23ssWNzZ48kHX7Yy</t>
  </si>
  <si>
    <t>2026_06_18 23:43:47</t>
  </si>
  <si>
    <t>Way too many stems and inaccessible due to surrounding shrubbery and bees</t>
  </si>
  <si>
    <t>CHASTE TREE</t>
  </si>
  <si>
    <t>Vitex agnus-castus</t>
  </si>
  <si>
    <t>https://firebasestorage.googleapis.com/v0/b/wt-foundation-production.appspot.com/o/measurements%2FMeasureMethod.ADM_FIXED_PCT%2FdbhPhoto%2F1781838559751?alt=media&amp;token=a4171be9-e169-4a00-aeff-fc41a33a4d44</t>
  </si>
  <si>
    <t>https://firebasestorage.googleapis.com/v0/b/wt-foundation-production.appspot.com/o/measurements%2FMeasureMethod.ADM_FIXED_PCT%2FheightPhoto%2F1781838558640?alt=media&amp;token=38a30a88-4177-4e5d-9a42-f4f6a42f7869</t>
  </si>
  <si>
    <t>LAQ2l5KPrHqrNVhcPrDm</t>
  </si>
  <si>
    <t>no dbh / multi-stem, 17 stems</t>
  </si>
  <si>
    <t>2026_06_18 23:18:34</t>
  </si>
  <si>
    <t>meaured stem well below dbh</t>
  </si>
  <si>
    <t>oak</t>
  </si>
  <si>
    <t>quercus agrofolia</t>
  </si>
  <si>
    <t>https://firebasestorage.googleapis.com/v0/b/wt-foundation-production.appspot.com/o/measurements%2FMeasureMethod.ADM_FIXED_PCT%2FdbhPhoto%2F1781838548751?alt=media&amp;token=4c306765-8331-4e71-830a-cc95919dde39</t>
  </si>
  <si>
    <t>https://firebasestorage.googleapis.com/v0/b/wt-foundation-production.appspot.com/o/measurements%2FMeasureMethod.ADM_FIXED_PCT%2FheightPhoto%2F1781838546591?alt=media&amp;token=6ee48ded-72eb-4486-ae08-06b0a926aa4a</t>
  </si>
  <si>
    <t>eV8qd4cCm1pykimTrea6</t>
  </si>
  <si>
    <t>no dbh / multi-stem, 5</t>
  </si>
  <si>
    <t xml:space="preserve">quercus frainetto </t>
  </si>
  <si>
    <t xml:space="preserve">island live oak </t>
  </si>
  <si>
    <t>quercus tomentella</t>
  </si>
  <si>
    <t>catalina fernleaf ironwood</t>
  </si>
  <si>
    <t>lyonothamnus floribundus asplenifolius</t>
  </si>
  <si>
    <t>lemonadeberry</t>
  </si>
  <si>
    <t>Rhus integrifolia</t>
  </si>
  <si>
    <t>no dbh / multi-stem, 7 stems</t>
  </si>
  <si>
    <t>Santa Catalina Island Mountain mahogany</t>
  </si>
  <si>
    <t>cerocarpus trakiae</t>
  </si>
  <si>
    <t xml:space="preserve"> california coffeeberry / california buckthorn</t>
  </si>
  <si>
    <t>Frangula californica</t>
  </si>
  <si>
    <t>no dbh / multi-stem, 9</t>
  </si>
  <si>
    <t>burgundy lace desert willow</t>
  </si>
  <si>
    <t>Chilopsis linearis 'Burgundy Lace'</t>
  </si>
  <si>
    <t>no dbh / multi-stem, 6</t>
  </si>
  <si>
    <t>no dbh / multi-stem, no WT or GT data, 15</t>
  </si>
  <si>
    <t>no dbh / multi-stem,  no GT data</t>
  </si>
  <si>
    <t>dbh measured</t>
  </si>
  <si>
    <t>GT DBH</t>
  </si>
  <si>
    <t xml:space="preserve">WT DBH </t>
  </si>
  <si>
    <t>wt - gt</t>
  </si>
  <si>
    <t>need stem measurements</t>
  </si>
  <si>
    <t>+ 10 from 4, +1 from 6, +check other plots</t>
  </si>
  <si>
    <t>All DBH RMSE (cm)</t>
  </si>
  <si>
    <t>total trees measured</t>
  </si>
  <si>
    <t>All DBH Mean Error (cm)</t>
  </si>
  <si>
    <t>need coords.</t>
  </si>
  <si>
    <t>All DBH MAE (cm)</t>
  </si>
  <si>
    <t xml:space="preserve">needs species </t>
  </si>
  <si>
    <t>15 (4 from 5/29)</t>
  </si>
  <si>
    <t xml:space="preserve">missing                        22  =  </t>
  </si>
  <si>
    <t>11 (from 5/29) + 10 from 4, + 1 from 6 + need to check other plot</t>
  </si>
  <si>
    <t>Spec.</t>
  </si>
  <si>
    <t>Tree</t>
  </si>
  <si>
    <t>Stem</t>
  </si>
  <si>
    <t>Tree Num</t>
  </si>
  <si>
    <t>Sci. Species Name</t>
  </si>
  <si>
    <t>WT DBH (m)</t>
  </si>
  <si>
    <t>WT Height</t>
  </si>
  <si>
    <t>GT Height</t>
  </si>
  <si>
    <t>Allo. Eqn. Source / Density</t>
  </si>
  <si>
    <t>Allo Eqn. Code / Type</t>
  </si>
  <si>
    <t>SpSp? Species Specific? (Y/N)</t>
  </si>
  <si>
    <t>Allometric Equation</t>
  </si>
  <si>
    <t>DW Density</t>
  </si>
  <si>
    <t xml:space="preserve">SpSpDW? </t>
  </si>
  <si>
    <t>Manual Biomass</t>
  </si>
  <si>
    <t>WT Biomass</t>
  </si>
  <si>
    <t>Notes</t>
  </si>
  <si>
    <t>Manual Bio. Tot.</t>
  </si>
  <si>
    <t>WT Bio. Tot.</t>
  </si>
  <si>
    <t>Total Number of Trees</t>
  </si>
  <si>
    <t>Total Spec</t>
  </si>
  <si>
    <t>McPherson et al. 2016</t>
  </si>
  <si>
    <t>UGEB (urban general broadleaf)</t>
  </si>
  <si>
    <t>N</t>
  </si>
  <si>
    <t>0.0001967 × dbhcm^1.951853 × htm^0.664255</t>
  </si>
  <si>
    <t>MEQU</t>
  </si>
  <si>
    <t>EXP(-1.83+2.01 × LN(dbhcm)</t>
  </si>
  <si>
    <t>** check the sources for each DW density is referenced properly</t>
  </si>
  <si>
    <t xml:space="preserve">** check the equations pulled from globallometree for </t>
  </si>
  <si>
    <t>Gen Trop Chave et al. 2005 / GWDD (Erythrina lysistemon)</t>
  </si>
  <si>
    <t>GNTRC</t>
  </si>
  <si>
    <t>0.112 * ((dw density/1000) * dbhcm^2 * htm)^0.916</t>
  </si>
  <si>
    <t>Jenkins et al. 2004</t>
  </si>
  <si>
    <t>CL (general softwood cedar/larch)</t>
  </si>
  <si>
    <t>EXP(-2.0336+2.2592 × LN(dbhcm))</t>
  </si>
  <si>
    <t>with foliage ratio</t>
  </si>
  <si>
    <t>big ass redwood, with foliage ratio</t>
  </si>
  <si>
    <t>dfdf</t>
  </si>
  <si>
    <t>Paul et al. 2013</t>
  </si>
  <si>
    <t>Generic Acacia tree (</t>
  </si>
  <si>
    <t>ln(y) = a' + b * ln(x) + e'</t>
  </si>
  <si>
    <t>used general equation</t>
  </si>
  <si>
    <t>Chave et al. 2014</t>
  </si>
  <si>
    <t>AGB=0.0673(ρD2H)0.976</t>
  </si>
  <si>
    <t>GEDI Biomass</t>
  </si>
  <si>
    <t>gedi l4a quality flag</t>
  </si>
  <si>
    <t>code labels</t>
  </si>
  <si>
    <t>true label</t>
  </si>
  <si>
    <t>n_trees</t>
  </si>
  <si>
    <t>n_coord_within</t>
  </si>
  <si>
    <t>ITS 2.5m</t>
  </si>
  <si>
    <t>ITS 3m</t>
  </si>
  <si>
    <t>outlier / cannot determine species, no data</t>
  </si>
  <si>
    <t>GNP</t>
  </si>
  <si>
    <t xml:space="preserve">to 17 m ht =(6 × htm+0.8)+(0.8 × htm+0.9 </t>
  </si>
  <si>
    <t>&lt; 17 m height</t>
  </si>
  <si>
    <t>approx. based gen palm eqn and overall height, 21 stems</t>
  </si>
  <si>
    <t>no dbh data on the pgymy date palms, 4 stem</t>
  </si>
  <si>
    <t>this redwood tree is an outlier to the main circle</t>
  </si>
  <si>
    <t>QUAG</t>
  </si>
  <si>
    <t>20 to 140 =0.0000447 × (dbhcm)^2.31958 × (htm)^0.62528</t>
  </si>
  <si>
    <t>Chojnacky et al. 2014</t>
  </si>
  <si>
    <t>Hardwood Fagaceae, evergreen</t>
  </si>
  <si>
    <t>Hardwood Fagaceae, evergreen 0.58 22.2198 2.4410 54 7 dbh 3–66 0.84</t>
  </si>
  <si>
    <t>MO (hard maple / oak / hickory / beech)</t>
  </si>
  <si>
    <t>Hard maple/oak/ -2.0127 2.4342 485 73 0.236483 0.988 hickory/ beec</t>
  </si>
  <si>
    <t>-</t>
  </si>
  <si>
    <t>MH (mixed hardwood)</t>
  </si>
  <si>
    <t>Mixed hardwood -2.4800 2.4835 289 56 0.360458 0.980</t>
  </si>
  <si>
    <t>outlier, no dbh data and no WT data, 10 stems</t>
  </si>
  <si>
    <t>GNSWCL</t>
  </si>
  <si>
    <t>3 to 61 =EXP(-2.0336+2.2592 × LN(dbhcm))-EXP(-2.9584+4.4766/dbhcm)</t>
  </si>
  <si>
    <t>from Jenkins, minus foliage ratio</t>
  </si>
  <si>
    <t>Courbet, F. 1991. Tarif de cubage à deux entrées pour le Cèdre de l'Atlas (Cedrus atlantica Manetti) en France. Revue Forestière Française XLIII-3: 215-226.</t>
  </si>
  <si>
    <t>Cedrus atlantica</t>
  </si>
  <si>
    <t>"-0.0174+0.3786521*(@DBH)-0.04049701*(@DBH)*(@H)+0.25817336*(@DBH)^2*(@H)+0.0029171359*(@DBH)*(@H)^2"</t>
  </si>
  <si>
    <t>from globallometree, may need to just use general cedar allometric equation</t>
  </si>
  <si>
    <t>UGEC</t>
  </si>
  <si>
    <t>16 to 147 =0.0000426 × dbhcm^2.24358 × htm^0.64956</t>
  </si>
  <si>
    <t>Hoover and Smith 2016 / Chojnacky et al. 2014</t>
  </si>
  <si>
    <t>Cupr; HiSG</t>
  </si>
  <si>
    <t>ln(biomass) = b0 + b1 ln(diameter),  Cupressaceae ≥ 0.40 spg, median specific gravity 0.43, B0 = -2.6327, B1 = 2.4757, no. of psuedodata 55, no. of equations 6, diameter type and range (cm), dbh 3–109, R^2 statistic 0.76</t>
  </si>
  <si>
    <t>no WT data</t>
  </si>
  <si>
    <t>6 to 147 =0.0000426 × dbhcm^2.24358 × htm^0.64956</t>
  </si>
  <si>
    <t>7 to 147 =0.0000426 × dbhcm^2.24358 × htm^0.64956</t>
  </si>
  <si>
    <t>8 to 147 =0.0000426 × dbhcm^2.24358 × htm^0.64956</t>
  </si>
  <si>
    <t>9 to 147 =0.0000426 × dbhcm^2.24358 × htm^0.64956</t>
  </si>
  <si>
    <t>10 to 147 =0.0000426 × dbhcm^2.24358 × htm^0.64956</t>
  </si>
  <si>
    <t>Gómez, J. 2008. Determinación de los almacenes de carbono en los compartimentos aèreo y subterràneo de dos tios de vegetación en la reserva de la bósfera"Sierra de Huatla", Morelos, México. Tesis Doctoral . Colegio de Postgraduados. México. 194p.</t>
  </si>
  <si>
    <t>Euphorbia schlechtendalii</t>
  </si>
  <si>
    <t>(Exp(-3.101)*(DBHcm)^2.333)</t>
  </si>
  <si>
    <t>Brandini, P. and Tabacchi, G. 1996. Biomass and volume equations for holm oak and straberry-tree in coppice stands of Southern Sardinia. ISAFA Communicazioni di Ricerca : (96) 59-69</t>
  </si>
  <si>
    <t>ARUN</t>
  </si>
  <si>
    <t>6 to 15 cm Biomass=-2.7563+0.3045*(DBH)^2</t>
  </si>
  <si>
    <t>severe lack of data, could also use Cor/Eri/Lau/Etc equation from Chojnacky</t>
  </si>
  <si>
    <t>Cor/Eri/Lau/Etc</t>
  </si>
  <si>
    <t>Median specific gravity: 0.47, b0: -2.2118, b1: 2.4133, No. of pseudodata: 231, No. of equations: 46, Diameter: DBH, Diameter range: 3–64 cm, R²: 0.79</t>
  </si>
  <si>
    <t>5 stems, lack of data</t>
  </si>
  <si>
    <t>10 stems, lack of data</t>
  </si>
  <si>
    <t xml:space="preserve">too small a tree </t>
  </si>
  <si>
    <t>PRACM / GNP</t>
  </si>
  <si>
    <t>to 17 m ht =(6 × htm+0.8)+(0.8 × htm+0.9)</t>
  </si>
  <si>
    <t>14 stems, lack of data</t>
  </si>
  <si>
    <t>QUIL2</t>
  </si>
  <si>
    <t>13 to 52 =0.0000789 × dbhcm^1.82158 × htm^1.06269</t>
  </si>
  <si>
    <t>8 stems, lack of data</t>
  </si>
  <si>
    <t>used general equation, too many bees, no stem count or DBH data</t>
  </si>
  <si>
    <t>17 stems, lack of data</t>
  </si>
  <si>
    <t>measured stem well below dbh</t>
  </si>
  <si>
    <t>UGEB</t>
  </si>
  <si>
    <t xml:space="preserve">6 to 135 =0.0001967 × dbhcm^1.951853 × htm^0.664255 </t>
  </si>
  <si>
    <t>Feyisa, K., Beyene, S., Megersa, B., Said, M. &amp; Angassa, A. 2016. Allometric equations for predicting above-ground biomass of selected woody species to estimate carbon in East African rangelands. Agroforestry Systems. pp.1-23.</t>
  </si>
  <si>
    <t xml:space="preserve">Rhus natalensis </t>
  </si>
  <si>
    <t>2.083+(0.396*log(H))</t>
  </si>
  <si>
    <t>Li, X., Guo, Q., et al. (2010). "Allometry of Understory Tree Species in a Natural Secondary Forest in Northeast China." Scientia Silvae Sincae 46(8): 22-32</t>
  </si>
  <si>
    <t>Rhamnus Yoshinoi</t>
  </si>
  <si>
    <t>biomass (g) = 0.169 * (D10^2.555) * 1.014</t>
  </si>
  <si>
    <t>GNHDV</t>
  </si>
  <si>
    <t>2 to 32 =EXP(-1.103+1.994 × LN(dbhcm)+0.317 × LN(htm)+1.303 ×LN(dwdensity/1000)</t>
  </si>
  <si>
    <t>9 stems</t>
  </si>
  <si>
    <t>6 stems</t>
  </si>
  <si>
    <t>15 stems, outlier?</t>
  </si>
  <si>
    <t>too many bees to get a stem count</t>
  </si>
  <si>
    <t>Faga; Decid</t>
  </si>
  <si>
    <t>RMSE represents the typical magnitude of the error between WT App measurements and the reference measurements based on the fitted linear regression model.</t>
  </si>
  <si>
    <t>Filtered Manual Biomass</t>
  </si>
  <si>
    <t>Filtered WT Biomass</t>
  </si>
  <si>
    <t>Height RMSE (m)</t>
  </si>
  <si>
    <t>Equiv. DBH RMSE (cm)</t>
  </si>
  <si>
    <t>WT H - GT Height</t>
  </si>
  <si>
    <t>WT DBH - GT DBH</t>
  </si>
  <si>
    <t>WT bio - M Bio</t>
  </si>
  <si>
    <t xml:space="preserve">All </t>
  </si>
  <si>
    <t>Height Mean Error (m)</t>
  </si>
  <si>
    <t>Equiv. DBH Mean Error (cm)</t>
  </si>
  <si>
    <t>Height MAE (m)</t>
  </si>
  <si>
    <t>Equiv. DBH MAE (cm)</t>
  </si>
  <si>
    <t>RMSE</t>
  </si>
  <si>
    <t xml:space="preserve">typical magnitude of the error between the WT App and manual </t>
  </si>
  <si>
    <t>Mean Error</t>
  </si>
  <si>
    <t>average signed error between the WT App and manual. (+ = overestimate, - = underestimate)</t>
  </si>
  <si>
    <t>MAE</t>
  </si>
  <si>
    <t>average absolute difference between the WT App and manual</t>
  </si>
  <si>
    <t>Biomass RMSE (kg)</t>
  </si>
  <si>
    <t>Biomass Mean Error (kg)</t>
  </si>
  <si>
    <t>Biomass MAE (kg)</t>
  </si>
  <si>
    <t>Biomass Total Underestimation (kg)</t>
  </si>
  <si>
    <t>date</t>
  </si>
  <si>
    <t>dbh_m</t>
  </si>
  <si>
    <t>height</t>
  </si>
  <si>
    <t>ground_truth_dbh_m</t>
  </si>
  <si>
    <t>ground_truth_ht_m</t>
  </si>
  <si>
    <t>ht_at_dbh_m</t>
  </si>
  <si>
    <t>species</t>
  </si>
  <si>
    <t>2026_06_17 22:57:53</t>
  </si>
  <si>
    <t>10 stems</t>
  </si>
  <si>
    <t>common chokecherry</t>
  </si>
  <si>
    <t>https://firebasestorage.googleapis.com/v0/b/wt-foundation-production.appspot.com/o/measurements%2FMeasureMethod.ADM_FIXED_PCT%2FdbhPhoto%2F1781838082338?alt=media&amp;token=3547d840-084a-4ba2-b9db-781b3ad9c9eb</t>
  </si>
  <si>
    <t>https://firebasestorage.googleapis.com/v0/b/wt-foundation-production.appspot.com/o/measurements%2FMeasureMethod.ADM_FIXED_PCT%2FheightPhoto%2F1781838081660?alt=media&amp;token=7037bd40-d81c-4d3d-aa87-d19f1479ddd3</t>
  </si>
  <si>
    <t>uzKO3A25birwI22rpmeN</t>
  </si>
  <si>
    <t>euphorbuia</t>
  </si>
  <si>
    <t>EU2</t>
  </si>
  <si>
    <t>2026_06_18 22:48:34</t>
  </si>
  <si>
    <t>ADM</t>
  </si>
  <si>
    <t>stem 5 take 2</t>
  </si>
  <si>
    <t>https://firebasestorage.googleapis.com/v0/b/wt-foundation-production.appspot.com/o/measurements%2FMeasureMethod.ADM%2FdbhPhoto%2F1781838524495?alt=media&amp;token=0810b57d-edc9-484c-94f6-7c250192d057</t>
  </si>
  <si>
    <t>https://firebasestorage.googleapis.com/v0/b/wt-foundation-production.appspot.com/o/measurements%2FMeasureMethod.ADM%2FheightPhoto%2F1781838340756?alt=media&amp;token=ba533fce-48db-4463-aeca-632cd1bcf6f8</t>
  </si>
  <si>
    <t>GMLACiBhTRYBt4cLCNme</t>
  </si>
  <si>
    <t>tree 2 unk stem 1 measured at 0.88
5 stems</t>
  </si>
  <si>
    <t>unk tree 3 same as previous 2 species unknown
around 10 stems</t>
  </si>
  <si>
    <t>2026_06_18 23:23:55</t>
  </si>
  <si>
    <t>many stems</t>
  </si>
  <si>
    <t>https://firebasestorage.googleapis.com/v0/b/wt-foundation-production.appspot.com/o/measurements%2FMeasureMethod.ADM_FIXED_PCT%2FdbhPhoto%2F1781838553606?alt=media&amp;token=a242841f-7db8-4eb4-9268-99be89e80af4</t>
  </si>
  <si>
    <t>https://firebasestorage.googleapis.com/v0/b/wt-foundation-production.appspot.com/o/measurements%2FMeasureMethod.ADM_FIXED_PCT%2FheightPhoto%2F1781838551097?alt=media&amp;token=cf4ac040-c9b5-4740-9c24-4dd6e4d4d2f4</t>
  </si>
  <si>
    <t>cxqw5k9S7RKGqSc5x0iQ</t>
  </si>
  <si>
    <t>ignore dbh meristwood</t>
  </si>
  <si>
    <t>2026_06_18 23:45:57</t>
  </si>
  <si>
    <t>ignore dbh, elfin strawberry</t>
  </si>
  <si>
    <t>https://firebasestorage.googleapis.com/v0/b/wt-foundation-production.appspot.com/o/measurements%2FMeasureMethod.ADM_FIXED_PCT%2FdbhPhoto%2F1781838563839?alt=media&amp;token=f27d4907-98cc-4503-ae2f-a0195e7a3d4e</t>
  </si>
  <si>
    <t>https://firebasestorage.googleapis.com/v0/b/wt-foundation-production.appspot.com/o/measurements%2FMeasureMethod.ADM_FIXED_PCT%2FheightPhoto%2F1781838561610?alt=media&amp;token=3397251e-4a72-424e-81e7-cdb5f49c8c7a</t>
  </si>
  <si>
    <t>OrqiwQp7EJkyCRbV5DL3</t>
  </si>
  <si>
    <t>tree 1
stem 2</t>
  </si>
  <si>
    <t>tree 1
stem 3</t>
  </si>
  <si>
    <t>tree 1
stem 4</t>
  </si>
  <si>
    <t>tree 1
stem 5</t>
  </si>
  <si>
    <t>tree 2
1 stem</t>
  </si>
  <si>
    <t>tree 3
stem 1</t>
  </si>
  <si>
    <t>tree 3
stem 2</t>
  </si>
  <si>
    <t>tree 3
stem 3</t>
  </si>
  <si>
    <t>tree 4
1 stem</t>
  </si>
  <si>
    <t>2026_05_29 19:23:30</t>
  </si>
  <si>
    <t>DISCARD</t>
  </si>
  <si>
    <t>https://firebasestorage.googleapis.com/v0/b/wt-foundation-production.appspot.com/o/measurements%2FMeasureMethod.ADM_FIXED_PCT%2FdbhPhoto%2F1781723884365?alt=media&amp;token=36966c53-2a00-473c-8a98-2e733464dde7</t>
  </si>
  <si>
    <t>https://firebasestorage.googleapis.com/v0/b/wt-foundation-production.appspot.com/o/measurements%2FMeasureMethod.ADM_FIXED_PCT%2FheightPhoto%2F1781723883863?alt=media&amp;token=0b116bda-c65c-44a8-877b-cd982c859978</t>
  </si>
  <si>
    <t>twy2tsU0ur4b2ebWvIIq</t>
  </si>
  <si>
    <t>tree 5
1 stem</t>
  </si>
  <si>
    <t>tree 6
stem 1</t>
  </si>
  <si>
    <t>tree 6
stem 2</t>
  </si>
  <si>
    <t>tree 7
1 stem
visually looks closer to 11, based on surrounding trees</t>
  </si>
  <si>
    <t>punk tree</t>
  </si>
  <si>
    <t>tree 8
1 stem</t>
  </si>
  <si>
    <t>tree 9
1 stem</t>
  </si>
  <si>
    <t>2026_05_29 20:01:43</t>
  </si>
  <si>
    <t>https://firebasestorage.googleapis.com/v0/b/wt-foundation-production.appspot.com/o/measurements%2FMeasureMethod.ADM_FIXED_PCT%2FdbhPhoto%2F1781723897525?alt=media&amp;token=44e47f81-cf73-4c0c-b1de-c38a954fac90</t>
  </si>
  <si>
    <t>https://firebasestorage.googleapis.com/v0/b/wt-foundation-production.appspot.com/o/measurements%2FMeasureMethod.ADM_FIXED_PCT%2FheightPhoto%2F1781723896529?alt=media&amp;token=c4883366-75ae-4ec1-90fa-2417cc3945bd</t>
  </si>
  <si>
    <t>zv0QrtD7hCtOguDFFHfC</t>
  </si>
  <si>
    <t>tree 10
1stem</t>
  </si>
  <si>
    <t>tree 11
stem 1</t>
  </si>
  <si>
    <t xml:space="preserve">skinny tree </t>
  </si>
  <si>
    <t>https://firebasestorage.googleapis.com/v0/b/wt-foundation-production.appspot.com/o/measurements%2FMeasureMethod.ADM_FIXED_PCT%2FdbhPhoto%2F1773772855895?alt=media&amp;token=98707662-89bd-4b4f-a56f-021cbe528778</t>
  </si>
  <si>
    <t>DBH (in)</t>
  </si>
  <si>
    <t>Tree Plotter</t>
  </si>
  <si>
    <t>ground truth</t>
  </si>
  <si>
    <t>phone</t>
  </si>
  <si>
    <t>fid</t>
  </si>
  <si>
    <t>Code</t>
  </si>
  <si>
    <t>Common Name</t>
  </si>
  <si>
    <t>Condition</t>
  </si>
  <si>
    <t>Date Added</t>
  </si>
  <si>
    <t>DBH Range</t>
  </si>
  <si>
    <t>Family</t>
  </si>
  <si>
    <t>Genus</t>
  </si>
  <si>
    <t>Geometry</t>
  </si>
  <si>
    <t>Growing Space</t>
  </si>
  <si>
    <t>Has Ecobenefits</t>
  </si>
  <si>
    <t>Last Modified</t>
  </si>
  <si>
    <t>Latin Name</t>
  </si>
  <si>
    <t>Latitude</t>
  </si>
  <si>
    <t>Longitude</t>
  </si>
  <si>
    <t>Organization</t>
  </si>
  <si>
    <t>Primary ID</t>
  </si>
  <si>
    <t>Status</t>
  </si>
  <si>
    <t>Tree Comments</t>
  </si>
  <si>
    <t>University Tree ID</t>
  </si>
  <si>
    <t>User</t>
  </si>
  <si>
    <t>Watch This Tree?</t>
  </si>
  <si>
    <t>garden_within</t>
  </si>
  <si>
    <t>ACSP2</t>
  </si>
  <si>
    <t>Acacia</t>
  </si>
  <si>
    <t>6-12in</t>
  </si>
  <si>
    <t>Fabaceae</t>
  </si>
  <si>
    <t>0101000020110F0000A4E0F015AA9E69C1C7E45735950B5041</t>
  </si>
  <si>
    <t>Acacia spp</t>
  </si>
  <si>
    <t>Cal Poly</t>
  </si>
  <si>
    <t>Alive</t>
  </si>
  <si>
    <t>OliviaR</t>
  </si>
  <si>
    <t>australian garden</t>
  </si>
  <si>
    <t>EUGU</t>
  </si>
  <si>
    <t>Cicer gum eucalyptus</t>
  </si>
  <si>
    <t>3-6in</t>
  </si>
  <si>
    <t>Myrtaceae</t>
  </si>
  <si>
    <t>Eucalyptus</t>
  </si>
  <si>
    <t>0101000020110F0000E76787C7A89E69C18DEAFF189A0B5041</t>
  </si>
  <si>
    <t>Eucalyptus gunnii</t>
  </si>
  <si>
    <t>CACI</t>
  </si>
  <si>
    <t>Lemon bottlebrush</t>
  </si>
  <si>
    <t>Callistemon</t>
  </si>
  <si>
    <t>0101000020110F0000F482A584A89E69C180CFE15B9A0B5041</t>
  </si>
  <si>
    <t>Callistemon citrinus</t>
  </si>
  <si>
    <t>MEST</t>
  </si>
  <si>
    <t>Melaleuca</t>
  </si>
  <si>
    <t>Fair - Minor Problems</t>
  </si>
  <si>
    <t>0101000020110F00006891405EA79E69C1A3F873C89F0B5041</t>
  </si>
  <si>
    <t>Melaleuca styphelioides</t>
  </si>
  <si>
    <t>Quinquenervia</t>
  </si>
  <si>
    <t>WyattG</t>
  </si>
  <si>
    <t>EU1</t>
  </si>
  <si>
    <t>Gum</t>
  </si>
  <si>
    <t>0101000020110F0000D8DEB71AAA9E69C191C898E59C0B5041</t>
  </si>
  <si>
    <t>Eucalyptus spp</t>
  </si>
  <si>
    <t>0101000020110F000029F2F1EAA99E69C1D6C0B4F89C0B5041</t>
  </si>
  <si>
    <t>LE14</t>
  </si>
  <si>
    <t>Teatree</t>
  </si>
  <si>
    <t>0-3in</t>
  </si>
  <si>
    <t>Leptospermum</t>
  </si>
  <si>
    <t>0101000020110F00001AF42AE6A99E69C1F1F6F0729C0B5041</t>
  </si>
  <si>
    <t>Leptospermum  spp</t>
  </si>
  <si>
    <t>18-24in</t>
  </si>
  <si>
    <t>0101000020110F0000D4737DF6A69E69C13A0827519F0B5041</t>
  </si>
  <si>
    <t>0101000020110F0000801E7165B09E69C125379FC5960B5041</t>
  </si>
  <si>
    <t>MonicaL</t>
  </si>
  <si>
    <t>0101000020110F0000ACE1F190A99E69C13BDE5A85A10B5041</t>
  </si>
  <si>
    <t>0101000020110F000039400286A99E69C1D7C7AA8C9B0B5041</t>
  </si>
  <si>
    <t>ForrestW</t>
  </si>
  <si>
    <t>ACME</t>
  </si>
  <si>
    <t>Black acacia</t>
  </si>
  <si>
    <t>0101000020110F000012271DC4A99E69C138F6021A9B0B5041</t>
  </si>
  <si>
    <t>Acacia melanoxylon</t>
  </si>
  <si>
    <t>FRCA6</t>
  </si>
  <si>
    <t>California flannelbush</t>
  </si>
  <si>
    <t>12-18in</t>
  </si>
  <si>
    <t>Malvaceae</t>
  </si>
  <si>
    <t>Fremontodendron</t>
  </si>
  <si>
    <t>0101000020110F0000E99CAF92AD9E69C12AA372F5960B5041</t>
  </si>
  <si>
    <t>Fremontodendron californicum</t>
  </si>
  <si>
    <t>EUMA</t>
  </si>
  <si>
    <t>Bluebush</t>
  </si>
  <si>
    <t>0101000020110F000047E8065DAB9E69C1284A97299A0B5041</t>
  </si>
  <si>
    <t>Eucalyptus macrocarpa</t>
  </si>
  <si>
    <t>MEAR</t>
  </si>
  <si>
    <t>Drooping melaleuca</t>
  </si>
  <si>
    <t>24-30in</t>
  </si>
  <si>
    <t>0101000020110F0000EADC7A83AE9E69C1F13AC714950B5041</t>
  </si>
  <si>
    <t>Melaleuca armillaris</t>
  </si>
  <si>
    <t>0101000020110F00005282495FAD9E69C1F6D122029A0B5041</t>
  </si>
  <si>
    <t>ReginaP</t>
  </si>
  <si>
    <t>EUCA</t>
  </si>
  <si>
    <t>Redgum</t>
  </si>
  <si>
    <t>0101000020110F0000E5F9D13BAE9E69C155DAA403960B5041</t>
  </si>
  <si>
    <t>Eucalyptus calophylla</t>
  </si>
  <si>
    <t>0101000020110F000010BCB1D4AE9E69C11C1960E1970B5041</t>
  </si>
  <si>
    <t>CAVI</t>
  </si>
  <si>
    <t>Weeping bottlebrush</t>
  </si>
  <si>
    <t>0101000020110F0000DD68CFC9AB9E69C1E1F260C69B0B5041</t>
  </si>
  <si>
    <t>CEDE</t>
  </si>
  <si>
    <t>Deodar Cedar</t>
  </si>
  <si>
    <t>&gt;30in</t>
  </si>
  <si>
    <t>Pinaceae</t>
  </si>
  <si>
    <t>Cedrus</t>
  </si>
  <si>
    <t>0101000020110F000008843C5FAF9E69C176D6320D960B5041</t>
  </si>
  <si>
    <t>0101000020110F000003A19317AF9E69C1D2AFBE6C960B5041</t>
  </si>
  <si>
    <t>GRRO</t>
  </si>
  <si>
    <t>Silk oak</t>
  </si>
  <si>
    <t>Proteaceae</t>
  </si>
  <si>
    <t>Grevillea</t>
  </si>
  <si>
    <t>0101000020110F0000775B8FC3AF9E69C12036BAA7920B5041</t>
  </si>
  <si>
    <t>Grevillea robusta</t>
  </si>
  <si>
    <t>0101000020110F0000F14D00E5AF9E69C19D0BD410930B5041</t>
  </si>
  <si>
    <t>0101000020110F00006B407106B09E69C1131B9CEA920B5041</t>
  </si>
  <si>
    <t>EUPA2</t>
  </si>
  <si>
    <t>Brush cherry</t>
  </si>
  <si>
    <t>Eugenia</t>
  </si>
  <si>
    <t>0101000020110F00006CFEAE05B19E69C1A3534239960B5041</t>
  </si>
  <si>
    <t>Eugenia paniculata</t>
  </si>
  <si>
    <t>ColbyG</t>
  </si>
  <si>
    <t>0101000020110F000042E5146EAF9E69C1C81690629A0B5041</t>
  </si>
  <si>
    <t>0101000020110F0000F65E55BBB19E69C1FDF8A48C940B5041</t>
  </si>
  <si>
    <t>0101000020110F00006A56BF6CAC9E69C17E6D0FC9A30B5041</t>
  </si>
  <si>
    <t>0101000020110F00001A939D1AAD9E69C1CC81D87BA10B5041</t>
  </si>
  <si>
    <t>0101000020110F0000F81C2D21AB9E69C1979DEDE1A50B5041</t>
  </si>
  <si>
    <t>0101000020110F0000ACC78235AD9E69C1CCEF5257A10B5041</t>
  </si>
  <si>
    <t>0101000020110F000012F37845B19E69C1E40C2C87950B5041</t>
  </si>
  <si>
    <t>0101000020110F00004C3FDB68AF9E69C168A9DE0C9A0B5041</t>
  </si>
  <si>
    <t>0101000020110F0000CE52B323AE9E69C1F6549E669E0B5041</t>
  </si>
  <si>
    <t>0101000020110F0000E0D1E3F5AC9E69C15679436AA20B5041</t>
  </si>
  <si>
    <t>0101000020110F0000E3E2B797AE9E69C1CE76C9119D0B5041</t>
  </si>
  <si>
    <t>0101000020110F000055413C3DB29E69C166982BBD920B5041</t>
  </si>
  <si>
    <t>0101000020110F000040C4EDA7B09E69C1084F2EC0960B5041</t>
  </si>
  <si>
    <t>0101000020110F000055FA5608AF9E69C1646B20BB9B0B5041</t>
  </si>
  <si>
    <t>0101000020110F0000151318EFAD9E69C1885E5D379F0B5041</t>
  </si>
  <si>
    <t>0101000020110F0000487C918AAC9E69C18BA82381A30B5041</t>
  </si>
  <si>
    <t>0101000020110F0000FFD0ACE0AB9E69C15175E85EA50B5041</t>
  </si>
  <si>
    <t>0101000020110F000007594976AB9E69C1A6FFE1CAA50B5041</t>
  </si>
  <si>
    <t>0101000020110F0000D724A60DAC9E69C120EDA794A40B5041</t>
  </si>
  <si>
    <t>0101000020110F00009033FF94AD9E69C1ECBAC2DAA00B5041</t>
  </si>
  <si>
    <t>0101000020110F00007F39908DAF9E69C1FEC553BC990B5041</t>
  </si>
  <si>
    <t>0101000020110F0000A17BD1C3AD9E69C166DD224FA00B5041</t>
  </si>
  <si>
    <t>0101000020110F000039D0D92CAC9E69C116FBEB95A50B5041</t>
  </si>
  <si>
    <t>0101000020110F0000F2EF333CAE9E69C1E03D50B79D0B5041</t>
  </si>
  <si>
    <t>0101000020110F00003A247144AB9E69C1BCEB54EDA50B5041</t>
  </si>
  <si>
    <t>0101000020110F0000712E479AAD9E69C108B02CBE9F0B5041</t>
  </si>
  <si>
    <t>0101000020110F0000D42B3F36AF9E69C124C79BBF9A0B5041</t>
  </si>
  <si>
    <t>0101000020110F0000F4534343B29E69C1B1E4DEE7910B5041</t>
  </si>
  <si>
    <t>0101000020110F00009C638BC3B19E69C1E9C543DD930B5041</t>
  </si>
  <si>
    <t>0101000020110F00002C0BF783B09E69C1913310D2970B5041</t>
  </si>
  <si>
    <t>0101000020110F0000A681D5BFB09E69C17DF1E679960B5041</t>
  </si>
  <si>
    <t>0101000020110F000072423E23B19E69C162AAC7BB950B5041</t>
  </si>
  <si>
    <t>0101000020110F00002B6A697FB19E69C1181753EA940B5041</t>
  </si>
  <si>
    <t>0101000020110F000072A35729B29E69C1313CAC20930B5041</t>
  </si>
  <si>
    <t>0101000020110F000084E044C6B19E69C1D3B9BC7B940B5041</t>
  </si>
  <si>
    <t>0101000020110F00007F3583BAAB9E69C1CDB96827A50B5041</t>
  </si>
  <si>
    <t>0101000020110F000070662BC8AC9E69C11E70088BA20B5041</t>
  </si>
  <si>
    <t>0101000020110F00008F7A5690AB9E69C1D4DE27BEA50B5041</t>
  </si>
  <si>
    <t>0101000020110F0000F2288908AC9E69C1E88A0C02A50B5041</t>
  </si>
  <si>
    <t>0101000020110F0000D7D4C609AF9E69C138894A279B0B5041</t>
  </si>
  <si>
    <t>0101000020110F00003A796D94B09E69C110E34414970B5041</t>
  </si>
  <si>
    <t>0101000020110F0000B6D3576AB19E69C128F64968950B5041</t>
  </si>
  <si>
    <t>0101000020110F00002C710B00B29E69C138D84897930B5041</t>
  </si>
  <si>
    <t>0101000020110F0000EFC7723EB29E69C1CAA7C265920B5041</t>
  </si>
  <si>
    <t>0101000020110F000001E6A104AD9E69C1DDBA5521A20B5041</t>
  </si>
  <si>
    <t>0101000020110F0000E2ED65AEAC9E69C16456C119A30B5041</t>
  </si>
  <si>
    <t>Excellent</t>
  </si>
  <si>
    <t>0101000020110F000017928648AC9E69C1689D9162A40B5041</t>
  </si>
  <si>
    <t>0101000020110F0000ADF020E9AB9E69C1EED22FA5A50B5041</t>
  </si>
  <si>
    <t>0101000020110F0000D8962F54AD9E69C180DBCB0FA10B5041</t>
  </si>
  <si>
    <t>0101000020110F0000E27CB9B0AE9E69C1C725DC939C0B5041</t>
  </si>
  <si>
    <t>0101000020110F0000B8B20281AD9E69C1CFA0C646A00B5041</t>
  </si>
  <si>
    <t>0101000020110F0000D47C370BAE9E69C1C24538EF9E0B5041</t>
  </si>
  <si>
    <t>0101000020110F00001E7389DBAD9E69C11B1864A09F0B5041</t>
  </si>
  <si>
    <t>0101000020110F00001526C12AAE9E69C17F4E6F369E0B5041</t>
  </si>
  <si>
    <t>0101000020110F000038991D72AE9E69C1A98EB9439D0B5041</t>
  </si>
  <si>
    <t>0101000020110F0000FB3682DFAE9E69C1E402C7FC9B0B5041</t>
  </si>
  <si>
    <t>MELI7</t>
  </si>
  <si>
    <t>Cajeput tree</t>
  </si>
  <si>
    <t>0101000020110F000075F1CC06A99E69C10D8C892B9C0B5041</t>
  </si>
  <si>
    <t>Melaleuca linariifolia</t>
  </si>
  <si>
    <t>0101000020110F0000F12E1856AD9E69C1DE2DAE389B0B5041</t>
  </si>
  <si>
    <t>PICH</t>
  </si>
  <si>
    <t>Chinese pistache</t>
  </si>
  <si>
    <t>Anacardiaceae</t>
  </si>
  <si>
    <t>Pistacia</t>
  </si>
  <si>
    <t>0101000020110F0000D4F755B5AB9E69C182DD37408D0B5041</t>
  </si>
  <si>
    <t>Pistacia chinensis</t>
  </si>
  <si>
    <t>conifer garden</t>
  </si>
  <si>
    <t>SESE</t>
  </si>
  <si>
    <t>Coast redwood</t>
  </si>
  <si>
    <t>Cupressaceae</t>
  </si>
  <si>
    <t>Sequoia</t>
  </si>
  <si>
    <t>0101000020110F0000CCAEC171AC9E69C128A42BF98C0B5041</t>
  </si>
  <si>
    <t>Not certain</t>
  </si>
  <si>
    <t>TAMU</t>
  </si>
  <si>
    <t>Montezuma cypress</t>
  </si>
  <si>
    <t>Taxodium</t>
  </si>
  <si>
    <t>0101000020110F0000ED004924AD9E69C155A060588C0B5041</t>
  </si>
  <si>
    <t>Taxodium mucronatum</t>
  </si>
  <si>
    <t>QURO</t>
  </si>
  <si>
    <t>English oak</t>
  </si>
  <si>
    <t>Fagaceae</t>
  </si>
  <si>
    <t>Quercus</t>
  </si>
  <si>
    <t>0101000020110F00002ABAA0FDAF9E69C184961E538A0B5041</t>
  </si>
  <si>
    <t>Quercus robur</t>
  </si>
  <si>
    <t>0101000020110F0000242C9CBFAD9E69C1E73C031E900B5041</t>
  </si>
  <si>
    <t>ACPA</t>
  </si>
  <si>
    <t>Japanese maple</t>
  </si>
  <si>
    <t>Poor - Major Problems</t>
  </si>
  <si>
    <t>Sapindaceae</t>
  </si>
  <si>
    <t>Acer</t>
  </si>
  <si>
    <t>0101000020110F000048D03E8FAE9E69C185E6244F8D0B5041</t>
  </si>
  <si>
    <t>Acer palmatum</t>
  </si>
  <si>
    <t>Needs water</t>
  </si>
  <si>
    <t>JUSC</t>
  </si>
  <si>
    <t>Rocky mountain juniper</t>
  </si>
  <si>
    <t>Juniperus</t>
  </si>
  <si>
    <t>0101000020110F0000B279FF8CAC9E69C132F7BE128E0B5041</t>
  </si>
  <si>
    <t>Juniperus scopulorum</t>
  </si>
  <si>
    <t>0101000020110F0000122ED5BAAD9E69C1C4407514900B5041</t>
  </si>
  <si>
    <t>COAU</t>
  </si>
  <si>
    <t>Giant dracaena</t>
  </si>
  <si>
    <t>Good - No Apparent Problems</t>
  </si>
  <si>
    <t>Asparagaceae</t>
  </si>
  <si>
    <t>Cordyline</t>
  </si>
  <si>
    <t>0101000020110F0000D751C3B3AC9E69C148468826840B5041</t>
  </si>
  <si>
    <t>Cordyline australis</t>
  </si>
  <si>
    <t>formal garden</t>
  </si>
  <si>
    <t>ERCR</t>
  </si>
  <si>
    <t>Coral tree</t>
  </si>
  <si>
    <t>Erythrina</t>
  </si>
  <si>
    <t>0101000020110F0000FA576546AE9E69C1CDC597A87D0B5041</t>
  </si>
  <si>
    <t>Erythrina crista-galli</t>
  </si>
  <si>
    <t>Dead / Dying</t>
  </si>
  <si>
    <t>0101000020110F00003DC2A43FAD9E69C1BEAA79EB7D0B5041</t>
  </si>
  <si>
    <t>TA</t>
  </si>
  <si>
    <t>Yew</t>
  </si>
  <si>
    <t>Taxus</t>
  </si>
  <si>
    <t>0101000020110F00002E515A60AB9E69C154BC5BB67F0B5041</t>
  </si>
  <si>
    <t>Taxus spp</t>
  </si>
  <si>
    <t>0101000020110F000020F3FDD4AB9E69C15417806D7F0B5041</t>
  </si>
  <si>
    <t>0101000020110F0000625A8CE2AA9E69C189C6FE837F0B5041</t>
  </si>
  <si>
    <t>0101000020110F00008E8AA233AA9E69C1D5A1E1617F0B5041</t>
  </si>
  <si>
    <t>0101000020110F0000658CAC90AD9E69C196D0A307840B5041</t>
  </si>
  <si>
    <t>0101000020110F00005E0D6D8CAE9E69C14E1B0097880B5041</t>
  </si>
  <si>
    <t>0101000020110F0000E72E9047AD9E69C12DE35536890B5041</t>
  </si>
  <si>
    <t>QU</t>
  </si>
  <si>
    <t>Oak</t>
  </si>
  <si>
    <t>0101000020110F0000C05CAF8AA29E69C1ED4397CF730B5041</t>
  </si>
  <si>
    <t>Quercus spp</t>
  </si>
  <si>
    <t>https://selectree.calpoly.edu/tree-detail/1484</t>
  </si>
  <si>
    <t>other</t>
  </si>
  <si>
    <t>QUSA2</t>
  </si>
  <si>
    <t>Quillay</t>
  </si>
  <si>
    <t>Quillajaceae</t>
  </si>
  <si>
    <t>Quillaja</t>
  </si>
  <si>
    <t>0101000020110F0000EE5E7B278E9E69C1DAF52D668F0B5041</t>
  </si>
  <si>
    <t>Quillaja saponaria</t>
  </si>
  <si>
    <t>https://selectree.calpoly.edu/tree-detail/1522</t>
  </si>
  <si>
    <t>Madelyn</t>
  </si>
  <si>
    <t>chilean garden</t>
  </si>
  <si>
    <t>0101000020110F0000FCE7F2DB8E9E69C1224D13DD8F0B5041</t>
  </si>
  <si>
    <t>0101000020110F0000BDC109768E9E69C194F6C3928F0B5041</t>
  </si>
  <si>
    <t>PASP</t>
  </si>
  <si>
    <t>Palm</t>
  </si>
  <si>
    <t>0101000020110F00004D846383889E69C172E98D1E870B5041</t>
  </si>
  <si>
    <t>Palm spp</t>
  </si>
  <si>
    <t>https://selectree.calpoly.edu/tree-detail/743</t>
  </si>
  <si>
    <t>0101000020110F000057686B1B8D9E69C11E8B0D778E0B5041</t>
  </si>
  <si>
    <t>Strawberry tree</t>
  </si>
  <si>
    <t>Ericaceae</t>
  </si>
  <si>
    <t>Arbutus</t>
  </si>
  <si>
    <t>0101000020110F0000E3E73B2B969E69C17CCA07548F0B5041</t>
  </si>
  <si>
    <t>https://selectree.calpoly.edu/tree-detail/177</t>
  </si>
  <si>
    <t>mediterranean garden</t>
  </si>
  <si>
    <t>0101000020110F000000E5842F979E69C1A05737CB900B5041</t>
  </si>
  <si>
    <t>Roble negro</t>
  </si>
  <si>
    <t>0101000020110F0000BB43CDEF979E69C1206E1B2E900B5041</t>
  </si>
  <si>
    <t>https://selectree.calpoly.edu/tree-detail/2143</t>
  </si>
  <si>
    <t>LANO</t>
  </si>
  <si>
    <t>Laurel de olor</t>
  </si>
  <si>
    <t>Lauraceae</t>
  </si>
  <si>
    <t>Laurus</t>
  </si>
  <si>
    <t>0101000020110F00001EAB3AA3959E69C1E1E2565C950B5041</t>
  </si>
  <si>
    <t>https://www.selectree.calpoly.edu/tree-detail/804</t>
  </si>
  <si>
    <t>MYCO</t>
  </si>
  <si>
    <t>Myrtle</t>
  </si>
  <si>
    <t>Myrtus</t>
  </si>
  <si>
    <t>0101000020110F0000311E1A79929E69C1755EFFD0920B5041</t>
  </si>
  <si>
    <t>Myrtus communis</t>
  </si>
  <si>
    <t>https://www.selectree.calpoly.edu/tree-detail/953</t>
  </si>
  <si>
    <t>Coastal live oak; California live oak</t>
  </si>
  <si>
    <t>0101000020110F0000611C6FE1A19E69C189B0EE458C0B5041</t>
  </si>
  <si>
    <t>Quercus agrifolia</t>
  </si>
  <si>
    <t>west california garden</t>
  </si>
  <si>
    <t>0101000020110F00006C960919AD9E69C133957903980B5041</t>
  </si>
  <si>
    <t>0101000020110F0000E52D7E98AC9E69C19D718A749B0B5041</t>
  </si>
  <si>
    <t>https://www.selectree.calpoly.edu/tree-detail/549</t>
  </si>
  <si>
    <t>0101000020110F0000F791273DAD9E69C1147FC9308B0B5041</t>
  </si>
  <si>
    <t>https://www.selectree.calpoly.edu/tree-detail/1086</t>
  </si>
  <si>
    <t>TH9</t>
  </si>
  <si>
    <t>Red cedar</t>
  </si>
  <si>
    <t>Thuja</t>
  </si>
  <si>
    <t>0101000020110F0000919415C2AC9E69C1CCA7F1EB8D0B5041</t>
  </si>
  <si>
    <t>Thuja spp</t>
  </si>
  <si>
    <t>Thuja orientalis 'Westmont'
https://selectree.calpoly.edu/tree-detail/1400</t>
  </si>
  <si>
    <t>BEPE</t>
  </si>
  <si>
    <t>European white birch</t>
  </si>
  <si>
    <t>Betulaceae</t>
  </si>
  <si>
    <t>Betula</t>
  </si>
  <si>
    <t>0101000020110F0000F6D5AA28AC9E69C1E7EBCDF07D0B5041</t>
  </si>
  <si>
    <t>Betula pendula</t>
  </si>
  <si>
    <t>0101000020110F0000CD3E30ACAB9E69C1D34A22697E0B5041</t>
  </si>
  <si>
    <t>HEAR</t>
  </si>
  <si>
    <t>Christmasberry</t>
  </si>
  <si>
    <t>Heteromeles</t>
  </si>
  <si>
    <t>0101000020110F0000EC1244C4AC9E69C1E2AAAB247E0B5041</t>
  </si>
  <si>
    <t>Heteromeles arbutifolia</t>
  </si>
  <si>
    <t>https://www.selectree.calpoly.edu/tree-detail/697</t>
  </si>
  <si>
    <t>0101000020110F00009AD01FA9A19E69C1A3D27BC89F0B5041</t>
  </si>
  <si>
    <t>palm and aloe garden</t>
  </si>
  <si>
    <t>HYFL</t>
  </si>
  <si>
    <t>Sweetshade; australian fragipani</t>
  </si>
  <si>
    <t>Pittosporaceae</t>
  </si>
  <si>
    <t>Hymenosporum</t>
  </si>
  <si>
    <t>0101000020110F000053DFBE35AB9E69C139210BD49A0B5041</t>
  </si>
  <si>
    <t>Hymenosporum flavum</t>
  </si>
  <si>
    <t>https://selectree.calpoly.edu/tree-detail/709</t>
  </si>
  <si>
    <t>0101000020110F000098AF7DA5AB9E69C1CFBA2A61980B5041</t>
  </si>
  <si>
    <t>0101000020110F000091562258A39E69C1D4AF41E2A00B5041</t>
  </si>
  <si>
    <t>https://www.selectree.calpoly.edu/tree-detail/1227</t>
  </si>
  <si>
    <t>TADI</t>
  </si>
  <si>
    <t>Baldcypress</t>
  </si>
  <si>
    <t>0101000020110F000057415CB6A59E69C1FA9C01169F0B5041</t>
  </si>
  <si>
    <t>https://www.selectree.calpoly.edu/tree-detail/1387</t>
  </si>
  <si>
    <t>primitive garden</t>
  </si>
  <si>
    <t>0101000020110F0000C1CCFC18A49E69C1180C2B72A10B5041</t>
  </si>
  <si>
    <t>0101000020110F00006D0B9FDEA49E69C1906F118DA20B5041</t>
  </si>
  <si>
    <t>0101000020110F000067B80D9FA49E69C163D44132A20B5041</t>
  </si>
  <si>
    <t>GIBI</t>
  </si>
  <si>
    <t>Ginkgo</t>
  </si>
  <si>
    <t>Ginkgoaceae</t>
  </si>
  <si>
    <t>0101000020110F0000D429E438A49E69C1D0879BF19F0B5041</t>
  </si>
  <si>
    <t>Ginkgo biloba</t>
  </si>
  <si>
    <t>https://selectree.calpoly.edu/tree-detail/657</t>
  </si>
  <si>
    <t>EUSP</t>
  </si>
  <si>
    <t>Narrow-leaved gimlet</t>
  </si>
  <si>
    <t>0101000020110F000092FD065CA69E69C1637E6B94A30B5041</t>
  </si>
  <si>
    <t>Eucalyptus spathulata</t>
  </si>
  <si>
    <t>https://selectree.calpoly.edu/tree-detail/570</t>
  </si>
  <si>
    <t>0101000020110F000000A0EEAAAA9E69C1BFA976E17E0B5041</t>
  </si>
  <si>
    <t>https://www.selectree.calpoly.edu/tree-detail/204</t>
  </si>
  <si>
    <t>ARBI</t>
  </si>
  <si>
    <t>Bunya bunya</t>
  </si>
  <si>
    <t>Araucariaceae</t>
  </si>
  <si>
    <t>Araucaria</t>
  </si>
  <si>
    <t>0101000020110F0000E1092967A79E69C1A25A7C11A10B5041</t>
  </si>
  <si>
    <t>https://selectree.calpoly.edu/tree-detail/171</t>
  </si>
  <si>
    <t>0101000020110F00001E0A0E0AA79E69C166EF77EB9F0B5041</t>
  </si>
  <si>
    <t>0101000020110F0000299AF316A99E69C13679CA38A20B5041</t>
  </si>
  <si>
    <t>https://selectree.calpoly.edu/tree-detail/18</t>
  </si>
  <si>
    <t>0101000020110F00006CF4E3A9A99E69C1128947E5980B5041</t>
  </si>
  <si>
    <t>0101000020110F0000F5900CA8A69E69C1CA7625729E0B5041</t>
  </si>
  <si>
    <t>https://www.selectree.calpoly.edu/tree-detail/933</t>
  </si>
  <si>
    <t>0101000020110F0000AFDE3D61A99E69C1DC4410AD990B5041</t>
  </si>
  <si>
    <t>https://selectree.calpoly.edu/tree-detail/931</t>
  </si>
  <si>
    <t>0101000020110F0000410CD75E979E69C1E6ABDB3F970B5041</t>
  </si>
  <si>
    <t>PIPI2</t>
  </si>
  <si>
    <t>Itailian stone pine</t>
  </si>
  <si>
    <t>Pinus</t>
  </si>
  <si>
    <t>0101000020110F0000E83A4E1B929E69C1AD434581920B5041</t>
  </si>
  <si>
    <t>https://selectree.calpoly.edu/tree-detail/1067</t>
  </si>
  <si>
    <t>CE7</t>
  </si>
  <si>
    <t>Cedar</t>
  </si>
  <si>
    <t>0101000020110F0000384685CF969E69C145DA33CD960B5041</t>
  </si>
  <si>
    <t>Cedrus spp</t>
  </si>
  <si>
    <t>https://selectree.calpoly.edu/tree-detail/294</t>
  </si>
  <si>
    <t>0101000020110F00002689F36A959E69C1ACFD10AC950B5041</t>
  </si>
  <si>
    <t>Q. frainetto
https://www.selectree.calpoly.edu/tree-detail/1575</t>
  </si>
  <si>
    <t>PUGR</t>
  </si>
  <si>
    <t>Pomegranate</t>
  </si>
  <si>
    <t>Punica</t>
  </si>
  <si>
    <t>0101000020110F0000092FD908979E69C1C2AF4D36970B5041</t>
  </si>
  <si>
    <t>Punica granatum</t>
  </si>
  <si>
    <t>https://selectree.calpoly.edu/tree-detail/1211</t>
  </si>
  <si>
    <t>0101000020110F0000F34D69BC969E69C1C6041A64960B5041</t>
  </si>
  <si>
    <t>LIAU9</t>
  </si>
  <si>
    <t>Australian fan palm</t>
  </si>
  <si>
    <t>Arecaceae</t>
  </si>
  <si>
    <t>Livistona</t>
  </si>
  <si>
    <t>0101000020110F0000F156D7B59F9E69C12E1DB38B970B5041</t>
  </si>
  <si>
    <t>Livistona australis</t>
  </si>
  <si>
    <t>https://selectree.calpoly.edu/tree-detail/828</t>
  </si>
  <si>
    <t>0101000020110F0000594B81D29F9E69C1245761FC960B5041</t>
  </si>
  <si>
    <t>BRAR</t>
  </si>
  <si>
    <t>Mexican blue palm</t>
  </si>
  <si>
    <t>Brahea</t>
  </si>
  <si>
    <t>0101000020110F000003559EBA9F9E69C192A0D746960B5041</t>
  </si>
  <si>
    <t>Brahea armata</t>
  </si>
  <si>
    <t>https://www.selectree.calpoly.edu/tree-detail/215</t>
  </si>
  <si>
    <t>PHRE</t>
  </si>
  <si>
    <t>Senegal date palm</t>
  </si>
  <si>
    <t>Phoenix</t>
  </si>
  <si>
    <t>0101000020110F00001C8BDA349F9E69C17315CF9E970B5041</t>
  </si>
  <si>
    <t>Phoenix reclinata</t>
  </si>
  <si>
    <t>https://selectree.calpoly.edu/tree-detail/1003</t>
  </si>
  <si>
    <t>CHHU</t>
  </si>
  <si>
    <t>Mediterranean fan palm</t>
  </si>
  <si>
    <t>Chamaerops</t>
  </si>
  <si>
    <t>0101000020110F0000B5DCDF1FA09E69C1585CCA32940B5041</t>
  </si>
  <si>
    <t>Chamaerops humilis</t>
  </si>
  <si>
    <t>https://www.selectree.calpoly.edu/tree-detail/344</t>
  </si>
  <si>
    <t>PHRO</t>
  </si>
  <si>
    <t>Pygmy date palm</t>
  </si>
  <si>
    <t>0101000020110F00002CA2BC6FA19E69C1C6963EC7960B5041</t>
  </si>
  <si>
    <t>https://selectree.calpoly.edu/tree-detail/1004</t>
  </si>
  <si>
    <t>PES OTHER</t>
  </si>
  <si>
    <t>Palm Evergreen Small Other</t>
  </si>
  <si>
    <t>0101000020110F00000B5906D7A09E69C1144CBAA99C0B5041</t>
  </si>
  <si>
    <t>https://palmpedia.net/wiki/Trithrinax_acanthocoma</t>
  </si>
  <si>
    <t>0101000020110F00006F0A004B9A9E69C10FF07D89950B5041</t>
  </si>
  <si>
    <t xml:space="preserve">
https://www.selectree.calpoly.edu/tree-detail/804</t>
  </si>
  <si>
    <t>VIAG</t>
  </si>
  <si>
    <t>Chaste tree</t>
  </si>
  <si>
    <t>Vitex</t>
  </si>
  <si>
    <t>0101000020110F0000C42157939B9E69C1F5569C8C920B5041</t>
  </si>
  <si>
    <t xml:space="preserve">
https://www.selectree.calpoly.edu/tree-detail/1464 </t>
  </si>
  <si>
    <t>0101000020110F0000E64322869A9E69C10B0E9155930B5041</t>
  </si>
  <si>
    <t>https://www.selectree.calpoly.edu/tree-detail/1464</t>
  </si>
  <si>
    <t>BRPO</t>
  </si>
  <si>
    <t>Bottle tree</t>
  </si>
  <si>
    <t>Brachychiton</t>
  </si>
  <si>
    <t>0101000020110F000005FE2F63A59E69C1A84B022F9C0B5041</t>
  </si>
  <si>
    <t>Brachychiton populneum</t>
  </si>
  <si>
    <t>https://selectree.calpoly.edu/tree-detail/214</t>
  </si>
  <si>
    <t>GAEL</t>
  </si>
  <si>
    <t>Wavyleaf silktassel</t>
  </si>
  <si>
    <t>Garryaceae</t>
  </si>
  <si>
    <t>Garrya</t>
  </si>
  <si>
    <t>0101000020110F0000563690999F9E69C17958A8328B0B5041</t>
  </si>
  <si>
    <t>Garrya elliptica</t>
  </si>
  <si>
    <t>https://selectree.calpoly.edu/tree-detail/652</t>
  </si>
  <si>
    <t>0101000020110F0000B37D895A999E69C1A0517441860B5041</t>
  </si>
  <si>
    <t>east california garden</t>
  </si>
  <si>
    <t>0101000020110F0000023CF7FC999E69C1C730AB92860B5041</t>
  </si>
  <si>
    <t>PRIL</t>
  </si>
  <si>
    <t>Hollyleaf cherry</t>
  </si>
  <si>
    <t>Rosaceae</t>
  </si>
  <si>
    <t>Prunus</t>
  </si>
  <si>
    <t>0101000020110F00003F8A7DC2969E69C18DC5D022850B5041</t>
  </si>
  <si>
    <t>Prunus ilicifolia</t>
  </si>
  <si>
    <t>https://www.selectree.calpoly.edu/tree-detail/1164</t>
  </si>
  <si>
    <t>CHLI</t>
  </si>
  <si>
    <t>Desert willow</t>
  </si>
  <si>
    <t>Chilopsis</t>
  </si>
  <si>
    <t>0101000020110F00005932DD22959E69C194C4329E870B5041</t>
  </si>
  <si>
    <t>Chilopsis linearis</t>
  </si>
  <si>
    <t>https://selectree.calpoly.edu/tree-detail/345</t>
  </si>
  <si>
    <t>0101000020110F0000A39B7E97969E69C178723DF0850B5041</t>
  </si>
  <si>
    <t>0101000020110F000059C0B93C969E69C1677476EB850B5041</t>
  </si>
  <si>
    <t>0101000020110F00001D00139F959E69C1BB87B0BB850B5041</t>
  </si>
  <si>
    <t>LYAS</t>
  </si>
  <si>
    <t>Fernleaf catalina ironwood</t>
  </si>
  <si>
    <t>Lyonothamnus</t>
  </si>
  <si>
    <t>0101000020110F000041C38DAE989E69C12B42AC67860B5041</t>
  </si>
  <si>
    <t>Lyonothamnus f. asplenifol</t>
  </si>
  <si>
    <t>https://selectree.calpoly.edu/tree-detail/832</t>
  </si>
  <si>
    <t>0101000020110F00000AFDC33CA89E69C14672D39D8C0B5041</t>
  </si>
  <si>
    <t>entry garden</t>
  </si>
  <si>
    <t>0101000020110F000058BB31DFA89E69C11AB0F3048C0B5041</t>
  </si>
  <si>
    <t>0101000020110F000025504F409F9E69C102B7D8BD920B5041</t>
  </si>
  <si>
    <t>Q. pacifica</t>
  </si>
  <si>
    <t>0101000020110F0000CB8113809F9E69C1E4DDD26B8E0B5041</t>
  </si>
  <si>
    <t>0101000020110F000084FD70279E9E69C1BDC4776F8F0B5041</t>
  </si>
  <si>
    <t>0101000020110F0000975F24299F9E69C125DA18F58F0B5041</t>
  </si>
  <si>
    <t xml:space="preserve">
https://www.selectree.calpoly.edu/tree-detail/1227</t>
  </si>
  <si>
    <t>MYCA</t>
  </si>
  <si>
    <t>Pacific bayberry</t>
  </si>
  <si>
    <t>Morella</t>
  </si>
  <si>
    <t>0101000020110F00003D8696F7A19E69C1B0101308900B5041</t>
  </si>
  <si>
    <t>Morella californica</t>
  </si>
  <si>
    <t>https://selectree.calpoly.edu/tree-detail/950</t>
  </si>
  <si>
    <t>CEOC3</t>
  </si>
  <si>
    <t>Western redbud</t>
  </si>
  <si>
    <t>Cercis</t>
  </si>
  <si>
    <t>0101000020110F00008AA2088E9E9E69C10449E0588B0B5041</t>
  </si>
  <si>
    <t>Cercis occidentalis</t>
  </si>
  <si>
    <t>https://selectree.calpoly.edu/tree-detail/321</t>
  </si>
  <si>
    <t>CADE2</t>
  </si>
  <si>
    <t>Incense cedar</t>
  </si>
  <si>
    <t>Calocedrus</t>
  </si>
  <si>
    <t>0101000020110F0000C0D648718E9E69C161D25F31830B5041</t>
  </si>
  <si>
    <t>Calocedrus decurrens</t>
  </si>
  <si>
    <t>https://selectree.calpoly.edu/tree-detail/243</t>
  </si>
  <si>
    <t>0101000020110F000088F94A1B8E9E69C1D3378FAF840B5041</t>
  </si>
  <si>
    <t>0101000020110F0000C99C9A008F9E69C1CF378FAF840B5041</t>
  </si>
  <si>
    <t>https://selectree.calpoly.edu/tree-detail/697</t>
  </si>
  <si>
    <t>0101000020110F0000FFEBBB3C8E9E69C198E86D73850B5041</t>
  </si>
  <si>
    <t>Q. durata 
leather oak
https://selectree.calpoly.edu/tree-detail/1236</t>
  </si>
  <si>
    <t>OLEU</t>
  </si>
  <si>
    <t>Olive</t>
  </si>
  <si>
    <t>Olea</t>
  </si>
  <si>
    <t>0101000020110F0000A7A00CF78E9E69C145F28A5B850B5041</t>
  </si>
  <si>
    <t>Olea europaea</t>
  </si>
  <si>
    <t>https://selectree.calpoly.edu/tree-detail/970</t>
  </si>
  <si>
    <t>0101000020110F000044E4D74F8E9E69C1E518FFFB840B5041</t>
  </si>
  <si>
    <t>Frangula californica
https://selectree.calpoly.edu/tree-detail/1269</t>
  </si>
  <si>
    <t>0101000020110F00004D6A95C7A09E69C17FABBEC68D0B5041</t>
  </si>
  <si>
    <t>https://selectree.calpoly.edu/tree-detail/1325</t>
  </si>
  <si>
    <t>QUEN</t>
  </si>
  <si>
    <t>Engelmann oak</t>
  </si>
  <si>
    <t>0101000020110F000060D7ED20A69E69C15D8C56E4890B5041</t>
  </si>
  <si>
    <t>https://selectree.calpoly.edu/tree-detail/1238</t>
  </si>
  <si>
    <t>PICA</t>
  </si>
  <si>
    <t>Canary Island pine</t>
  </si>
  <si>
    <t>0101000020110F000011539E0BAA9E69C1A43C37B2890B5041</t>
  </si>
  <si>
    <t>https://selectree.calpoly.edu/tree-detail/1035</t>
  </si>
  <si>
    <t>0101000020110F000028570F5F9C9E69C110EC58FD9A0B5041</t>
  </si>
  <si>
    <t>https://www.selectree.calpoly.edu/tree-detail/570</t>
  </si>
  <si>
    <t>0101000020110F00008449815BA29E69C137D6A354A00B5041</t>
  </si>
  <si>
    <t>0101000020110F000087484CA39D9E69C1240F08069C0B5041</t>
  </si>
  <si>
    <t>0101000020110F000009C2B8119D9E69C1086D8A959B0B5041</t>
  </si>
  <si>
    <t>0101000020110F000068078C8F9E9E69C1546F3ACF9C0B5041</t>
  </si>
  <si>
    <t>RHSP2</t>
  </si>
  <si>
    <t>Buckthorn</t>
  </si>
  <si>
    <t>Rhamnus</t>
  </si>
  <si>
    <t>0101000020110F00000B4263C2A29E69C1CF92B888940B5041</t>
  </si>
  <si>
    <t>Rhamnus spp</t>
  </si>
  <si>
    <t>https://selectree.calpoly.edu/tree-detail/1268</t>
  </si>
  <si>
    <t>AECA2</t>
  </si>
  <si>
    <t>California buckeye</t>
  </si>
  <si>
    <t>Aesculus</t>
  </si>
  <si>
    <t>0101000020110F000074805B22A79E69C100DDAF178D0B5041</t>
  </si>
  <si>
    <t>Aesculus californica</t>
  </si>
  <si>
    <t>https://selectree.calpoly.edu/tree-detail/132</t>
  </si>
  <si>
    <t>0101000020110F00003487316EA49E69C1A14B5FFD8C0B5041</t>
  </si>
  <si>
    <t>PRLY</t>
  </si>
  <si>
    <t>Catalina cherry</t>
  </si>
  <si>
    <t>0101000020110F0000C353CDF3979E69C1A492CDE3850B5041</t>
  </si>
  <si>
    <t>Prunus ilicifolia ssp. lyonii</t>
  </si>
  <si>
    <t>https://selectree.calpoly.edu/tree-detail/1167</t>
  </si>
  <si>
    <t>0101000020110F000077E0866B979E69C1318F6B2E890B5041</t>
  </si>
  <si>
    <t>0101000020110F0000814A2460979E69C19FA63D618A0B5041</t>
  </si>
  <si>
    <t>Q. tomentella 
https://www.selectree.calpoly.edu/tree-detail/1484</t>
  </si>
  <si>
    <t>QUSU</t>
  </si>
  <si>
    <t>Cork oak</t>
  </si>
  <si>
    <t>0101000020110F000014D038279B9E69C13F51DA8B970B5041</t>
  </si>
  <si>
    <t>Quercus suber</t>
  </si>
  <si>
    <t>https://selectree.calpoly.edu/tree-detail/1263</t>
  </si>
  <si>
    <t>0101000020110F0000FEEEC8DA9A9E69C1AA9A50D6960B5041</t>
  </si>
  <si>
    <t>0101000020110F000033B5681B989E69C1727C74C2940B5041</t>
  </si>
  <si>
    <t>Saratoga laurel
https://www.selectree.calpoly.edu/tree-detail/803</t>
  </si>
  <si>
    <t>0101000020110F0000FAD76AC5979E69C190955984940B5041</t>
  </si>
  <si>
    <t>0101000020110F00001CD4F8CE979E69C146487143950B5041</t>
  </si>
  <si>
    <t>0101000020110F00008487EDDE999E69C1B48A72B68A0B5041</t>
  </si>
  <si>
    <t>0101000020110F00006F345AAC9A9E69C1D9A2B9F38C0B5041</t>
  </si>
  <si>
    <t>0101000020110F0000D916EDFC989E69C159A24E4E8B0B5041</t>
  </si>
  <si>
    <t>Q. tomentella
https://www.selectree.calpoly.edu/tree-detail/1484</t>
  </si>
  <si>
    <t>0101000020110F000075E28648AB9E69C18B1D35969E0B5041</t>
  </si>
  <si>
    <t>https://www.selectree.calpoly.edu/tree-detail/927</t>
  </si>
  <si>
    <t>EUER</t>
  </si>
  <si>
    <t>Red-cap gum</t>
  </si>
  <si>
    <t>0101000020110F0000330808D0A79E69C133AAA40FA10B5041</t>
  </si>
  <si>
    <t>Eucalyptus erythrocorys</t>
  </si>
  <si>
    <t>https://www.selectree.calpoly.edu/tree-detail/538</t>
  </si>
  <si>
    <t>0101000020110F0000F909CAE9A79E69C14CB21120A20B5041</t>
  </si>
  <si>
    <t>Isabella</t>
  </si>
  <si>
    <t>0101000020110F00008D76E29BAE9E69C1A174E2B8990B5041</t>
  </si>
  <si>
    <t>https://selectree.calpoly.edu/tree-detail/530</t>
  </si>
  <si>
    <t>EUCI</t>
  </si>
  <si>
    <t>Silver dollar eucalyptus</t>
  </si>
  <si>
    <t>0101000020110F0000FFF2BA97AA9E69C1BCF29C2B9F0B5041</t>
  </si>
  <si>
    <t>Eucalyptus cinerea</t>
  </si>
  <si>
    <t>https://selectree.calpoly.edu/tree-detail/532</t>
  </si>
  <si>
    <t>CEAT</t>
  </si>
  <si>
    <t>Atlas cedar</t>
  </si>
  <si>
    <t>0101000020110F0000B4B71A9BAE9E69C1768253E3910B5041</t>
  </si>
  <si>
    <t>https://selectree.calpoly.edu/tree-detail/287</t>
  </si>
  <si>
    <t>0101000020110F00009A76EDD0AD9E69C1CA83140E9C0B5041</t>
  </si>
  <si>
    <t>0101000020110F00008972F257AC9E69C1748F9A329E0B5041</t>
  </si>
  <si>
    <t>STSI</t>
  </si>
  <si>
    <t>Firewheel tree</t>
  </si>
  <si>
    <t>Stenocarpus</t>
  </si>
  <si>
    <t>0101000020110F0000690962EAAB9E69C14D72D4EBA00B5041</t>
  </si>
  <si>
    <t>Stenocarpus sinuatus</t>
  </si>
  <si>
    <t>https://www.selectree.calpoly.edu/tree-detail/1350</t>
  </si>
  <si>
    <t>0101000020110F000070C37899AF9E69C1567C42C9910B5041</t>
  </si>
  <si>
    <t>https://selectree.calpoly.edu/tree-detail/678</t>
  </si>
  <si>
    <t>0101000020110F0000205C4B05AB9E69C1E7EC0EB79F0B5041</t>
  </si>
  <si>
    <t>0101000020110F000095AFF595AB9E69C1479AB5C6A00B5041</t>
  </si>
  <si>
    <t>https://www.selectree.calpoly.edu/tree-detail/542</t>
  </si>
  <si>
    <t>0101000020110F000018C1CEB8A99E69C109C7B65E9E0B5041</t>
  </si>
  <si>
    <t>0101000020110F00004BDE798EA99E69C10311CB4A9E0B5041</t>
  </si>
  <si>
    <t>0101000020110F0000C61F24AEAA9E69C17546E1E39F0B5041</t>
  </si>
  <si>
    <t>0101000020110F000096D3D3B3A99E69C18F8E4CD09C0B5041</t>
  </si>
  <si>
    <t xml:space="preserve">
circ: 21,22,10,19,5</t>
  </si>
  <si>
    <t>0101000020110F000057A1932BAD9E69C182FF67F58C0B5041</t>
  </si>
  <si>
    <t>CU</t>
  </si>
  <si>
    <t>Cypress</t>
  </si>
  <si>
    <t>Cupressus</t>
  </si>
  <si>
    <t>0101000020110F000062AA1F6CAB9E69C1E315B6D28C0B5041</t>
  </si>
  <si>
    <t>Cupressus spp</t>
  </si>
  <si>
    <t>https://www.selectree.calpoly.edu/tree-detail/476</t>
  </si>
  <si>
    <t>0101000020110F0000DBE62517AB9E69C18B22B46B8C0B5041</t>
  </si>
  <si>
    <t>0101000020110F00001AD160D9AF9E69C1349528C8960B5041</t>
  </si>
  <si>
    <t>https://selectree.calpoly.edu/tree-detail/1227</t>
  </si>
  <si>
    <t>ecwhiteh@calpoly.edu</t>
  </si>
  <si>
    <t>0101000020110F0000F3F12988AF9E69C1BB3094C0970B5041</t>
  </si>
  <si>
    <t>0101000020110F00006801F261AF9E69C1681D5AF0970B5041</t>
  </si>
  <si>
    <t>0101000020110F00001297B268B09E69C1653B4F2D950B5041</t>
  </si>
  <si>
    <t>0101000020110F0000F215C08AAF9E69C1895B0005950B5041</t>
  </si>
  <si>
    <t>Dead</t>
  </si>
  <si>
    <t>0101000020110F00003DB0972AB09E69C1731CBF79950B5041</t>
  </si>
  <si>
    <t>0101000020110F000019F5F6DBAF9E69C10B86E69B940B5041</t>
  </si>
  <si>
    <t>0101000020110F00009C87EA8EB09E69C16E01A1BC950B5041</t>
  </si>
  <si>
    <t>0101000020110F00002ACF27DEAF9E69C16701A1BC950B5041</t>
  </si>
  <si>
    <t>BR1</t>
  </si>
  <si>
    <t>0101000020110F0000946D752FAE9E69C126F28BFB920B5041</t>
  </si>
  <si>
    <t>Brachychiton spp</t>
  </si>
  <si>
    <t>https://selectree.calpoly.edu/tree-detail/1511</t>
  </si>
  <si>
    <t>0101000020110F00001094F714B09E69C1DBAE14CB980B5041</t>
  </si>
  <si>
    <t>https://selectree.calpoly.edu/tree-detail/1502</t>
  </si>
  <si>
    <t>0101000020110F0000D73EF7A8AF9E69C1B3ACD3F8980B5041</t>
  </si>
  <si>
    <t>0101000020110F0000732DF6D3AF9E69C1C0C7F1B5980B5041</t>
  </si>
  <si>
    <t>0101000020110F000019546A74AF9E69C1CA8D4345990B5041</t>
  </si>
  <si>
    <t>0101000020110F00009063324EAF9E69C1E06EB391990B5041</t>
  </si>
  <si>
    <t>0101000020110F00009C7E500BAF9E69C1B91D595A9A0B5041</t>
  </si>
  <si>
    <t>0101000020110F00003CFA8643B09E69C1C214B14F980B5041</t>
  </si>
  <si>
    <t>0101000020110F0000C9355D20AD9E69C1D7EE67F98F0B5041</t>
  </si>
  <si>
    <t>THOR</t>
  </si>
  <si>
    <t>Oriental arborvitae</t>
  </si>
  <si>
    <t>Platycladus</t>
  </si>
  <si>
    <t>0101000020110F00003E291BBDAA9E69C110CD7B25880B5041</t>
  </si>
  <si>
    <t>Platycladus orientalis</t>
  </si>
  <si>
    <t>https://selectree.calpoly.edu/tree-detail/1110</t>
  </si>
  <si>
    <t>0101000020110F0000B338E396AA9E69C1F7963FAB880B5041</t>
  </si>
  <si>
    <t>0101000020110F0000C04E4654AF9E69C1D07D26078D0B5041</t>
  </si>
  <si>
    <t>https://plants.ces.ncsu.edu/plants/cedrus-atlantica-glauca-pendula/
https://selectree.calpoly.edu/tree-detail/290</t>
  </si>
  <si>
    <t>ljuarezg@calpoly.edu</t>
  </si>
  <si>
    <t>0101000020110F000065569318AE9E69C1A74D6CB88A0B5041</t>
  </si>
  <si>
    <t>https://selectree.calpoly.edu/tree-detail/292</t>
  </si>
  <si>
    <t>POGR2</t>
  </si>
  <si>
    <t>Fern pine</t>
  </si>
  <si>
    <t>Podocarpus</t>
  </si>
  <si>
    <t>0101000020110F00007BB129EAAD9E69C1B3FB9754900B5041</t>
  </si>
  <si>
    <t>Podocarpus gracilior</t>
  </si>
  <si>
    <t>Reclassified to podocarpus falcatus, https://selectree.calpoly.edu/tree-detail/1113</t>
  </si>
  <si>
    <t>gsterns@calpoly.edu</t>
  </si>
  <si>
    <t>0101000020110F0000959E9F0CAF9E69C16550D1778E0B5041</t>
  </si>
  <si>
    <t>0101000020110F000035223AEAAE9E69C140251FC78E0B5041</t>
  </si>
  <si>
    <t>0101000020110F000093929936AE9E69C15A9A50EF8F0B5041</t>
  </si>
  <si>
    <t>0101000020110F0000FF408F0CAE9E69C1A5169929900B5041</t>
  </si>
  <si>
    <t>0101000020110F000054B94868AE9E69C1D186BEA58F0B5041</t>
  </si>
  <si>
    <t>0101000020110F00007B5C5DBCAE9E69C1BF5F9A128F0B5041</t>
  </si>
  <si>
    <t>0101000020110F0000E4FE4CBCAD9E69C17DFB5D84900B5041</t>
  </si>
  <si>
    <t>0101000020110F0000E70A5392AE9E69C148732C5C8F0B5041</t>
  </si>
  <si>
    <t>0101000020110F00005179C036AA9E69C15C77F8B77E0B5041</t>
  </si>
  <si>
    <t>0101000020110F0000E6C4FD74AA9E69C16B3382FE7E0B5041</t>
  </si>
  <si>
    <t>CUSE</t>
  </si>
  <si>
    <t>Italian cypress</t>
  </si>
  <si>
    <t>0101000020110F0000226218DDAB9E69C1B06C2B7F890B5041</t>
  </si>
  <si>
    <t>Cupressus sempervirens</t>
  </si>
  <si>
    <t>https://selectree.calpoly.edu/tree-detail/477</t>
  </si>
  <si>
    <t>0101000020110F000074AC265AAC9E69C1BD0B292D8A0B5041</t>
  </si>
  <si>
    <t>0101000020110F00007A6C3B3EAB9E69C1B1EDEC9A7E0B5041</t>
  </si>
  <si>
    <t>0101000020110F000021B5248FAB9E69C1C1F175CB7D0B5041</t>
  </si>
  <si>
    <t>0101000020110F0000D8B36EE6AD9E69C1105A98EC7D0B5041</t>
  </si>
  <si>
    <t>JU</t>
  </si>
  <si>
    <t>Juniper</t>
  </si>
  <si>
    <t>0101000020110F0000DACC099AAC9E69C1228A9C2D890B5041</t>
  </si>
  <si>
    <t>Juniperus spp</t>
  </si>
  <si>
    <t>Juniperus x media 'Hetzi Columnaris'</t>
  </si>
  <si>
    <t>0101000020110F0000F752E163AD9E69C1511C3911890B5041</t>
  </si>
  <si>
    <t>0101000020110F00001B965DFAAD9E69C19EBEED7F870B5041</t>
  </si>
  <si>
    <t>Juniperus x media 'Spartan'
spartan column juniper</t>
  </si>
  <si>
    <t>0101000020110F000092F86644AC9E69C1BA06DEC0880B5041</t>
  </si>
  <si>
    <t>0101000020110F0000F8F4026AAD9E69C146DFD639860B5041</t>
  </si>
  <si>
    <t>blue pfizer</t>
  </si>
  <si>
    <t>0101000020110F000036F05E6BAD9E69C12307299C850B5041</t>
  </si>
  <si>
    <t>blue pfizter</t>
  </si>
  <si>
    <t>0101000020110F00006A127418AD9E69C1A9D627F3850B5041</t>
  </si>
  <si>
    <t>Juniperus x media 'Pfitzeriana Glauca'
Blue pfitzer juniper</t>
  </si>
  <si>
    <t>ACPADI</t>
  </si>
  <si>
    <t>Lace-leaf maple</t>
  </si>
  <si>
    <t>0101000020110F000009223343AA9E69C17018A43F7E0B5041</t>
  </si>
  <si>
    <t>Acer palmatum 'Dissectum'</t>
  </si>
  <si>
    <t>https://selectree.calpoly.edu/search-results#activePage=1&amp;resultsPerPage=30&amp;searchTerm=Acer%20Palmatum&amp;sort=1</t>
  </si>
  <si>
    <t>0101000020110F00007328FBCCAD9E69C16836BC57860B5041</t>
  </si>
  <si>
    <t>0101000020110F000045DC35BAAD9E69C1AB1A0772880B5041</t>
  </si>
  <si>
    <t>0101000020110F0000DC2FE5C6AC9E69C1D991B2BD890B5041</t>
  </si>
  <si>
    <t>0101000020110F00008F32B0EAAB9E69C13CC897898A0B5041</t>
  </si>
  <si>
    <t>0101000020110F0000328838D2AB9E69C10178A5E9880B5041</t>
  </si>
  <si>
    <t>0101000020110F00004F719D8FAB9E69C15C1DD295870B5041</t>
  </si>
  <si>
    <t>0101000020110F00008FC189DBAB9E69C1DAB3D489860B5041</t>
  </si>
  <si>
    <t>0101000020110F0000DD92C0F3AC9E69C1CD6F417E850B5041</t>
  </si>
  <si>
    <t>need further id</t>
  </si>
  <si>
    <t>0101000020110F0000D1F3C245AC9E69C12BE06FF0850B5041</t>
  </si>
  <si>
    <t>need id</t>
  </si>
  <si>
    <t>RHIN</t>
  </si>
  <si>
    <t>Lemonade berry</t>
  </si>
  <si>
    <t>Rhus</t>
  </si>
  <si>
    <t>0101000020110F0000343A02909F9E69C1BBFBF7178C0B5041</t>
  </si>
  <si>
    <t>https://selectree.calpoly.edu/tree-detail/1563</t>
  </si>
  <si>
    <t>ojoslind@calpoly.edu</t>
  </si>
  <si>
    <t>0101000020110F000044C644F5A79E69C15BEF77EB9F0B5041</t>
  </si>
  <si>
    <t>https://selectree.calpoly.edu/tree-detail/241</t>
  </si>
  <si>
    <t>0101000020110F0000FE67C4DCA79E69C1E4B95AFB9E0B5041</t>
  </si>
  <si>
    <t>0101000020110F0000DC311361A89E69C1010A1492A00B5041</t>
  </si>
  <si>
    <t>0101000020110F0000CAE53EACAE9E69C108BE60518B0B5041</t>
  </si>
  <si>
    <t>0101000020110F0000B95289CFAE9E69C1742695A88C0B5041</t>
  </si>
  <si>
    <t>0101000020110F0000EBF9D092AC9E69C120F6D2B08C0B5041</t>
  </si>
  <si>
    <t>https://selectree.calpoly.edu/tree-detail/55</t>
  </si>
  <si>
    <t>0101000020110F0000FECDC6FDAD9E69C18A54EDF28C0B5041</t>
  </si>
  <si>
    <t>https://selectree.calpoly.edu/tree-detail/762</t>
  </si>
  <si>
    <t>0101000020110F000045A8ADD68D9E69C19454A5D2850B5041</t>
  </si>
  <si>
    <t>slisiesk@calpoly.edu</t>
  </si>
  <si>
    <t>0101000020110F00002620BCAD929E69C1945A8E4B890B5041</t>
  </si>
  <si>
    <t>0101000020110F00007933F67D929E69C19005C21D8A0B5041</t>
  </si>
  <si>
    <t xml:space="preserve">Multi leader trunk
https://selectree.calpoly.edu/tree-detail/174 </t>
  </si>
  <si>
    <t>0101000020110F00000DEDB142929E69C17D479476890B5041</t>
  </si>
  <si>
    <t>Multi leader
https://selectree.calpoly.edu/tree-detail/177</t>
  </si>
  <si>
    <t>0101000020110F00001A059EF0929E69C1281118018A0B5041</t>
  </si>
  <si>
    <t>0101000020110F0000FBEBB82E939E69C11F4BC671890B5041</t>
  </si>
  <si>
    <t>QULO</t>
  </si>
  <si>
    <t>California white oak</t>
  </si>
  <si>
    <t>0101000020110F0000FD6886AA939E69C14D1812DE880B5041</t>
  </si>
  <si>
    <t>Quercus lobata</t>
  </si>
  <si>
    <t>Scares along the trunk</t>
  </si>
  <si>
    <t>0101000020110F00009081FE5E949E69C1B632E48D860B5041</t>
  </si>
  <si>
    <t>Planted in 2024
https://selectree.calpoly.edu/tree-detail/1238</t>
  </si>
  <si>
    <t>QUWI</t>
  </si>
  <si>
    <t>Interior live oak</t>
  </si>
  <si>
    <t>0101000020110F0000CC25308E929E69C1FF5E265F860B5041</t>
  </si>
  <si>
    <t>Quercus wislizeni</t>
  </si>
  <si>
    <t>Young tree with physical damage along lower trunk.
https://www.selectree.calpoly.edu/tree-detail/1266</t>
  </si>
  <si>
    <t>0101000020110F0000D713F979939E69C1596CEF318A0B5041</t>
  </si>
  <si>
    <t>Lots of multi trunks. 
https://selectree.calpoly.edu/tree-detail/804</t>
  </si>
  <si>
    <t>0101000020110F00003D5FD419909E69C19A7A09BA7F0B5041</t>
  </si>
  <si>
    <t>Sparser foliage towards the top of the tree
https://www.selectree.calpoly.edu/tree-detail/1164</t>
  </si>
  <si>
    <t>0101000020110F00007E85F7FE8B9E69C1A61007637D0B5041</t>
  </si>
  <si>
    <t>0101000020110F0000FBF0C039949E69C184B10744890B5041</t>
  </si>
  <si>
    <t>0101000020110F00007D169FC5929E69C18B943CBC880B5041</t>
  </si>
  <si>
    <t>Unhealthy looking. When most likely recommend removing.
Quercus garryana var. breweri 
https://www.selectree.calpoly.edu/tree-detail/1240</t>
  </si>
  <si>
    <t>0101000020110F0000689A48E58E9E69C16E4FAC4D820B5041</t>
  </si>
  <si>
    <t xml:space="preserve"> 
Multistem
https://selectree.calpoly.edu/tree-detail/1235 </t>
  </si>
  <si>
    <t>0101000020110F0000B0FF6931919E69C13146C147810B5041</t>
  </si>
  <si>
    <t>https://selectree.calpoly.edu/tree-detail/1234</t>
  </si>
  <si>
    <t>0101000020110F0000D9EF2A25939E69C1DDA7768C880B5041</t>
  </si>
  <si>
    <t>Quercus garryana var. breweri 
Oregon oak
https://www.selectree.calpoly.edu/tree-detail/1240</t>
  </si>
  <si>
    <t>JUCA2</t>
  </si>
  <si>
    <t>Southern california walnut</t>
  </si>
  <si>
    <t>Juglans</t>
  </si>
  <si>
    <t>0101000020110F0000B4B58A80909E69C1A89527777F0B5041</t>
  </si>
  <si>
    <t>Juglans californica</t>
  </si>
  <si>
    <t>https://selectree.calpoly.edu/tree-detail/1504</t>
  </si>
  <si>
    <t>0101000020110F00006B8AD1628F9E69C1F9ABD3187F0B5041</t>
  </si>
  <si>
    <t>Tree only has a few leaves left, although since the tree is deciduous. Hard to tell quality of tree currently.
https://selectree.calpoly.edu/tree-detail/321</t>
  </si>
  <si>
    <t>0101000020110F00007A756591AD9E69C1262C2C33830B5041</t>
  </si>
  <si>
    <t>https://www.selectree.calpoly.edu/tree-detail/388</t>
  </si>
  <si>
    <t>0101000020110F0000F98820EFAC9E69C179A3316D830B5041</t>
  </si>
  <si>
    <t>0101000020110F000001C19564AC9E69C1B2802FC3830B5041</t>
  </si>
  <si>
    <t>0101000020110F00004D53F1EFAD9E69C1DBA406247B0B5041</t>
  </si>
  <si>
    <t>0101000020110F0000D94092A4A99E69C1206534E37B0B5041</t>
  </si>
  <si>
    <t>0101000020110F0000346AD1B7AC9E69C11DEAAE467D0B5041</t>
  </si>
  <si>
    <t>https://selectree.calpoly.edu/search-results#activePage=1&amp;resultsPerPage=30&amp;searchTerm=Acer%20palmatum&amp;sort=1</t>
  </si>
  <si>
    <t>RHLA</t>
  </si>
  <si>
    <t>African sumac</t>
  </si>
  <si>
    <t>0101000020110F000017DEBC89AA9E69C115686AAE7D0B5041</t>
  </si>
  <si>
    <t>Rhus lancea</t>
  </si>
  <si>
    <t>https://selectree.calpoly.edu/tree-detail/1284</t>
  </si>
  <si>
    <t>0101000020110F00003F2D381CAC9E69C19BF71DA67D0B5041</t>
  </si>
  <si>
    <t>CECA</t>
  </si>
  <si>
    <t>Eastern redbud</t>
  </si>
  <si>
    <t>0101000020110F0000870F8D80AC9E69C1D38BE9377E0B5041</t>
  </si>
  <si>
    <t>Cercis canadensis</t>
  </si>
  <si>
    <t>https://www.selectree.calpoly.edu/tree-detail/312</t>
  </si>
  <si>
    <t>0101000020110F00001B3E77949A9E69C104D61BE0930B5041</t>
  </si>
  <si>
    <t>https://selectree.calpoly.edu/search-results#activePage=1&amp;resultsPerPage=30&amp;searchTerm=Oak&amp;sort=1</t>
  </si>
  <si>
    <t>0101000020110F000093F47E4CA99E69C1E0079D2E740B5041</t>
  </si>
  <si>
    <t>https://selectree.calpoly.edu/tree-detail/344</t>
  </si>
  <si>
    <t>0101000020110F0000DCFF0CCCA89E69C11B8E913D750B5041</t>
  </si>
  <si>
    <t>0101000020110F0000A44C1B2CA89E69C126B0789B770B5041</t>
  </si>
  <si>
    <t>0101000020110F0000E856D859A89E69C1DAB3F51E770B5041</t>
  </si>
  <si>
    <t>0101000020110F00004F8ACAB3A89E69C13E09D881770B5041</t>
  </si>
  <si>
    <t>GEPA</t>
  </si>
  <si>
    <t>Australian willow</t>
  </si>
  <si>
    <t>Rutaceae</t>
  </si>
  <si>
    <t>Geijera</t>
  </si>
  <si>
    <t>0101000020110F00007A045E46A89E69C1A63A856C760B5041</t>
  </si>
  <si>
    <t>Geijera parviflora</t>
  </si>
  <si>
    <t>https://selectree.calpoly.edu/tree-detail/654</t>
  </si>
  <si>
    <t>0101000020110F00005FA5AF94A89E69C12D7A6C80750B5041</t>
  </si>
  <si>
    <t>PYKA</t>
  </si>
  <si>
    <t>Evergreen pear</t>
  </si>
  <si>
    <t>Pyrus</t>
  </si>
  <si>
    <t>0101000020110F00006DBDCED2A59E69C148D7BB156F0B5041</t>
  </si>
  <si>
    <t>Pyrus kawakamii</t>
  </si>
  <si>
    <t>https://selectree.calpoly.edu/tree-detail/1222</t>
  </si>
  <si>
    <t>0101000020110F000008F8D546A69E69C1CFF8762A700B5041</t>
  </si>
  <si>
    <t>0101000020110F00001F62B30CA59E69C154183C676F0B5041</t>
  </si>
  <si>
    <t>0101000020110F00009A1B1442A39E69C19F9D960F730B5041</t>
  </si>
  <si>
    <t>0101000020110F00009CA9F05BA49E69C13BFEB820720B5041</t>
  </si>
  <si>
    <t>SAPA</t>
  </si>
  <si>
    <t>Cabbage palmetto</t>
  </si>
  <si>
    <t>Sabal</t>
  </si>
  <si>
    <t>0101000020110F00005AB89515A19E69C1D050F7EA9A0B5041</t>
  </si>
  <si>
    <t>Sabal palmetto</t>
  </si>
  <si>
    <t>https://www.selectree.calpoly.edu/tree-detail/1295</t>
  </si>
  <si>
    <t>LIDE2</t>
  </si>
  <si>
    <t>Ribbon palm</t>
  </si>
  <si>
    <t>0101000020110F000077663B569F9E69C143213DAD990B5041</t>
  </si>
  <si>
    <t>Livistona decipiens</t>
  </si>
  <si>
    <t>https://selectree.calpoly.edu/tree-detail/830</t>
  </si>
  <si>
    <t>0101000020110F000098921BC1A49E69C1EB29B78D9F0B5041</t>
  </si>
  <si>
    <t>SCMO</t>
  </si>
  <si>
    <t>California peppertree</t>
  </si>
  <si>
    <t>Schinus</t>
  </si>
  <si>
    <t>0101000020110F0000887A0C558B9E69C1BBC9A4A18A0B5041</t>
  </si>
  <si>
    <t>Schinus molle</t>
  </si>
  <si>
    <t>Not from South Africa, potentially removal
https://selectree.calpoly.edu/tree-detail/1322</t>
  </si>
  <si>
    <t>south african</t>
  </si>
  <si>
    <t>ALRH</t>
  </si>
  <si>
    <t>White alder</t>
  </si>
  <si>
    <t>Alnus</t>
  </si>
  <si>
    <t>0101000020110F0000E0E51A84A39E69C192F72D46900B5041</t>
  </si>
  <si>
    <t>Alnus rhombifolia</t>
  </si>
  <si>
    <t>https://selectree.calpoly.edu/tree-detail/154</t>
  </si>
  <si>
    <t>0101000020110F0000285FD9CBA29E69C19A1E43928F0B5041</t>
  </si>
  <si>
    <t>0101000020110F00000C98AFAFA09E69C15ED1B7F48B0B5041</t>
  </si>
  <si>
    <t>Olivia</t>
  </si>
  <si>
    <t>0101000020110F0000DD8003E9A09E69C1540B66658B0B5041</t>
  </si>
  <si>
    <t>0101000020110F0000EA5E3D359F9E69C1E24C524F8B0B5041</t>
  </si>
  <si>
    <t>0101000020110F0000C1D8A388A29E69C150D3F0EF8B0B5041</t>
  </si>
  <si>
    <t xml:space="preserve">https://selectree.calpoly.edu/tree-detail/1227 </t>
  </si>
  <si>
    <t>0101000020110F0000AA7AD36DA09E69C102344732890B5041</t>
  </si>
  <si>
    <t>PLRA</t>
  </si>
  <si>
    <t>California sycamore</t>
  </si>
  <si>
    <t>Platanaceae</t>
  </si>
  <si>
    <t>Platanus</t>
  </si>
  <si>
    <t>0101000020110F0000FC4034449C9E69C1A0D5F9048A0B5041</t>
  </si>
  <si>
    <t>Platanus racemosa</t>
  </si>
  <si>
    <t>lots of new leaf growth
sparse in branches
https://selectree.calpoly.edu/tree-detail/1107</t>
  </si>
  <si>
    <t>0101000020110F000083D61A6EA99E69C193223FC6A10B5041</t>
  </si>
  <si>
    <t>Lauren</t>
  </si>
  <si>
    <t>0101000020110F00000AC9FE35AB9E69C14D73F6CDA40B5041</t>
  </si>
  <si>
    <t>0101000020110F0000D2AF2090AB9E69C11629A668A20B5041</t>
  </si>
  <si>
    <t>0101000020110F0000FD15C398AA9E69C1D7C25F54A50B5041</t>
  </si>
  <si>
    <t>0101000020110F0000C37169C7A99E69C1D00B4DECA50B5041</t>
  </si>
  <si>
    <t>0101000020110F000091CC4C4EAB9E69C1C536BC35A40B5041</t>
  </si>
  <si>
    <t>0101000020110F0000E6A67632A99E69C1789407C7A50B5041</t>
  </si>
  <si>
    <t>0101000020110F000046C92A7FAA9E69C1513BD099A50B5041</t>
  </si>
  <si>
    <t>0101000020110F00008ED05250AB9E69C137A71176A30B5041</t>
  </si>
  <si>
    <t>0101000020110F0000311018A7AA9E69C14AB66EFAA20B5041</t>
  </si>
  <si>
    <t>MENE</t>
  </si>
  <si>
    <t>Pink melaleuca</t>
  </si>
  <si>
    <t>0101000020110F000054C94099A99E69C17EB4035FA40B5041</t>
  </si>
  <si>
    <t>Melaleuca nesophila</t>
  </si>
  <si>
    <t>https://selectree.calpoly.edu/tree-detail/932</t>
  </si>
  <si>
    <t>0101000020110F0000121459E9A89E69C14A00E74AA40B5041</t>
  </si>
  <si>
    <t>MAIN8</t>
  </si>
  <si>
    <t>Macadamia nut</t>
  </si>
  <si>
    <t>Macadamia</t>
  </si>
  <si>
    <t>0101000020110F00007F40A92FAA9E69C10A2FD848A40B5041</t>
  </si>
  <si>
    <t>Macadamia integrifolia</t>
  </si>
  <si>
    <t>https://selectree.calpoly.edu/tree-detail/836</t>
  </si>
  <si>
    <t>0101000020110F00009BC4F12C8C9E69C113FDD4D48D0B5041</t>
  </si>
  <si>
    <t>Still young and growing.
https://selectree.calpoly.edu/tree-detail/1522</t>
  </si>
  <si>
    <t>0101000020110F000007E2E9108B9E69C10ADC54B48C0B5041</t>
  </si>
  <si>
    <t>Lots of shade, also commonly known as Soapbark.
https://selectree.calpoly.edu/tree-detail/1522</t>
  </si>
  <si>
    <t>0101000020110F0000B41498888A9E69C182BEAA9E8C0B5041</t>
  </si>
  <si>
    <t xml:space="preserve">Heavily shaded by surrounding trees.
</t>
  </si>
  <si>
    <t>0101000020110F0000ECE42F4C889E69C1A543CB47880B5041</t>
  </si>
  <si>
    <t>0101000020110F000082DEA0AC899E69C1B2A3B8D58A0B5041</t>
  </si>
  <si>
    <t xml:space="preserve">
https://selectree.calpoly.edu/tree-detail/743</t>
  </si>
  <si>
    <t>0101000020110F0000BF9F393E899E69C1DB67A9198B0B5041</t>
  </si>
  <si>
    <t>0101000020110F0000D58F0C5B889E69C177343491870B5041</t>
  </si>
  <si>
    <t>0101000020110F0000B02397BA889E69C14CB9DE2B8A0B5041</t>
  </si>
  <si>
    <t>0101000020110F0000A84A164D899E69C1E0E8AEE3890B5041</t>
  </si>
  <si>
    <t>ACFA</t>
  </si>
  <si>
    <t>Sweet acacia</t>
  </si>
  <si>
    <t>0101000020110F000037F9E03A8A9E69C156A7A6B48B0B5041</t>
  </si>
  <si>
    <t>Acacia farnesiana</t>
  </si>
  <si>
    <t>Some dead branches that need to be pruned out.
https://selectree.calpoly.edu/tree-detail/25</t>
  </si>
  <si>
    <t>0101000020110F0000F672F4B3AF9E69C1A555EE208B0B5041</t>
  </si>
  <si>
    <t>SophiaG</t>
  </si>
  <si>
    <t>0101000020110F00008EF06D7DAE9E69C12AD5A0E5890B5041</t>
  </si>
  <si>
    <t>0101000020110F00008A9BA14FAF9E69C1825960178B0B5041</t>
  </si>
  <si>
    <t>0101000020110F00006BF4DF73AE9E69C176775554880B5041</t>
  </si>
  <si>
    <t>0101000020110F000007E3DE9EAE9E69C12E2A6D13890B5041</t>
  </si>
  <si>
    <t>0101000020110F0000E1591AD8AE9E69C1CAA86E37880B5041</t>
  </si>
  <si>
    <t>0101000020110F00001D5F6890AE9E69C1C7C8CAA0870B5041</t>
  </si>
  <si>
    <t>0101000020110F0000D946AF23AE9E69C1BB5A896A850B5041</t>
  </si>
  <si>
    <t>0101000020110F00003B6FCD76AE9E69C15830B6C0860B5041</t>
  </si>
  <si>
    <t>0101000020110F0000D1D69108AE9E69C1C1AF46F6840B5041</t>
  </si>
  <si>
    <t>Leaning over
https://selectree.calpoly.edu/tree-detail/1227</t>
  </si>
  <si>
    <t>0101000020110F0000BFA8EA52AE9E69C10A1F1303860B5041</t>
  </si>
  <si>
    <t>0101000020110F0000B56ABE73AE9E69C125F8C3C07F0B5041</t>
  </si>
  <si>
    <t>UMCA</t>
  </si>
  <si>
    <t>California laurel</t>
  </si>
  <si>
    <t>Umbellularia</t>
  </si>
  <si>
    <t>0101000020110F0000C27C5C55AE9E69C17BC03CDA870B5041</t>
  </si>
  <si>
    <t>Umbellularia californica</t>
  </si>
  <si>
    <t>0101000020110F00000EBDB830939E69C1E4C83506920B5041</t>
  </si>
  <si>
    <t>Lilliana</t>
  </si>
  <si>
    <t>0101000020110F00009F216AB9939E69C1B4A99D5F8D0B5041</t>
  </si>
  <si>
    <t>0101000020110F0000981AF9CE979E69C12337889D8D0B5041</t>
  </si>
  <si>
    <t>https://www.selectree.calpoly.edu/tree-detail/177
https://docs.google.com/document/d/10rLtBp2XiuAYNBo9RVyBnA-bhwDb0hvvzErP0Utc7HY/edit</t>
  </si>
  <si>
    <t>0101000020110F0000B854B232949E69C1266C85EB920B5041</t>
  </si>
  <si>
    <t>0101000020110F00007B22E8AE949E69C13C4DF537930B5041</t>
  </si>
  <si>
    <t>0101000020110F000091B7DA21969E69C1C7286ECC8D0B5041</t>
  </si>
  <si>
    <t>PRDU</t>
  </si>
  <si>
    <t>Sweet almond</t>
  </si>
  <si>
    <t>0101000020110F00001852E7C0979E69C1E42F829B920B5041</t>
  </si>
  <si>
    <t>Prunus dulcis</t>
  </si>
  <si>
    <t>https://docs.google.com/document/d/1lF_tVi3Mrrkivsrnuiep-ccsHrXwhFS9gaCJgyIr2VM/edit
https://www.selectree.calpoly.edu/tree-detail/1149</t>
  </si>
  <si>
    <t>0101000020110F00002F0607D1949E69C1BE5BC75B8D0B5041</t>
  </si>
  <si>
    <t>https://docs.google.com/document/d/1OgBpDzhlMm4BGh31IFxd9AISmaq8oGcxjfarEjrssuA/edit
https://www.selectree.calpoly.edu/tree-detail/1464</t>
  </si>
  <si>
    <t>ARMA2</t>
  </si>
  <si>
    <t>Marina arbutus</t>
  </si>
  <si>
    <t>0101000020110F0000EA4A5AD8979E69C10417429E910B5041</t>
  </si>
  <si>
    <t>Arbutus var. marina</t>
  </si>
  <si>
    <t>https://www.selectree.calpoly.edu/tree-detail/174</t>
  </si>
  <si>
    <t>0101000020110F00001B73F14F989E69C13860E3A4920B5041</t>
  </si>
  <si>
    <t>0101000020110F00002572B4A6989E69C1A5994BE9910B5041</t>
  </si>
  <si>
    <t>WAFI</t>
  </si>
  <si>
    <t>California palm</t>
  </si>
  <si>
    <t>Washingtonia</t>
  </si>
  <si>
    <t>0101000020110F0000E652AEF8A29E69C1286A63FC9D0B5041</t>
  </si>
  <si>
    <t>Washingtonia filifera</t>
  </si>
  <si>
    <t>Nathan</t>
  </si>
  <si>
    <t>0101000020110F0000146A148EA29E69C1F0AA787A9D0B5041</t>
  </si>
  <si>
    <t>BUCA</t>
  </si>
  <si>
    <t>Jelly palm</t>
  </si>
  <si>
    <t>Butia</t>
  </si>
  <si>
    <t>0101000020110F0000D29652ADA19E69C1191EA2E49C0B5041</t>
  </si>
  <si>
    <t>Butia capitata</t>
  </si>
  <si>
    <t>https://www.selectree.calpoly.edu/tree-detail/229</t>
  </si>
  <si>
    <t>0101000020110F000038BB4BD0A09E69C1A18C524B970B5041</t>
  </si>
  <si>
    <t>lots of suckers coming uphttps://www.selectree.calpoly.edu/tree-detail/344</t>
  </si>
  <si>
    <t>0101000020110F00006EB74B1AA29E69C14AE117309E0B5041</t>
  </si>
  <si>
    <t>0101000020110F0000BF56B7C8A19E69C1DADAD2F49D0B5041</t>
  </si>
  <si>
    <t>WARO</t>
  </si>
  <si>
    <t>Mexican fan palm</t>
  </si>
  <si>
    <t>0101000020110F0000FBCAD2DEA09E69C1956E703D9B0B5041</t>
  </si>
  <si>
    <t>https://www.selectree.calpoly.edu/tree-detail/1471</t>
  </si>
  <si>
    <t>0101000020110F0000E16A1BA69A9E69C10C1DF4A5870B5041</t>
  </si>
  <si>
    <t>Part of a four trunk tree, remaining were cut don. Lots of suckers at base, bush-like
https://selectree.calpoly.edu/tree-detail/1325</t>
  </si>
  <si>
    <t>KatrinaR</t>
  </si>
  <si>
    <t>0101000020110F0000E64DC4ED9A9E69C115E34535880B5041</t>
  </si>
  <si>
    <t>Many suckers. Very young tree, lots of vegetative growth.
https://selectree.calpoly.edu/tree-detail/1325</t>
  </si>
  <si>
    <t>0101000020110F0000409973339A9E69C1B6B4EDA7880B5041</t>
  </si>
  <si>
    <t>0101000020110F00005D15835C9A9E69C151E8CFBE890B5041</t>
  </si>
  <si>
    <t>0101000020110F00009FB8D2419B9E69C167C93F0B8A0B5041</t>
  </si>
  <si>
    <t>0101000020110F0000EA5E3D359F9E69C1C81616D58B0B5041</t>
  </si>
  <si>
    <t>William</t>
  </si>
  <si>
    <t>0101000020110F00001E1CC9C49C9E69C1845448B3880B5041</t>
  </si>
  <si>
    <t>Very healthy except leaning with slope, needs to be corrected
https://www.selectree.calpoly.edu/tree-detail/1227</t>
  </si>
  <si>
    <t>0101000020110F000085184C7F9C9E69C14E78B1F08C0B5041</t>
  </si>
  <si>
    <t>0101000020110F00008356CC989D9E69C16181B3A28D0B5041</t>
  </si>
  <si>
    <t>0101000020110F0000B859FB629D9E69C19EE921AD8A0B5041</t>
  </si>
  <si>
    <t>0101000020110F0000E9D0601B9E9E69C11164FE158B0B5041</t>
  </si>
  <si>
    <t>0101000020110F0000C0F5FA40A29E69C163423D568D0B5041</t>
  </si>
  <si>
    <t xml:space="preserve">https://selectree.calpoly.edu/tree-detail/1446
</t>
  </si>
  <si>
    <t>0101000020110F0000F308D6909D9E69C12EEF06BE890B5041</t>
  </si>
  <si>
    <t>0101000020110F000004536AABAA9E69C13ADB84EE960B5041</t>
  </si>
  <si>
    <t>0101000020110F0000F89FE306AA9E69C120CCAFAA930B5041</t>
  </si>
  <si>
    <t>0101000020110F000035A26CFBA99E69C1FC47F75C980B5041</t>
  </si>
  <si>
    <t>0101000020110F0000FA0BAA76AD9E69C1F14B77BD9A0B5041</t>
  </si>
  <si>
    <t>https://selectree.calpoly.edu/tree-detail/238</t>
  </si>
  <si>
    <t>0101000020110F00006060D459AC9E69C1A1909BEC9B0B5041</t>
  </si>
  <si>
    <t>0101000020110F000080D17447AD9E69C11054BF98990B5041</t>
  </si>
  <si>
    <t>0101000020110F000065D07182A89E69C16AE63286990B5041</t>
  </si>
  <si>
    <t>0101000020110F0000AB7CAE68AE9E69C13D6649329A0B5041</t>
  </si>
  <si>
    <t>Gray leafed honey myrtle
https://selectree.calpoly.edu/tree-detail/932</t>
  </si>
  <si>
    <t>0101000020110F00003E7C3D95AA9E69C1FCE711C29C0B5041</t>
  </si>
  <si>
    <t>0101000020110F0000B8667A04A79E69C186E57C369A0B5041</t>
  </si>
  <si>
    <t>0101000020110F000062C0C30CAB9E69C16BB3498B9C0B5041</t>
  </si>
  <si>
    <t>0101000020110F000000BE67E5AA9E69C1F6D387679C0B5041</t>
  </si>
  <si>
    <t>0101000020110F000050116517AB9E69C1CB284E469B0B5041</t>
  </si>
  <si>
    <t>0101000020110F0000C40CDF87AB9E69C1EC0271669B0B5041</t>
  </si>
  <si>
    <t>0101000020110F0000487BC786AB9E69C17DD50CC79C0B5041</t>
  </si>
  <si>
    <t>0101000020110F0000A7479276AC9E69C19DBF95A0980B5041</t>
  </si>
  <si>
    <t>Woodpecker holes
https://selectree.calpoly.edu/tree-detail/678</t>
  </si>
  <si>
    <t>0101000020110F0000D8FC5A7FA99E69C13B582731960B5041</t>
  </si>
  <si>
    <t>0101000020110F00004D9988CEA79E69C182F36105990B5041</t>
  </si>
  <si>
    <t>QUKE</t>
  </si>
  <si>
    <t>California black oak</t>
  </si>
  <si>
    <t>0101000020110F000077173D4A909E69C12184D96B860B5041</t>
  </si>
  <si>
    <t>Quercus kelloggii</t>
  </si>
  <si>
    <t>Canopy raised too high, many small dead branches, too exposed to direct sunlight.
PROFILE: https://selectree.calpoly.edu/tree-detail/1244</t>
  </si>
  <si>
    <t>0101000020110F0000B1C592C5999E69C1B909BAD5870B5041</t>
  </si>
  <si>
    <t>Dead wood at the base of the tree.
PROFILE: https://selectree.calpoly.edu/tree-detail/832</t>
  </si>
  <si>
    <t>0101000020110F00003AC9B9928E9E69C19705C52B850B5041</t>
  </si>
  <si>
    <t xml:space="preserve">Quercus garryana (Fagaceae) - 
PROFILE: https://selectree.calpoly.edu/tree-detail/1240
</t>
  </si>
  <si>
    <t>0101000020110F000035A86FF1989E69C1385DCA24860B5041</t>
  </si>
  <si>
    <t>Dying back and placed poorly, requires attention.
PROFILE: https://selectree.calpoly.edu/tree-detail/321</t>
  </si>
  <si>
    <t>0101000020110F000009020A36AB9E69C12855B4D7930B5041</t>
  </si>
  <si>
    <t>https://www.selectree.calpoly.edu/tree-detail/477</t>
  </si>
  <si>
    <t>0101000020110F00005E4637A1A89E69C1195A8F76910B5041</t>
  </si>
  <si>
    <t>https://selectree.calpoly.edu/tree-detail/1532</t>
  </si>
  <si>
    <t>COCO1</t>
  </si>
  <si>
    <t>Smoke tree</t>
  </si>
  <si>
    <t>Cotinus</t>
  </si>
  <si>
    <t>0101000020110F00001EC0737AAB9E69C109B81571930B5041</t>
  </si>
  <si>
    <t>Cotinus coggygria</t>
  </si>
  <si>
    <t>https://selectree.calpoly.edu/tree-detail/433</t>
  </si>
  <si>
    <t>0101000020110F0000A9202D10949E69C19E0F73088E0B5041</t>
  </si>
  <si>
    <t>0101000020110F00003CE88272989E69C116008054980B5041</t>
  </si>
  <si>
    <t>0101000020110F0000CCE9B57D959E69C1D23C7D7B900B5041</t>
  </si>
  <si>
    <t>https://docs.google.com/document/d/1zkkYt8WLbXZ8vY4jrylVVNfgwn0HWSHqWX0qF-nHtyo/edit
https://selectree.calpoly.edu/tree-detail/2143</t>
  </si>
  <si>
    <t>0101000020110F0000DC508856959E69C14CF44F798E0B5041</t>
  </si>
  <si>
    <t>0101000020110F0000F4867CB6939E69C1ED8E8795920B5041</t>
  </si>
  <si>
    <t>0101000020110F0000F9CFC5A49B9E69C1988CA595940B5041</t>
  </si>
  <si>
    <t>0101000020110F000057EA091F959E69C137119A52930B5041</t>
  </si>
  <si>
    <t>Cedrus libani ssp. atlantica
https://selectree.calpoly.edu/tree-detail/294</t>
  </si>
  <si>
    <t>0101000020110F0000BD54CBC1929E69C1BAD2EE4A930B5041</t>
  </si>
  <si>
    <t>Cedar of Lebanon
Cedrus libani
https://selectree.calpoly.edu/tree-detail/294</t>
  </si>
  <si>
    <t>0101000020110F000033F151B3939E69C1FCD701E1930B5041</t>
  </si>
  <si>
    <t>Quercus frainetto 'schmidt'
https://www.selectree.calpoly.edu/tree-detail/1575</t>
  </si>
  <si>
    <t>0101000020110F0000326CECCD919E69C1CC8E60DA920B5041</t>
  </si>
  <si>
    <t>Quercus frainetto https://www.selectree.calpoly.edu/tree-detail/1575</t>
  </si>
  <si>
    <t>0101000020110F0000A3A319959B9E69C16E688652970B5041</t>
  </si>
  <si>
    <t>0101000020110F0000892C5EE09B9E69C1E96F9041980B5041</t>
  </si>
  <si>
    <t>0101000020110F0000A4929E34A19E69C18F00AF2C960B5041</t>
  </si>
  <si>
    <t>0101000020110F00009A1E73B0A19E69C1A1041581970B5041</t>
  </si>
  <si>
    <t>Aloe growing around 
https://www.selectree.calpoly.edu/tree-detail/215</t>
  </si>
  <si>
    <t>0101000020110F00001AA4F56AA19E69C18EB94071960B5041</t>
  </si>
  <si>
    <t>YU1</t>
  </si>
  <si>
    <t>Yucca</t>
  </si>
  <si>
    <t>0101000020110F0000ED2FCCB9A19E69C15788371F990B5041</t>
  </si>
  <si>
    <t>Yucca spp</t>
  </si>
  <si>
    <t>More than one trunk lots of dead lower leaves to be cleared out.
https://selectree.calpoly.edu/tree-detail/1475</t>
  </si>
  <si>
    <t>POHE2</t>
  </si>
  <si>
    <t>Long-leafed yellowwood</t>
  </si>
  <si>
    <t>Podocarpaceae</t>
  </si>
  <si>
    <t>0101000020110F0000C04570948D9E69C1DC4FDDF58B0B5041</t>
  </si>
  <si>
    <t>Podocarpus henkelii</t>
  </si>
  <si>
    <t>https://selectree.calpoly.edu/tree-detail/1520</t>
  </si>
  <si>
    <t>0101000020110F000036A98B6D8E9E69C16A3941298B0B5041</t>
  </si>
  <si>
    <t>0101000020110F000057F94B18909E69C1F4CB56218E0B5041</t>
  </si>
  <si>
    <t xml:space="preserve">https://selectree.calpoly.edu/tree-detail/1520
</t>
  </si>
  <si>
    <t>CACA3</t>
  </si>
  <si>
    <t>Cape chesnut</t>
  </si>
  <si>
    <t>Calodendrum</t>
  </si>
  <si>
    <t>0101000020110F00003FEE6708919E69C1C0F67BB18E0B5041</t>
  </si>
  <si>
    <t>Calodendrum capense</t>
  </si>
  <si>
    <t>https://selectree.calpoly.edu/tree-detail/244</t>
  </si>
  <si>
    <t>BAFO</t>
  </si>
  <si>
    <t>Bauhinia</t>
  </si>
  <si>
    <t>0101000020110F0000FE47FD3C8C9E69C115F7CB258B0B5041</t>
  </si>
  <si>
    <t>Bauhinia forficata</t>
  </si>
  <si>
    <t>Bauhinia galpinii
https://selectree.calpoly.edu/tree-detail/1538</t>
  </si>
  <si>
    <t>0101000020110F00009748BFA48E9E69C122ACFC5A8C0B5041</t>
  </si>
  <si>
    <t>Natal bottlebrush
Greyia sutherlandii
http://pza.sanbi.org/greyia-sutherlandii</t>
  </si>
  <si>
    <t>0101000020110F000088316DF58E9E69C1E5EA63C98C0B5041</t>
  </si>
  <si>
    <t>Natal bottlebrush
Greyia Sutherland 
http://pza.sanbi.org/greyia-sutherlandii</t>
  </si>
  <si>
    <t>0101000020110F0000487BF29A9B9E69C1EFE0EA82880B5041</t>
  </si>
  <si>
    <t>PROFILE: https://selectree.calpoly.edu/tree-detail/1227</t>
  </si>
  <si>
    <t>0101000020110F000065C1D33B9C9E69C1B1CCE354880B5041</t>
  </si>
  <si>
    <t>0101000020110F0000681BDBDA9F9E69C1172494178E0B5041</t>
  </si>
  <si>
    <t>0101000020110F00000F2119639F9E69C1137CC2F5900B5041</t>
  </si>
  <si>
    <t>`Quercus pacifica
Island scrub oak
https://www.selectree.calpoly.edu/tree-detail/1235</t>
  </si>
  <si>
    <t>0101000020110F00006AA017D7AC9E69C1A5B432AE8C0B5041</t>
  </si>
  <si>
    <t>Jackie</t>
  </si>
  <si>
    <t>0101000020110F000081111474959E69C1F59DC10B830B5041</t>
  </si>
  <si>
    <t>CA40</t>
  </si>
  <si>
    <t>Hornbeam</t>
  </si>
  <si>
    <t>Carpinus</t>
  </si>
  <si>
    <t>0101000020110F0000012041D7929E69C161E73756820B5041</t>
  </si>
  <si>
    <t>Carpinus spp</t>
  </si>
  <si>
    <t>https://www.selectree.calpoly.edu/tree-detail/1073</t>
  </si>
  <si>
    <t>Monica</t>
  </si>
  <si>
    <t>QUCH</t>
  </si>
  <si>
    <t>Canyon live oak</t>
  </si>
  <si>
    <t>0101000020110F0000959593E9959E69C1826560A7950B5041</t>
  </si>
  <si>
    <t>Quercus chrysolepis</t>
  </si>
  <si>
    <t>https://www.selectree.calpoly.edu/tree-detail/1232</t>
  </si>
  <si>
    <t>0101000020110F000023BA84A6999E69C1DC473A35990B5041</t>
  </si>
  <si>
    <t>SYRO</t>
  </si>
  <si>
    <t>Queen palm</t>
  </si>
  <si>
    <t>Syagrus</t>
  </si>
  <si>
    <t>0101000020110F00007A740670A19E69C14C0C037F9D0B5041</t>
  </si>
  <si>
    <t>Syagrus romanzoffiana</t>
  </si>
  <si>
    <t>https://selectree.calpoly.edu/tree-detail/1361</t>
  </si>
  <si>
    <t>0101000020110F0000289BC545A09E69C1261D709A9C0B5041</t>
  </si>
  <si>
    <t>0101000020110F000079E174E49E9E69C15E33E7EA9B0B5041</t>
  </si>
  <si>
    <t>https://selectree.calpoly.edu/tree-detail/1361
https://docs.google.com/document/d/1N1eWhFB4NdyBHcReboof6KeTP7UCOGUMQnJ7bWaH2SQ/edit</t>
  </si>
  <si>
    <t>0101000020110F00004ED5CE169E9E69C18FE354669B0B5041</t>
  </si>
  <si>
    <t>DRDR</t>
  </si>
  <si>
    <t>Dragon tree</t>
  </si>
  <si>
    <t>Dracaena</t>
  </si>
  <si>
    <t>0101000020110F00008624F0529D9E69C1A3A80B7F990B5041</t>
  </si>
  <si>
    <t>Dracaena draco</t>
  </si>
  <si>
    <t>https://selectree.calpoly.edu/tree-detail/498</t>
  </si>
  <si>
    <t>0101000020110F00008B07999A9D9E69C1F16679219A0B5041</t>
  </si>
  <si>
    <t>https://selectree.calpoly.edu/tree-detail/1475
https://docs.google.com/document/d/15yA2x6SBe-D_r74eEeV2VGh4f7o2XCYVkA5op4TKUMA/edit</t>
  </si>
  <si>
    <t>PIRA</t>
  </si>
  <si>
    <t>Montery pine</t>
  </si>
  <si>
    <t>0101000020110F000007EBDA6F8F9E69C1FBD5ADB9880B5041</t>
  </si>
  <si>
    <t>Pinus radiata</t>
  </si>
  <si>
    <t>https://selectree.calpoly.edu/tree-detail/1071</t>
  </si>
  <si>
    <t>0101000020110F0000678671DF8F9E69C1E1A09893890B5041</t>
  </si>
  <si>
    <t>https://selectree.calpoly.edu/search-results/name-search/quercus?activePage=1&amp;resultsPerPage=30&amp;sort=1</t>
  </si>
  <si>
    <t>0101000020110F0000755C73FAA89E69C11195B35F900B5041</t>
  </si>
  <si>
    <t>https://docs.google.com/document/d/1meqOwr664Fl0HHQFIZtWJzbvnaZgefarwyUEeWWqr_Q/edit
https://selectree.calpoly.edu/tree-detail/1532</t>
  </si>
  <si>
    <t>Samantha</t>
  </si>
  <si>
    <t>0101000020110F00007C9241D5A99E69C10CDAA474910B5041</t>
  </si>
  <si>
    <t>https://selectree.calpoly.edu/tree-detail/953</t>
  </si>
  <si>
    <t>MABO</t>
  </si>
  <si>
    <t>Mayten tree</t>
  </si>
  <si>
    <t>Celastraceae</t>
  </si>
  <si>
    <t>Maytenus</t>
  </si>
  <si>
    <t>0101000020110F0000D63CC86D919E69C15813E477920B5041</t>
  </si>
  <si>
    <t>Maytenus boaria</t>
  </si>
  <si>
    <t>https://www.selectree.calpoly.edu/tree-detail/925</t>
  </si>
  <si>
    <t>0101000020110F0000E064E5878D9E69C1D91BAAAA880B5041</t>
  </si>
  <si>
    <t>0101000020110F0000747FE0188E9E69C153E692AE890B5041</t>
  </si>
  <si>
    <t>0101000020110F000074984C349C9E69C124D3F115990B5041</t>
  </si>
  <si>
    <t>Jillian</t>
  </si>
  <si>
    <t>0101000020110F00009B7783859C9E69C118B8D358990B5041</t>
  </si>
  <si>
    <t>0101000020110F00008940A9869F9E69C102D7630C990B5041</t>
  </si>
  <si>
    <t>0101000020110F0000ACED06E2A29E69C1E0E57880970B5041</t>
  </si>
  <si>
    <t>0101000020110F00009240D4B3A29E69C1469A4339980B5041</t>
  </si>
  <si>
    <t>0101000020110F0000680B0B919D9E69C1EE11ADF39A0B5041</t>
  </si>
  <si>
    <t>0101000020110F000042DD84B49F9E69C1B876D4109C0B5041</t>
  </si>
  <si>
    <t>0101000020110F0000FC8750E6A09E69C14309F31E9D0B5041</t>
  </si>
  <si>
    <t>0101000020110F000063AEA7EA9E9E69C1CAD8501F990B5041</t>
  </si>
  <si>
    <t>Multi trunk
https://selectree.calpoly.edu/tree-detail/1003</t>
  </si>
  <si>
    <t>0101000020110F00002F2E0D3B9D9E69C11463072B9A0B5041</t>
  </si>
  <si>
    <t>BERE</t>
  </si>
  <si>
    <t>Pony-tail palm</t>
  </si>
  <si>
    <t>Beaucarnea</t>
  </si>
  <si>
    <t>0101000020110F0000E41935E69F9E69C118B8D358990B5041</t>
  </si>
  <si>
    <t>Beaucarnea recurvata</t>
  </si>
  <si>
    <t>Multi trunk
https://selectree.calpoly.edu/tree-detail/195</t>
  </si>
  <si>
    <t>0101000020110F000051F1874AA09E69C1DC8509D5990B5041</t>
  </si>
  <si>
    <t>0101000020110F0000372D6FB69F9E69C1FE8197DE990B5041</t>
  </si>
  <si>
    <t>0101000020110F000019148AF49F9E69C1217E25E8990B5041</t>
  </si>
  <si>
    <t>0101000020110F0000AE7E1D35AC9E69C13FFFE42A7E0B5041</t>
  </si>
  <si>
    <t>https://selectree.calpoly.edu/tree-detail/204</t>
  </si>
  <si>
    <t>0101000020110F00004B44397AAA9E69C1B5F3EFC5870B5041</t>
  </si>
  <si>
    <t>https://selectree.calpoly.edu/tree-detail/290
C. libani ssp. atlantica 'Pendula'</t>
  </si>
  <si>
    <t>0101000020110F00007EBBEFEDAE9E69C13BB6551A8A0B5041</t>
  </si>
  <si>
    <t>0101000020110F0000B29F25EFAD9E69C152D732317F0B5041</t>
  </si>
  <si>
    <t>0101000020110F000022E3E2FBAD9E69C1090253987E0B5041</t>
  </si>
  <si>
    <t>0101000020110F0000546014A9AD9E69C1745C829B7E0B5041</t>
  </si>
  <si>
    <t>PYCA</t>
  </si>
  <si>
    <t>Callery pear</t>
  </si>
  <si>
    <t>0101000020110F00005552AB0CAA9E69C16153B37E830B5041</t>
  </si>
  <si>
    <t>Pyrus calleryana</t>
  </si>
  <si>
    <t>https://selectree.calpoly.edu/tree-detail/1214</t>
  </si>
  <si>
    <t>0101000020110F00009B4AC71FAA9E69C15EFEE650840B5041</t>
  </si>
  <si>
    <t>0101000020110F0000511CD8BDA99E69C10D44D2FB800B5041</t>
  </si>
  <si>
    <t>0101000020110F0000033F713CAA9E69C1F2B47006850B5041</t>
  </si>
  <si>
    <t>0101000020110F0000A1C98CA7A99E69C161465313800B5041</t>
  </si>
  <si>
    <t>0101000020110F0000DF7295CAA99E69C12CEB93D7810B5041</t>
  </si>
  <si>
    <t>LA6</t>
  </si>
  <si>
    <t>Common crapemyrtle</t>
  </si>
  <si>
    <t>Lagerstroemia</t>
  </si>
  <si>
    <t>0101000020110F00002BAC84A7AB9E69C1E47D9915830B5041</t>
  </si>
  <si>
    <t>Lagerstroemia spp</t>
  </si>
  <si>
    <t>https://selectree.calpoly.edu/tree-detail/790</t>
  </si>
  <si>
    <t>0101000020110F000004CD4D56AB9E69C1055E6EEB800B5041</t>
  </si>
  <si>
    <t>0101000020110F00002C3A61C1AC9E69C1B69F0049800B5041</t>
  </si>
  <si>
    <t>0101000020110F0000201F4304AD9E69C1B8BBB97C820B5041</t>
  </si>
  <si>
    <t>0101000020110F00002D7CA30DA99E69C16B3A8CCC980B5041</t>
  </si>
  <si>
    <t>https://selectree.calpoly.edu/tree-detail/30</t>
  </si>
  <si>
    <t>Lexi</t>
  </si>
  <si>
    <t>0101000020110F0000BEB7A2BFA79E69C1A02FBDFEA00B5041</t>
  </si>
  <si>
    <t>https://selectree.calpoly.edu/tree-detail/933</t>
  </si>
  <si>
    <t>0101000020110F0000B510B533A79E69C1D725F3AC9E0B5041</t>
  </si>
  <si>
    <t>0101000020110F0000782D46D9A89E69C195C7F78B960B5041</t>
  </si>
  <si>
    <t>https://selectree.calpoly.edu/tree-detail/213</t>
  </si>
  <si>
    <t>0101000020110F000087C1F123A69E69C105BB969F9A0B5041</t>
  </si>
  <si>
    <t>Grevillea â€˜Constanceâ€™
https://selectree.calpoly.edu/tree-detail/678</t>
  </si>
  <si>
    <t>ER15</t>
  </si>
  <si>
    <t>Coral tree spp</t>
  </si>
  <si>
    <t>0101000020110F00001771EAF5A69E69C1DD2B9D4F9C0B5041</t>
  </si>
  <si>
    <t>Erythrina spp</t>
  </si>
  <si>
    <t>https://selectree.calpoly.edu/search-results/name-search/erythrina?activePage=1&amp;resultsPerPage=30&amp;sort=1</t>
  </si>
  <si>
    <t>0101000020110F0000D24FED128D9E69C1A8EE31F28E0B5041</t>
  </si>
  <si>
    <t>https://selectree.calpoly.edu/tree-detail/925</t>
  </si>
  <si>
    <t>0101000020110F00004851196C8D9E69C1FA11C3A58E0B5041</t>
  </si>
  <si>
    <t>0101000020110F0000089080DA8D9E69C1C98126258F0B5041</t>
  </si>
  <si>
    <t>https://selectree.calpoly.edu/tree-detail/743
https://docs.google.com/document/d/1sS7KRir055SGjcZ2CWFMoQbOVYxwdguLpxXY3lR-dhY/edit</t>
  </si>
  <si>
    <t>0101000020110F00006952893F8D9E69C1A991684A860B5041</t>
  </si>
  <si>
    <t>https://selectree.calpoly.edu/tree-detail/243
https://docs.google.com/document/d/1A-uOylyLIEOgcq6l9UhW-l7-wCAJxjW-Bv6S71o_LJk/edit</t>
  </si>
  <si>
    <t>CUMA</t>
  </si>
  <si>
    <t>Monterey cypress</t>
  </si>
  <si>
    <t>0101000020110F0000D9883B988A9E69C1029C0DBC800B5041</t>
  </si>
  <si>
    <t>Cupressus macrocarpa</t>
  </si>
  <si>
    <t>PROFILE: https://selectree.calpoly.edu/tree-detail/476</t>
  </si>
  <si>
    <t>0101000020110F0000C7FC9779899E69C1B7151281840B5041</t>
  </si>
  <si>
    <t>https://selectree.calpoly.edu/tree-detail/476</t>
  </si>
  <si>
    <t>0101000020110F0000530989D38B9E69C15F91524F830B5041</t>
  </si>
  <si>
    <t>https://selectree.calpoly.edu/tree-detail/476
https://docs.google.com/document/d/1OIVwKOPkxqrk6En9BdGbMYhlSw8wqjizh-MrBM-11gk/edit</t>
  </si>
  <si>
    <t>0101000020110F00000958B64C929E69C1C9DBE172820B5041</t>
  </si>
  <si>
    <t>https://www.selectree.calpoly.edu/tree-detail/1067</t>
  </si>
  <si>
    <t>PHCA</t>
  </si>
  <si>
    <t>Canary island date palm</t>
  </si>
  <si>
    <t>0101000020110F0000E7686478969E69C193DECF0E920B5041</t>
  </si>
  <si>
    <t>https://selectree.calpoly.edu/tree-detail/1001</t>
  </si>
  <si>
    <t>Karla</t>
  </si>
  <si>
    <t>0101000020110F0000E707E595989E69C1F47DBD098E0B5041</t>
  </si>
  <si>
    <t>Magdalena</t>
  </si>
  <si>
    <t>0101000020110F0000E32AB0469A9E69C18BF38EFA950B5041</t>
  </si>
  <si>
    <t>0101000020110F0000D39AE50C9A9E69C11809A5DD960B5041</t>
  </si>
  <si>
    <t>0101000020110F0000206E7B0C999E69C1AFDAA79C950B5041</t>
  </si>
  <si>
    <t>Multi. Trunk
https://selectree.calpoly.edu/tree-detail/289</t>
  </si>
  <si>
    <t>0101000020110F000048D0FE20939E69C16B6C41768F0B5041</t>
  </si>
  <si>
    <t>0101000020110F00000A715BFF949E69C149E9DCC9910B5041</t>
  </si>
  <si>
    <t>0101000020110F00009743B1F1939E69C108806EDD8F0B5041</t>
  </si>
  <si>
    <t>0101000020110F000076B6817A929E69C135181FE28F0B5041</t>
  </si>
  <si>
    <t>0101000020110F0000F9E1B135949E69C107E4C933910B5041</t>
  </si>
  <si>
    <t>0101000020110F00009522A762939E69C19E0F73088E0B5041</t>
  </si>
  <si>
    <t xml:space="preserve">https://selectree.calpoly.edu/tree-detail/1575
</t>
  </si>
  <si>
    <t>0101000020110F000003C26E35A69E69C12CE6E097A10B5041</t>
  </si>
  <si>
    <t>0101000020110F0000E736EB6FA59E69C1844AB0FA9F0B5041</t>
  </si>
  <si>
    <t>0101000020110F00009BBAC1B1A59E69C14E0679C2A00B5041</t>
  </si>
  <si>
    <t>0101000020110F0000208F7520A59E69C1D1AF41E2A00B5041</t>
  </si>
  <si>
    <t>0101000020110F0000E94A3EE8A59E69C1F07C48CD9F0B5041</t>
  </si>
  <si>
    <t>MEGL</t>
  </si>
  <si>
    <t>Dawn redwood</t>
  </si>
  <si>
    <t>Metasequoia</t>
  </si>
  <si>
    <t>0101000020110F000029A52814A59E69C1063433CC9C0B5041</t>
  </si>
  <si>
    <t xml:space="preserve">https://selectree.calpoly.edu/tree-detail/938
</t>
  </si>
  <si>
    <t>CYRE11</t>
  </si>
  <si>
    <t>Sago palm</t>
  </si>
  <si>
    <t>Cycadaceae</t>
  </si>
  <si>
    <t>Cycas</t>
  </si>
  <si>
    <t>0101000020110F0000DEBBB33FA49E69C1007941EA9E0B5041</t>
  </si>
  <si>
    <t>Cycas revoluta</t>
  </si>
  <si>
    <t>https://selectree.calpoly.edu/tree-detail/1817</t>
  </si>
  <si>
    <t>0101000020110F0000D0EAA571A49E69C17651FC3B9F0B5041</t>
  </si>
  <si>
    <t>0101000020110F00002919C3B18C9E69C111C6CF148B0B5041</t>
  </si>
  <si>
    <t>0101000020110F0000BDE98C7AA39E69C10C787B81910B5041</t>
  </si>
  <si>
    <t>0101000020110F0000CB928751A49E69C1D045B1FD910B5041</t>
  </si>
  <si>
    <t>https://selectree.calpoly.edu/tree-detail/154
https://docs.google.com/document/d/12VtN_1xMH0yYi6F1epDwssvIsZnNJ9_pmzBbaYFMNLQ/edit?usp=sharing</t>
  </si>
  <si>
    <t>0101000020110F00007C713A9BA19E69C18F324922930B5041</t>
  </si>
  <si>
    <t>0101000020110F0000D277068AA39E69C16E1B5AE0930B5041</t>
  </si>
  <si>
    <t>0101000020110F0000B8780719A29E69C1017916F8930B5041</t>
  </si>
  <si>
    <t>0101000020110F0000AF35302CA19E69C1765475AA910B5041</t>
  </si>
  <si>
    <t xml:space="preserve">https://selectree.calpoly.edu/tree-detail/1325
</t>
  </si>
  <si>
    <t>0101000020110F0000F39E3351A19E69C15CC6C271920B5041</t>
  </si>
  <si>
    <t>0101000020110F00002F452F8CA19E69C172ACBBAC8F0B5041</t>
  </si>
  <si>
    <t>https://selectree.calpoly.edu/tree-detail/1325
https://docs.google.com/document/d/1QbO2vxX5gtSjoDGAagVPEWxo0th0hT_aftNhdZIcKho/edit?usp=sharing</t>
  </si>
  <si>
    <t>0101000020110F00001B2453CEA19E69C176244B278B0B5041</t>
  </si>
  <si>
    <t>0101000020110F00003F8C4DB89D9E69C1CE6880B2900B5041</t>
  </si>
  <si>
    <t>0101000020110F00001A41AA86A19E69C1E56C23ED8C0B5041</t>
  </si>
  <si>
    <t>0101000020110F00005E8AEA1F9C9E69C199B354F88E0B5041</t>
  </si>
  <si>
    <t>SelectTree: https://selectree.calpoly.edu/tree-detail/1238
QR: https://docs.google.com/document/d/1NiJXXk7aXiSHbUygBpqGqhfbK2ckFVT_gblUXzuteaM/edit</t>
  </si>
  <si>
    <t>0101000020110F000015E06F92A39E69C1D4B7D7F18B0B5041</t>
  </si>
  <si>
    <t>0101000020110F0000EAAB6C13A49E69C110EAA1758B0B5041</t>
  </si>
  <si>
    <t>PRVI</t>
  </si>
  <si>
    <t>Common chokecherry</t>
  </si>
  <si>
    <t>0101000020110F0000B8702DC49B9E69C18AE29E078F0B5041</t>
  </si>
  <si>
    <t>Prunus virginiana</t>
  </si>
  <si>
    <t>https://selectree.calpoly.edu/tree-detail/1191</t>
  </si>
  <si>
    <t>0101000020110F000039B6DE8EAD9E69C16A2A0F729C0B5041</t>
  </si>
  <si>
    <t>0101000020110F00006BBF52C9AC9E69C1AB7CD7C99D0B5041</t>
  </si>
  <si>
    <t>0101000020110F000071385D20AF9E69C1DDB9025F950B5041</t>
  </si>
  <si>
    <t>0101000020110F0000DDC6DDE3AD9E69C1627F3A52940B5041</t>
  </si>
  <si>
    <t>https://selectree.calpoly.edu/tree-detail/1511
https://docs.google.com/document/d/1vEenasODFteyiHnQ_MEqe4k-ckYO75QYWMPaa5zd5JA/edit?usp=sharing</t>
  </si>
  <si>
    <t>0101000020110F00005D73F86CAE9E69C13EBEF25E940B5041</t>
  </si>
  <si>
    <t>0101000020110F0000D26EFEAEAE9E69C16EB3A0A4960B5041</t>
  </si>
  <si>
    <t>0101000020110F000048A79109AD9E69C1B567C817960B5041</t>
  </si>
  <si>
    <t>0101000020110F00005759C174AB9E69C12794A8578F0B5041</t>
  </si>
  <si>
    <t>0101000020110F000011539E0BAA9E69C1B4AC219D880B5041</t>
  </si>
  <si>
    <t>Planting Strip</t>
  </si>
  <si>
    <t xml:space="preserve">http://selectree.calpoly.edu/tree-detail/1035
</t>
  </si>
  <si>
    <t>Tiffany</t>
  </si>
  <si>
    <t>0101000020110F0000B2A8851EAB9E69C109B81571930B5041</t>
  </si>
  <si>
    <t>https://selectree.calpoly.edu/tree-detail/195</t>
  </si>
  <si>
    <t>0101000020110F000071B96B0EA99E69C1F9165E888C0B5041</t>
  </si>
  <si>
    <t>Bryce</t>
  </si>
  <si>
    <t>BRDI9</t>
  </si>
  <si>
    <t>Pink flame tree</t>
  </si>
  <si>
    <t>0101000020110F00001C26B109AC9E69C13E686EDB920B5041</t>
  </si>
  <si>
    <t>Brachychiton discolor</t>
  </si>
  <si>
    <t>https://selectree.calpoly.edu/tree-detail/1510</t>
  </si>
  <si>
    <t>PLAC</t>
  </si>
  <si>
    <t>London planetree</t>
  </si>
  <si>
    <t>0101000020110F00007289DCDDA79E69C11A22399D8F0B5041</t>
  </si>
  <si>
    <t>Platanus acerifolia</t>
  </si>
  <si>
    <t>https://selectree.calpoly.edu/tree-detail/1099</t>
  </si>
  <si>
    <t>0101000020110F00005DE1C6799B9E69C19437D967950B5041</t>
  </si>
  <si>
    <t>Three sided 
https://www.selectree.calpoly.edu/tree-detail/477</t>
  </si>
  <si>
    <t>0101000020110F00004700572D9B9E69C15B5ADB11950B5041</t>
  </si>
  <si>
    <t>0101000020110F0000F1A493C49D9E69C175121FAE950B5041</t>
  </si>
  <si>
    <t>Q. macrolepis
https://selectree.calpoly.edu/tree-detail/1697</t>
  </si>
  <si>
    <t>0101000020110F00000C69AC589E9E69C12CC5366D960B5041</t>
  </si>
  <si>
    <t>Multi. Trunk 
https://selectree.calpoly.edu/tree-detail/970</t>
  </si>
  <si>
    <t>0101000020110F0000564471B39E9E69C1EA21E787950B5041</t>
  </si>
  <si>
    <t>0101000020110F0000A3E625229D9E69C1889EC2CC960B5041</t>
  </si>
  <si>
    <t>Multi trunk
https://selectree.calpoly.edu/tree-detail/970</t>
  </si>
  <si>
    <t>0101000020110F00007B07EFD09C9E69C1B244E931950B5041</t>
  </si>
  <si>
    <t>0101000020110F00001BFDFD1A9E9E69C1DB0979BB970B5041</t>
  </si>
  <si>
    <t>0101000020110F000013C588A59E9E69C17315CF9E970B5041</t>
  </si>
  <si>
    <t xml:space="preserve">Multi trunk
https://selectree.calpoly.edu/tree-detail/970
</t>
  </si>
  <si>
    <t>0101000020110F0000DC5043DFA69E69C18C00690A920B5041</t>
  </si>
  <si>
    <t>Multi stem
https://www.selectree.calpoly.edu/tree-detail/388</t>
  </si>
  <si>
    <t>0101000020110F0000D545CCD0A69E69C16922E8C6910B5041</t>
  </si>
  <si>
    <t>PICR</t>
  </si>
  <si>
    <t>Stiffleaf cheesewood</t>
  </si>
  <si>
    <t>Pittosporum</t>
  </si>
  <si>
    <t>0101000020110F00008AA50830A79E69C115987C94920B5041</t>
  </si>
  <si>
    <t>Pittosporum crassifolium</t>
  </si>
  <si>
    <t>Multi stem
https://selectree.calpoly.edu/tree-detail/1090</t>
  </si>
  <si>
    <t>MEEX</t>
  </si>
  <si>
    <t>New zealand christmas tree</t>
  </si>
  <si>
    <t>Metrosideros</t>
  </si>
  <si>
    <t>0101000020110F0000B78EE81DA69E69C1ECB17E04930B5041</t>
  </si>
  <si>
    <t>Metrosideros excelsus</t>
  </si>
  <si>
    <t>Multi stem
https://www.selectree.calpoly.edu/tree-detail/939</t>
  </si>
  <si>
    <t>0101000020110F00006065CA3AA79E69C1B09F90B4890B5041</t>
  </si>
  <si>
    <t>0101000020110F00009A0F49C1A49E69C140687AB0900B5041</t>
  </si>
  <si>
    <t>https://selectree.calpoly.edu/tree-detail/1246</t>
  </si>
  <si>
    <t>0101000020110F0000CECAF9B8A89E69C17018FA028B0B5041</t>
  </si>
  <si>
    <t xml:space="preserve">SelectTree: https://selectree.calpoly.edu/tree-detail/1227
QR: https://docs.google.com/document/d/1XlwKxm8yNs30P2PmD7Y9DR0GHp2TDA98PCYZKtFV7so/edit
</t>
  </si>
  <si>
    <t>0101000020110F0000462F8EC0A79E69C1EEED136C8B0B5041</t>
  </si>
  <si>
    <t>0101000020110F0000582D55C5A79E69C18C6AEFB08C0B5041</t>
  </si>
  <si>
    <t>0101000020110F000039147003A89E69C125AF588E890B5041</t>
  </si>
  <si>
    <t>0101000020110F0000CD3C1D9FA79E69C16EFC40CF880B5041</t>
  </si>
  <si>
    <t>0101000020110F00009BB5F917A99E69C1D353E378890B5041</t>
  </si>
  <si>
    <t>0101000020110F0000C9E75071A89E69C188327D49880B5041</t>
  </si>
  <si>
    <t>0101000020110F0000DFC8C0BDA89E69C148ABE697890B5041</t>
  </si>
  <si>
    <t xml:space="preserve">https://selectree.calpoly.edu/tree-detail/292
https://docs.google.com/document/d/16w2wUOB1jbD6fs4iBcr3vBDv9-qJ1b1b8c89dGTvO40/edit?usp=sharing
</t>
  </si>
  <si>
    <t>0101000020110F00008F7C7601A79E69C1CAD5CC2E890B5041</t>
  </si>
  <si>
    <t>0101000020110F0000E5C8C3CBA39E69C12D5850578F0B5041</t>
  </si>
  <si>
    <t>SelectTree: https://selectree.calpoly.edu/tree-detail/132
QR: https://docs.google.com/document/d/1ze-1AhsDvSC_oE_9OBLFrQVMWwZNwvAmAPrvMiG6y0Y/edit</t>
  </si>
  <si>
    <t>0101000020110F000081B7C2F6A39E69C13CAC810E8C0B5041</t>
  </si>
  <si>
    <t>0101000020110F000067007799A69E69C165FA55478E0B5041</t>
  </si>
  <si>
    <t>0101000020110F0000579A4F30A59E69C17574C71B8F0B5041</t>
  </si>
  <si>
    <t>0101000020110F0000485F8555A59E69C1931D1E258C0B5041</t>
  </si>
  <si>
    <t>https://selectree.calpoly.edu/tree-detail/1235
Nuttall's club oak</t>
  </si>
  <si>
    <t>2026_03_09 19:35:44</t>
  </si>
  <si>
    <t>Redwood tree 1
61 dbh
height 22.8</t>
  </si>
  <si>
    <t>https://firebasestorage.googleapis.com/v0/b/wt-foundation-production.appspot.com/o/measurements%2FMeasureMethod.ADM_FIXED_PCT%2FdbhPhoto%2F1773267924582?alt=media&amp;token=84d5bd1d-db27-473b-b35b-b651c3c95335</t>
  </si>
  <si>
    <t>https://firebasestorage.googleapis.com/v0/b/wt-foundation-production.appspot.com/o/measurements%2FMeasureMethod.ADM_FIXED_PCT%2FheightPhoto%2F1773267913901?alt=media&amp;token=83a195f9-1771-44af-bb1f-20e0f462f717</t>
  </si>
  <si>
    <t>https://firebasestorage.googleapis.com/v0/b/wt-foundation-production.appspot.com/o/measurements%2FMeasureMethod.ADM_FIXED_PCT%2Fdepth%2F1773267930185?alt=media&amp;token=530c8714-c899-4eaf-8442-9dcbc19d81b9</t>
  </si>
  <si>
    <t>rBMXR26OGJxFdra3mBTP</t>
  </si>
  <si>
    <t>Redwood tree 1 
61 dbh
height 22.8</t>
  </si>
  <si>
    <t>Redwood tree 2</t>
  </si>
  <si>
    <t>2026_03_09 20:22:50</t>
  </si>
  <si>
    <t xml:space="preserve">redwood tree 6
height 7m
no dbh </t>
  </si>
  <si>
    <t>https://firebasestorage.googleapis.com/v0/b/wt-foundation-production.appspot.com/o/measurements%2FMeasureMethod.ADM_FIXED_PCT%2FheightPhoto%2F1773772841221?alt=media&amp;token=ed8e263d-f2a6-48bf-9b2a-4d52a1051162</t>
  </si>
  <si>
    <t>https://firebasestorage.googleapis.com/v0/b/wt-foundation-production.appspot.com/o/measurements%2FMeasureMethod.ADM_FIXED_PCT%2Fdepth%2F1773895829950?alt=media&amp;token=1365eae5-bf8c-4d78-b8e0-dbeb8e7b0d55</t>
  </si>
  <si>
    <t>XgR0QAIfkq321v9M4Ltq</t>
  </si>
  <si>
    <t xml:space="preserve">tree 6 take 2 </t>
  </si>
  <si>
    <t>tree 12</t>
  </si>
  <si>
    <t>tree 13</t>
  </si>
  <si>
    <t>2026_03_17 16:47:11</t>
  </si>
  <si>
    <t>delete!</t>
  </si>
  <si>
    <t>https://firebasestorage.googleapis.com/v0/b/wt-foundation-production.appspot.com/o/measurements%2FMeasureMethod.ADM_FIXED_PCT%2FdbhPhoto%2F1773953845050?alt=media&amp;token=9b91f66b-e7b5-401a-8059-cdc32d858667</t>
  </si>
  <si>
    <t>https://firebasestorage.googleapis.com/v0/b/wt-foundation-production.appspot.com/o/measurements%2FMeasureMethod.ADM_FIXED_PCT%2FheightPhoto%2F1773953842243?alt=media&amp;token=47067bc6-e9a5-423b-9b0f-066ee3845cf6</t>
  </si>
  <si>
    <t>https://firebasestorage.googleapis.com/v0/b/wt-foundation-production.appspot.com/o/measurements%2FMeasureMethod.ADM_FIXED_PCT%2Fdepth%2F1773953856267?alt=media&amp;token=0a5800c0-97f8-4c76-b1f8-9509bdde10a7</t>
  </si>
  <si>
    <t>0Q8NGC34UfPQSSmIhNvs</t>
  </si>
  <si>
    <t>2026_03_17 17:44:47</t>
  </si>
  <si>
    <t xml:space="preserve">caution tape tree - side quest 
</t>
  </si>
  <si>
    <t>https://firebasestorage.googleapis.com/v0/b/wt-foundation-production.appspot.com/o/measurements%2FMeasureMethod.ADM_FIXED_PCT%2FdbhPhoto%2F1773945055802?alt=media&amp;token=a2d693be-391c-4e29-b5e6-227c019460ec</t>
  </si>
  <si>
    <t>https://firebasestorage.googleapis.com/v0/b/wt-foundation-production.appspot.com/o/measurements%2FMeasureMethod.ADM_FIXED_PCT%2FheightPhoto%2F1773945046591?alt=media&amp;token=7a18157a-44b6-4381-a5a2-6b09c2d841cb</t>
  </si>
  <si>
    <t>https://firebasestorage.googleapis.com/v0/b/wt-foundation-production.appspot.com/o/measurements%2FMeasureMethod.ADM_FIXED_PCT%2Fdepth%2F1773945062734?alt=media&amp;token=6b4e2ab5-2637-4e95-b784-23d98efeac1b</t>
  </si>
  <si>
    <t>D2YdnQSQm9SN0ZwdNYDm</t>
  </si>
  <si>
    <t>2026_03_17 17:57:27</t>
  </si>
  <si>
    <t>https://firebasestorage.googleapis.com/v0/b/wt-foundation-production.appspot.com/o/measurements%2FMeasureMethod.ADM_FIXED_PCT%2FdbhPhoto%2F1773945183565?alt=media&amp;token=df7e448a-0f81-4499-96bb-7749fa48d6af</t>
  </si>
  <si>
    <t>https://firebasestorage.googleapis.com/v0/b/wt-foundation-production.appspot.com/o/measurements%2FMeasureMethod.ADM_FIXED_PCT%2FheightPhoto%2F1773945170785?alt=media&amp;token=60fb4636-b6b5-4d21-bf32-ca85b5ed1fbb</t>
  </si>
  <si>
    <t>https://firebasestorage.googleapis.com/v0/b/wt-foundation-production.appspot.com/o/measurements%2FMeasureMethod.ADM_FIXED_PCT%2Fdepth%2F1773945193786?alt=media&amp;token=ee89e512-143c-40b8-9ea7-3055a6bc3384</t>
  </si>
  <si>
    <t>kWJRolbexqdzpSePD5Zj</t>
  </si>
  <si>
    <t>TREE 13
stem 1 
take 1</t>
  </si>
  <si>
    <t>2026_03_17 18:00:22</t>
  </si>
  <si>
    <t xml:space="preserve">TREE 13
stem 1
second take </t>
  </si>
  <si>
    <t>https://firebasestorage.googleapis.com/v0/b/wt-foundation-production.appspot.com/o/measurements%2FMeasureMethod.ADM_FIXED_PCT%2FdbhPhoto%2F1773945257568?alt=media&amp;token=0fa158f1-696a-4a13-979a-1712633312d4</t>
  </si>
  <si>
    <t>https://firebasestorage.googleapis.com/v0/b/wt-foundation-production.appspot.com/o/measurements%2FMeasureMethod.ADM_FIXED_PCT%2FheightPhoto%2F1773945247566?alt=media&amp;token=d5a770a6-b0c2-4dda-b393-2c6ba7b4c416</t>
  </si>
  <si>
    <t>https://firebasestorage.googleapis.com/v0/b/wt-foundation-production.appspot.com/o/measurements%2FMeasureMethod.ADM_FIXED_PCT%2Fdepth%2F1773945270725?alt=media&amp;token=a92a9c01-c7bf-4281-b0ae-d4861cb2ef16</t>
  </si>
  <si>
    <t>U6QJkLQkHbMSSXuEfZXi</t>
  </si>
  <si>
    <t>TREE 13
stem 4</t>
  </si>
  <si>
    <t>2026_03_17 18:18:15</t>
  </si>
  <si>
    <t xml:space="preserve">delete!
</t>
  </si>
  <si>
    <t>https://firebasestorage.googleapis.com/v0/b/wt-foundation-production.appspot.com/o/measurements%2FMeasureMethod.ADM_FIXED_PCT%2FdbhPhoto%2F1773946880954?alt=media&amp;token=28e6447e-c161-45b6-a946-99da43e8893d</t>
  </si>
  <si>
    <t>https://firebasestorage.googleapis.com/v0/b/wt-foundation-production.appspot.com/o/measurements%2FMeasureMethod.ADM_FIXED_PCT%2FheightPhoto%2F1773946880954?alt=media&amp;token=150a3ef0-93ab-4ae5-ba38-9832459426ac</t>
  </si>
  <si>
    <t>https://firebasestorage.googleapis.com/v0/b/wt-foundation-production.appspot.com/o/measurements%2FMeasureMethod.ADM_FIXED_PCT%2Fdepth%2F1773946973300?alt=media&amp;token=a3c1226a-73e3-4ee4-9668-79a4344e06b6</t>
  </si>
  <si>
    <t>voPJRlN1Trw1nI3pMbyT</t>
  </si>
  <si>
    <t>2026_03_17 18:35:39</t>
  </si>
  <si>
    <t>https://firebasestorage.googleapis.com/v0/b/wt-foundation-production.appspot.com/o/measurements%2FMeasureMethod.ADM_FIXED_PCT%2FdbhPhoto%2F1773947092010?alt=media&amp;token=4e031a88-90fa-401d-9c84-5604d02fac92</t>
  </si>
  <si>
    <t>https://firebasestorage.googleapis.com/v0/b/wt-foundation-production.appspot.com/o/measurements%2FMeasureMethod.ADM_FIXED_PCT%2FheightPhoto%2F1773947089008?alt=media&amp;token=afe06ff2-8883-409b-8f1c-f216ab1748fc</t>
  </si>
  <si>
    <t>https://firebasestorage.googleapis.com/v0/b/wt-foundation-production.appspot.com/o/measurements%2FMeasureMethod.ADM_FIXED_PCT%2Fdepth%2F1773947096867?alt=media&amp;token=4c31e912-683c-4a21-bfe1-c8635d2ea302</t>
  </si>
  <si>
    <t>w28tgxJQ5fRYbGRHBNvb</t>
  </si>
  <si>
    <t>2026_03_17 18:38:03</t>
  </si>
  <si>
    <t xml:space="preserve">
delete</t>
  </si>
  <si>
    <t>https://firebasestorage.googleapis.com/v0/b/wt-foundation-production.appspot.com/o/measurements%2FMeasureMethod.ADM_FIXED_PCT%2FdbhPhoto%2F1773947105342?alt=media&amp;token=255b3df8-8c0f-4dfc-9b26-65a8263ce835</t>
  </si>
  <si>
    <t>https://firebasestorage.googleapis.com/v0/b/wt-foundation-production.appspot.com/o/measurements%2FMeasureMethod.ADM_FIXED_PCT%2FheightPhoto%2F1773947099952?alt=media&amp;token=0e803670-8361-45c1-a710-865596bad886</t>
  </si>
  <si>
    <t>https://firebasestorage.googleapis.com/v0/b/wt-foundation-production.appspot.com/o/measurements%2FMeasureMethod.ADM_FIXED_PCT%2Fdepth%2F1773947110273?alt=media&amp;token=71637eb7-ced7-40f2-915c-e52520ab0bfd</t>
  </si>
  <si>
    <t>yJN8wA2pBK1kbBYtiZHl</t>
  </si>
  <si>
    <t>2026_03_17 18:46:33</t>
  </si>
  <si>
    <t>https://firebasestorage.googleapis.com/v0/b/wt-foundation-production.appspot.com/o/measurements%2FMeasureMethod.ADM_FIXED_PCT%2FdbhPhoto%2F1773947205332?alt=media&amp;token=65b0f213-0ad0-441b-920f-4d5a576a8ade</t>
  </si>
  <si>
    <t>https://firebasestorage.googleapis.com/v0/b/wt-foundation-production.appspot.com/o/measurements%2FMeasureMethod.ADM_FIXED_PCT%2FheightPhoto%2F1773947200477?alt=media&amp;token=77294b50-1b9c-4738-a744-a2ad518346c2</t>
  </si>
  <si>
    <t>https://firebasestorage.googleapis.com/v0/b/wt-foundation-production.appspot.com/o/measurements%2FMeasureMethod.ADM_FIXED_PCT%2Fdepth%2F1773947212444?alt=media&amp;token=1399d997-3455-45f1-8446-cbc58a2e1f17</t>
  </si>
  <si>
    <t>AszLyKnzF6cQYj9cPmJ9</t>
  </si>
  <si>
    <t xml:space="preserve">TREE 19
actual DBH - taken at different angle </t>
  </si>
  <si>
    <t>2026_03_17 18:55:22</t>
  </si>
  <si>
    <t>TREE 20 stem 1</t>
  </si>
  <si>
    <t>https://firebasestorage.googleapis.com/v0/b/wt-foundation-production.appspot.com/o/measurements%2FMeasureMethod.ADM_FIXED_PCT%2FdbhPhoto%2F1773947256026?alt=media&amp;token=f494ef3b-a849-4657-a893-be4bb9e5ed5e</t>
  </si>
  <si>
    <t>https://firebasestorage.googleapis.com/v0/b/wt-foundation-production.appspot.com/o/measurements%2FMeasureMethod.ADM_FIXED_PCT%2FheightPhoto%2F1773947246173?alt=media&amp;token=68ef7279-45f0-432a-9890-606af938fca7</t>
  </si>
  <si>
    <t>https://firebasestorage.googleapis.com/v0/b/wt-foundation-production.appspot.com/o/measurements%2FMeasureMethod.ADM_FIXED_PCT%2Fdepth%2F1773947263669?alt=media&amp;token=32632ce3-7746-482f-914a-df68ef28d604</t>
  </si>
  <si>
    <t>HjjF57jbXXsbcUpcxXrp</t>
  </si>
  <si>
    <t>TREE 20 
stem 1 - actual</t>
  </si>
  <si>
    <t>TREE 20
stem 2</t>
  </si>
  <si>
    <t>TREE 23
stem 1</t>
  </si>
  <si>
    <t>TREE 23
stem 2</t>
  </si>
  <si>
    <t>Anchor</t>
  </si>
  <si>
    <t>2026_03_27 13:52:31</t>
  </si>
  <si>
    <t>HlUOr1WJEdKLkwiUZOYSeCSgM0dF</t>
  </si>
  <si>
    <t>iPhone14,5</t>
  </si>
  <si>
    <t>tree in the nursery - 9 anos</t>
  </si>
  <si>
    <t>tree measurements</t>
  </si>
  <si>
    <t>senegal mahogany</t>
  </si>
  <si>
    <t>https://firebasestorage.googleapis.com/v0/b/wt-foundation-production.appspot.com/o/measurements%2FMeasureMethod.Anchor%2FdbhPhoto%2F1774619587269?alt=media&amp;token=1df7f9b0-5664-4e03-9c72-d3df665d1864</t>
  </si>
  <si>
    <t>https://firebasestorage.googleapis.com/v0/b/wt-foundation-production.appspot.com/o/measurements%2FMeasureMethod.Anchor%2FheightPhoto%2F1774619552008?alt=media&amp;token=346c31d0-1526-4dd2-9e02-146b809c2645</t>
  </si>
  <si>
    <t>aAzIiS643S6MGOCIHFKm</t>
  </si>
  <si>
    <t>2026_03_27 14:04:49</t>
  </si>
  <si>
    <t>16yo stand side trees</t>
  </si>
  <si>
    <t>https://firebasestorage.googleapis.com/v0/b/wt-foundation-production.appspot.com/o/measurements%2FMeasureMethod.Anchor%2FdbhPhoto%2F1774625893493?alt=media&amp;token=9c61098f-a8e7-44f8-a383-67672fd0fa89</t>
  </si>
  <si>
    <t>https://firebasestorage.googleapis.com/v0/b/wt-foundation-production.appspot.com/o/measurements%2FMeasureMethod.Anchor%2FheightPhoto%2F1774625893493?alt=media&amp;token=5cffaf57-589c-4f2d-8bb4-0535b522f24b</t>
  </si>
  <si>
    <t>egfmliLC2GhT2u3rcxPk</t>
  </si>
  <si>
    <t>2026_03_27 14:12:35</t>
  </si>
  <si>
    <t>16yo bordadura</t>
  </si>
  <si>
    <t>https://firebasestorage.googleapis.com/v0/b/wt-foundation-production.appspot.com/o/measurements%2FMeasureMethod.Anchor%2FdbhPhoto%2F1774625930477?alt=media&amp;token=606c30a9-3ee3-49cc-8723-143ff38ff0db</t>
  </si>
  <si>
    <t>https://firebasestorage.googleapis.com/v0/b/wt-foundation-production.appspot.com/o/measurements%2FMeasureMethod.Anchor%2FheightPhoto%2F1774625906013?alt=media&amp;token=a2f9c556-6f0a-46c6-9928-043765e35dd8</t>
  </si>
  <si>
    <t>3m8X7S3Oi9mYlNiOP6tG</t>
  </si>
  <si>
    <t>2026_03_09 19:33:57</t>
  </si>
  <si>
    <t>https://firebasestorage.googleapis.com/v0/b/wt-foundation-production.appspot.com/o/measurements%2FMeasureMethod.ADM_FIXED_PCT%2FdbhPhoto%2F1773267906841?alt=media&amp;token=6a92fa34-4cb4-4878-9e05-06b198ffecab</t>
  </si>
  <si>
    <t>https://firebasestorage.googleapis.com/v0/b/wt-foundation-production.appspot.com/o/measurements%2FMeasureMethod.ADM_FIXED_PCT%2FheightPhoto%2F1773267906841?alt=media&amp;token=a1c5e486-ae0a-4c32-a7b0-d8f64d0bc5bc</t>
  </si>
  <si>
    <t>https://firebasestorage.googleapis.com/v0/b/wt-foundation-production.appspot.com/o/measurements%2FMeasureMethod.ADM_FIXED_PCT%2Fdepth%2F1773267911287?alt=media&amp;token=1f6013de-d8d4-4b72-b8b1-3992861804dc</t>
  </si>
  <si>
    <t>viu6fBo0q6mqNc8BqYbM</t>
  </si>
  <si>
    <t>redwood tree 8 pt1</t>
  </si>
  <si>
    <t>redwood tree 8 pt2</t>
  </si>
  <si>
    <t>2026_03_17 15:40:22</t>
  </si>
  <si>
    <t>delete this measurement(duplicate)</t>
  </si>
  <si>
    <t>https://firebasestorage.googleapis.com/v0/b/wt-foundation-production.appspot.com/o/measurements%2FMeasureMethod.ADM_FIXED_PCT%2FdbhPhoto%2F1773896195772?alt=media&amp;token=8286aa44-22b5-48bf-8168-ee238fa6d94e</t>
  </si>
  <si>
    <t>https://firebasestorage.googleapis.com/v0/b/wt-foundation-production.appspot.com/o/measurements%2FMeasureMethod.ADM_FIXED_PCT%2FheightPhoto%2F1773896176000?alt=media&amp;token=f3fcabd1-040e-4a2e-920f-372c461de98b</t>
  </si>
  <si>
    <t>https://firebasestorage.googleapis.com/v0/b/wt-foundation-production.appspot.com/o/measurements%2FMeasureMethod.ADM_FIXED_PCT%2Fdepth%2F1773896205517?alt=media&amp;token=d8579b12-5a11-488d-a82b-44a493531b65</t>
  </si>
  <si>
    <t>smq2S30e8cb6NMORDbpg</t>
  </si>
  <si>
    <t>2026_03_17 17:01:17</t>
  </si>
  <si>
    <t>https://firebasestorage.googleapis.com/v0/b/wt-foundation-production.appspot.com/o/measurements%2FMeasureMethod.ADM_FIXED_PCT%2FdbhPhoto%2F1773898628114?alt=media&amp;token=f90f9d20-67ed-451f-b812-efee3a7f28cb</t>
  </si>
  <si>
    <t>https://firebasestorage.googleapis.com/v0/b/wt-foundation-production.appspot.com/o/measurements%2FMeasureMethod.ADM_FIXED_PCT%2FheightPhoto%2F1773898525792?alt=media&amp;token=5ed96daf-b26a-4e4f-8e85-f8845c848504</t>
  </si>
  <si>
    <t>https://firebasestorage.googleapis.com/v0/b/wt-foundation-production.appspot.com/o/measurements%2FMeasureMethod.ADM_FIXED_PCT%2Fdepth%2F1773898686632?alt=media&amp;token=d415e6a0-c726-4848-9f8d-78af2a4d382b</t>
  </si>
  <si>
    <t>niv3UE1abnHnIhgI8ksT</t>
  </si>
  <si>
    <t>2026_03_17 18:40:40</t>
  </si>
  <si>
    <t>https://firebasestorage.googleapis.com/v0/b/wt-foundation-production.appspot.com/o/measurements%2FMeasureMethod.ADM_FIXED_PCT%2FdbhPhoto%2F1773947134171?alt=media&amp;token=96e9c89b-0802-4721-b89d-8320f332e1c7</t>
  </si>
  <si>
    <t>https://firebasestorage.googleapis.com/v0/b/wt-foundation-production.appspot.com/o/measurements%2FMeasureMethod.ADM_FIXED_PCT%2FheightPhoto%2F1773947121912?alt=media&amp;token=10bd5b0d-c9de-4e74-ad2f-bdaa47895cdc</t>
  </si>
  <si>
    <t>https://firebasestorage.googleapis.com/v0/b/wt-foundation-production.appspot.com/o/measurements%2FMeasureMethod.ADM_FIXED_PCT%2Fdepth%2F1773947147083?alt=media&amp;token=bbfaa766-9355-47be-8890-c26f01719cb2</t>
  </si>
  <si>
    <t>lCPHJ0ErAwtxVH0LDw2U</t>
  </si>
  <si>
    <t>TREE 18
correct measured DBH (different angle)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</si>
</sst>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sz val="11"/>
      <color rgb="FFFF0000"/>
      <name val="Calibri"/>
      <family val="2"/>
    </font>
    <font>
      <sz val="11"/>
      <color rgb="FF242424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AD2E9"/>
        <bgColor indexed="64"/>
      </patternFill>
    </fill>
    <fill>
      <patternFill patternType="solid">
        <fgColor rgb="FFE0BEF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C2C2"/>
        <bgColor indexed="64"/>
      </patternFill>
    </fill>
    <fill>
      <patternFill patternType="solid">
        <fgColor rgb="FFDAE1F2"/>
        <bgColor indexed="64"/>
      </patternFill>
    </fill>
    <fill>
      <patternFill patternType="solid">
        <fgColor rgb="FF7030A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6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8" fillId="0" borderId="0" xfId="42" applyAlignme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9" fillId="0" borderId="0" xfId="0" applyFont="1"/>
    <xf numFmtId="14" fontId="0" fillId="0" borderId="0" xfId="0" applyNumberFormat="1"/>
    <xf numFmtId="14" fontId="19" fillId="0" borderId="0" xfId="0" applyNumberFormat="1" applyFont="1"/>
    <xf numFmtId="0" fontId="18" fillId="0" borderId="0" xfId="42"/>
    <xf numFmtId="164" fontId="19" fillId="0" borderId="0" xfId="0" applyNumberFormat="1" applyFont="1"/>
    <xf numFmtId="0" fontId="0" fillId="33" borderId="0" xfId="0" applyFill="1"/>
    <xf numFmtId="164" fontId="0" fillId="33" borderId="0" xfId="0" applyNumberFormat="1" applyFill="1"/>
    <xf numFmtId="2" fontId="0" fillId="33" borderId="0" xfId="0" applyNumberFormat="1" applyFill="1"/>
    <xf numFmtId="0" fontId="0" fillId="33" borderId="0" xfId="0" applyFill="1" applyAlignment="1">
      <alignment horizontal="right"/>
    </xf>
    <xf numFmtId="0" fontId="0" fillId="34" borderId="0" xfId="0" applyFill="1"/>
    <xf numFmtId="164" fontId="0" fillId="34" borderId="0" xfId="0" applyNumberFormat="1" applyFill="1"/>
    <xf numFmtId="2" fontId="0" fillId="34" borderId="0" xfId="0" applyNumberFormat="1" applyFill="1"/>
    <xf numFmtId="0" fontId="0" fillId="34" borderId="0" xfId="0" applyFill="1" applyAlignment="1">
      <alignment wrapText="1"/>
    </xf>
    <xf numFmtId="0" fontId="0" fillId="35" borderId="0" xfId="0" applyFill="1"/>
    <xf numFmtId="164" fontId="0" fillId="35" borderId="0" xfId="0" applyNumberFormat="1" applyFill="1"/>
    <xf numFmtId="2" fontId="0" fillId="35" borderId="0" xfId="0" applyNumberFormat="1" applyFill="1"/>
    <xf numFmtId="0" fontId="0" fillId="36" borderId="0" xfId="0" applyFill="1"/>
    <xf numFmtId="164" fontId="0" fillId="36" borderId="0" xfId="0" applyNumberFormat="1" applyFill="1"/>
    <xf numFmtId="2" fontId="0" fillId="36" borderId="0" xfId="0" applyNumberFormat="1" applyFill="1"/>
    <xf numFmtId="0" fontId="0" fillId="37" borderId="0" xfId="0" applyFill="1"/>
    <xf numFmtId="164" fontId="0" fillId="37" borderId="0" xfId="0" applyNumberFormat="1" applyFill="1"/>
    <xf numFmtId="2" fontId="0" fillId="37" borderId="0" xfId="0" applyNumberFormat="1" applyFill="1"/>
    <xf numFmtId="0" fontId="0" fillId="38" borderId="0" xfId="0" applyFill="1"/>
    <xf numFmtId="164" fontId="0" fillId="38" borderId="0" xfId="0" applyNumberFormat="1" applyFill="1"/>
    <xf numFmtId="2" fontId="0" fillId="38" borderId="0" xfId="0" applyNumberFormat="1" applyFill="1"/>
    <xf numFmtId="0" fontId="0" fillId="39" borderId="0" xfId="0" applyFill="1"/>
    <xf numFmtId="164" fontId="0" fillId="39" borderId="0" xfId="0" applyNumberFormat="1" applyFill="1"/>
    <xf numFmtId="2" fontId="0" fillId="39" borderId="0" xfId="0" applyNumberFormat="1" applyFill="1"/>
    <xf numFmtId="0" fontId="0" fillId="40" borderId="0" xfId="0" applyFill="1"/>
    <xf numFmtId="164" fontId="0" fillId="40" borderId="0" xfId="0" applyNumberFormat="1" applyFill="1"/>
    <xf numFmtId="2" fontId="0" fillId="40" borderId="0" xfId="0" applyNumberFormat="1" applyFill="1"/>
    <xf numFmtId="165" fontId="0" fillId="33" borderId="0" xfId="0" applyNumberFormat="1" applyFill="1"/>
    <xf numFmtId="1" fontId="0" fillId="0" borderId="0" xfId="0" applyNumberFormat="1"/>
    <xf numFmtId="166" fontId="0" fillId="0" borderId="0" xfId="0" applyNumberFormat="1"/>
    <xf numFmtId="0" fontId="0" fillId="41" borderId="0" xfId="0" applyFill="1"/>
    <xf numFmtId="164" fontId="0" fillId="41" borderId="0" xfId="0" applyNumberFormat="1" applyFill="1"/>
    <xf numFmtId="2" fontId="0" fillId="41" borderId="0" xfId="0" applyNumberFormat="1" applyFill="1"/>
    <xf numFmtId="0" fontId="18" fillId="41" borderId="0" xfId="42" applyFill="1"/>
    <xf numFmtId="0" fontId="0" fillId="41" borderId="0" xfId="0" applyFill="1" applyAlignment="1">
      <alignment wrapText="1"/>
    </xf>
    <xf numFmtId="0" fontId="18" fillId="34" borderId="0" xfId="42" applyFill="1"/>
    <xf numFmtId="0" fontId="18" fillId="36" borderId="0" xfId="42" applyFill="1" applyAlignment="1"/>
    <xf numFmtId="0" fontId="18" fillId="33" borderId="0" xfId="42" applyFill="1"/>
    <xf numFmtId="0" fontId="0" fillId="40" borderId="10" xfId="0" applyFill="1" applyBorder="1"/>
    <xf numFmtId="164" fontId="0" fillId="40" borderId="10" xfId="0" applyNumberFormat="1" applyFill="1" applyBorder="1"/>
    <xf numFmtId="2" fontId="0" fillId="40" borderId="10" xfId="0" applyNumberFormat="1" applyFill="1" applyBorder="1"/>
    <xf numFmtId="0" fontId="18" fillId="0" borderId="10" xfId="42" applyBorder="1" applyAlignment="1"/>
    <xf numFmtId="0" fontId="0" fillId="0" borderId="10" xfId="0" applyBorder="1"/>
    <xf numFmtId="0" fontId="0" fillId="33" borderId="10" xfId="0" applyFill="1" applyBorder="1"/>
    <xf numFmtId="164" fontId="0" fillId="33" borderId="10" xfId="0" applyNumberFormat="1" applyFill="1" applyBorder="1"/>
    <xf numFmtId="2" fontId="0" fillId="33" borderId="10" xfId="0" applyNumberFormat="1" applyFill="1" applyBorder="1"/>
    <xf numFmtId="0" fontId="18" fillId="33" borderId="10" xfId="42" applyFill="1" applyBorder="1"/>
    <xf numFmtId="0" fontId="0" fillId="42" borderId="0" xfId="0" applyFill="1"/>
    <xf numFmtId="164" fontId="0" fillId="42" borderId="0" xfId="0" applyNumberFormat="1" applyFill="1"/>
    <xf numFmtId="2" fontId="0" fillId="42" borderId="0" xfId="0" applyNumberFormat="1" applyFill="1"/>
    <xf numFmtId="0" fontId="18" fillId="42" borderId="0" xfId="42" applyFill="1"/>
    <xf numFmtId="0" fontId="14" fillId="42" borderId="0" xfId="0" applyFont="1" applyFill="1"/>
    <xf numFmtId="164" fontId="14" fillId="42" borderId="0" xfId="0" applyNumberFormat="1" applyFont="1" applyFill="1"/>
    <xf numFmtId="2" fontId="14" fillId="42" borderId="0" xfId="0" applyNumberFormat="1" applyFont="1" applyFill="1"/>
    <xf numFmtId="0" fontId="21" fillId="42" borderId="0" xfId="42" applyFont="1" applyFill="1"/>
    <xf numFmtId="0" fontId="14" fillId="0" borderId="0" xfId="0" applyFont="1"/>
    <xf numFmtId="0" fontId="14" fillId="33" borderId="0" xfId="0" applyFont="1" applyFill="1"/>
    <xf numFmtId="0" fontId="20" fillId="33" borderId="0" xfId="0" applyFont="1" applyFill="1"/>
    <xf numFmtId="0" fontId="0" fillId="43" borderId="0" xfId="0" applyFill="1"/>
    <xf numFmtId="164" fontId="0" fillId="43" borderId="0" xfId="0" applyNumberFormat="1" applyFill="1"/>
    <xf numFmtId="2" fontId="0" fillId="43" borderId="0" xfId="0" applyNumberFormat="1" applyFill="1"/>
    <xf numFmtId="0" fontId="18" fillId="43" borderId="0" xfId="42" applyFill="1"/>
    <xf numFmtId="0" fontId="0" fillId="42" borderId="11" xfId="0" applyFill="1" applyBorder="1"/>
    <xf numFmtId="164" fontId="0" fillId="42" borderId="11" xfId="0" applyNumberFormat="1" applyFill="1" applyBorder="1"/>
    <xf numFmtId="2" fontId="0" fillId="42" borderId="11" xfId="0" applyNumberFormat="1" applyFill="1" applyBorder="1"/>
    <xf numFmtId="0" fontId="0" fillId="33" borderId="11" xfId="0" applyFill="1" applyBorder="1"/>
    <xf numFmtId="0" fontId="18" fillId="42" borderId="11" xfId="42" applyFill="1" applyBorder="1"/>
    <xf numFmtId="0" fontId="0" fillId="0" borderId="11" xfId="0" applyBorder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40" borderId="10" xfId="0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43" borderId="0" xfId="0" applyFont="1" applyFill="1" applyAlignment="1">
      <alignment horizontal="center"/>
    </xf>
    <xf numFmtId="0" fontId="20" fillId="0" borderId="11" xfId="0" applyFont="1" applyBorder="1" applyAlignment="1">
      <alignment horizontal="center"/>
    </xf>
    <xf numFmtId="0" fontId="0" fillId="43" borderId="0" xfId="0" applyFill="1" applyAlignment="1">
      <alignment horizontal="center"/>
    </xf>
    <xf numFmtId="0" fontId="18" fillId="33" borderId="0" xfId="42" applyFill="1" applyAlignment="1"/>
    <xf numFmtId="0" fontId="0" fillId="44" borderId="0" xfId="0" applyFill="1"/>
    <xf numFmtId="164" fontId="0" fillId="44" borderId="0" xfId="0" applyNumberFormat="1" applyFill="1"/>
    <xf numFmtId="2" fontId="0" fillId="44" borderId="0" xfId="0" applyNumberFormat="1" applyFill="1"/>
    <xf numFmtId="0" fontId="0" fillId="44" borderId="0" xfId="0" applyFill="1" applyAlignment="1">
      <alignment horizontal="center"/>
    </xf>
    <xf numFmtId="0" fontId="18" fillId="44" borderId="0" xfId="42" applyFill="1"/>
    <xf numFmtId="1" fontId="20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33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1" fontId="0" fillId="35" borderId="0" xfId="0" applyNumberFormat="1" applyFill="1" applyAlignment="1">
      <alignment horizontal="center"/>
    </xf>
    <xf numFmtId="1" fontId="0" fillId="36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 applyAlignment="1">
      <alignment horizontal="center"/>
    </xf>
    <xf numFmtId="1" fontId="0" fillId="39" borderId="0" xfId="0" applyNumberFormat="1" applyFill="1" applyAlignment="1">
      <alignment horizontal="center"/>
    </xf>
    <xf numFmtId="1" fontId="0" fillId="40" borderId="0" xfId="0" applyNumberFormat="1" applyFill="1" applyAlignment="1">
      <alignment horizontal="center"/>
    </xf>
    <xf numFmtId="1" fontId="0" fillId="40" borderId="10" xfId="0" applyNumberFormat="1" applyFill="1" applyBorder="1" applyAlignment="1">
      <alignment horizontal="center"/>
    </xf>
    <xf numFmtId="1" fontId="0" fillId="44" borderId="0" xfId="0" applyNumberFormat="1" applyFill="1" applyAlignment="1">
      <alignment horizontal="center"/>
    </xf>
    <xf numFmtId="1" fontId="20" fillId="33" borderId="0" xfId="0" applyNumberFormat="1" applyFont="1" applyFill="1" applyAlignment="1">
      <alignment horizontal="center"/>
    </xf>
    <xf numFmtId="1" fontId="14" fillId="0" borderId="0" xfId="0" applyNumberFormat="1" applyFont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20" fillId="43" borderId="0" xfId="0" applyNumberFormat="1" applyFont="1" applyFill="1" applyAlignment="1">
      <alignment horizontal="center"/>
    </xf>
    <xf numFmtId="1" fontId="20" fillId="0" borderId="11" xfId="0" applyNumberFormat="1" applyFont="1" applyBorder="1" applyAlignment="1">
      <alignment horizontal="center"/>
    </xf>
    <xf numFmtId="1" fontId="0" fillId="43" borderId="0" xfId="0" applyNumberFormat="1" applyFill="1" applyAlignment="1">
      <alignment horizontal="center"/>
    </xf>
    <xf numFmtId="1" fontId="20" fillId="34" borderId="0" xfId="0" applyNumberFormat="1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18" fillId="34" borderId="0" xfId="42" applyFill="1" applyAlignment="1"/>
    <xf numFmtId="1" fontId="20" fillId="41" borderId="0" xfId="0" applyNumberFormat="1" applyFont="1" applyFill="1" applyAlignment="1">
      <alignment horizontal="center"/>
    </xf>
    <xf numFmtId="0" fontId="20" fillId="41" borderId="0" xfId="0" applyFont="1" applyFill="1" applyAlignment="1">
      <alignment horizontal="center"/>
    </xf>
    <xf numFmtId="0" fontId="18" fillId="41" borderId="0" xfId="42" applyFill="1" applyAlignment="1"/>
    <xf numFmtId="1" fontId="20" fillId="37" borderId="0" xfId="0" applyNumberFormat="1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0" fontId="18" fillId="37" borderId="0" xfId="42" applyFill="1" applyAlignment="1"/>
    <xf numFmtId="0" fontId="0" fillId="41" borderId="0" xfId="0" applyFill="1" applyAlignment="1">
      <alignment horizontal="center"/>
    </xf>
    <xf numFmtId="0" fontId="0" fillId="0" borderId="10" xfId="0" applyBorder="1" applyAlignment="1">
      <alignment horizontal="center"/>
    </xf>
    <xf numFmtId="0" fontId="20" fillId="33" borderId="0" xfId="0" applyFont="1" applyFill="1" applyAlignment="1">
      <alignment horizontal="center"/>
    </xf>
    <xf numFmtId="164" fontId="0" fillId="33" borderId="11" xfId="0" applyNumberFormat="1" applyFill="1" applyBorder="1"/>
    <xf numFmtId="2" fontId="0" fillId="33" borderId="11" xfId="0" applyNumberFormat="1" applyFill="1" applyBorder="1"/>
    <xf numFmtId="0" fontId="20" fillId="33" borderId="11" xfId="0" applyFont="1" applyFill="1" applyBorder="1" applyAlignment="1">
      <alignment horizontal="center"/>
    </xf>
    <xf numFmtId="1" fontId="20" fillId="33" borderId="11" xfId="0" applyNumberFormat="1" applyFont="1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18" fillId="33" borderId="11" xfId="42" applyFill="1" applyBorder="1" applyAlignment="1"/>
    <xf numFmtId="0" fontId="0" fillId="41" borderId="11" xfId="0" applyFill="1" applyBorder="1"/>
    <xf numFmtId="164" fontId="0" fillId="41" borderId="11" xfId="0" applyNumberFormat="1" applyFill="1" applyBorder="1"/>
    <xf numFmtId="2" fontId="0" fillId="41" borderId="11" xfId="0" applyNumberFormat="1" applyFill="1" applyBorder="1"/>
    <xf numFmtId="0" fontId="0" fillId="0" borderId="11" xfId="0" applyBorder="1" applyAlignment="1">
      <alignment horizontal="center"/>
    </xf>
    <xf numFmtId="0" fontId="18" fillId="41" borderId="11" xfId="42" applyFill="1" applyBorder="1"/>
    <xf numFmtId="0" fontId="20" fillId="36" borderId="0" xfId="0" applyFont="1" applyFill="1" applyAlignment="1">
      <alignment horizontal="center"/>
    </xf>
    <xf numFmtId="1" fontId="20" fillId="36" borderId="0" xfId="0" applyNumberFormat="1" applyFont="1" applyFill="1" applyAlignment="1">
      <alignment horizontal="center"/>
    </xf>
    <xf numFmtId="0" fontId="0" fillId="45" borderId="0" xfId="0" applyFill="1"/>
    <xf numFmtId="164" fontId="0" fillId="45" borderId="0" xfId="0" applyNumberFormat="1" applyFill="1"/>
    <xf numFmtId="2" fontId="0" fillId="45" borderId="0" xfId="0" applyNumberFormat="1" applyFill="1"/>
    <xf numFmtId="0" fontId="20" fillId="45" borderId="0" xfId="0" applyFont="1" applyFill="1" applyAlignment="1">
      <alignment horizontal="center"/>
    </xf>
    <xf numFmtId="1" fontId="20" fillId="45" borderId="0" xfId="0" applyNumberFormat="1" applyFont="1" applyFill="1" applyAlignment="1">
      <alignment horizontal="center"/>
    </xf>
    <xf numFmtId="0" fontId="18" fillId="45" borderId="0" xfId="42" applyFill="1"/>
    <xf numFmtId="0" fontId="20" fillId="45" borderId="0" xfId="0" applyFont="1" applyFill="1" applyAlignment="1">
      <alignment horizontal="center" vertical="center"/>
    </xf>
    <xf numFmtId="1" fontId="20" fillId="45" borderId="0" xfId="0" applyNumberFormat="1" applyFont="1" applyFill="1" applyAlignment="1">
      <alignment horizontal="center" vertical="center"/>
    </xf>
    <xf numFmtId="0" fontId="20" fillId="45" borderId="0" xfId="0" applyFont="1" applyFill="1" applyAlignment="1">
      <alignment horizontal="center" vertical="top" wrapText="1"/>
    </xf>
    <xf numFmtId="0" fontId="0" fillId="45" borderId="0" xfId="0" applyFill="1" applyAlignment="1">
      <alignment wrapText="1"/>
    </xf>
    <xf numFmtId="0" fontId="0" fillId="45" borderId="11" xfId="0" applyFill="1" applyBorder="1"/>
    <xf numFmtId="164" fontId="0" fillId="45" borderId="11" xfId="0" applyNumberFormat="1" applyFill="1" applyBorder="1"/>
    <xf numFmtId="2" fontId="0" fillId="45" borderId="11" xfId="0" applyNumberFormat="1" applyFill="1" applyBorder="1"/>
    <xf numFmtId="0" fontId="20" fillId="45" borderId="11" xfId="0" applyFont="1" applyFill="1" applyBorder="1" applyAlignment="1">
      <alignment horizontal="center"/>
    </xf>
    <xf numFmtId="1" fontId="20" fillId="45" borderId="11" xfId="0" applyNumberFormat="1" applyFont="1" applyFill="1" applyBorder="1" applyAlignment="1">
      <alignment horizontal="center"/>
    </xf>
    <xf numFmtId="0" fontId="18" fillId="45" borderId="11" xfId="42" applyFill="1" applyBorder="1"/>
    <xf numFmtId="0" fontId="18" fillId="37" borderId="0" xfId="42" applyFill="1"/>
    <xf numFmtId="0" fontId="18" fillId="36" borderId="0" xfId="42" applyFill="1"/>
    <xf numFmtId="0" fontId="0" fillId="36" borderId="11" xfId="0" applyFill="1" applyBorder="1"/>
    <xf numFmtId="164" fontId="0" fillId="36" borderId="11" xfId="0" applyNumberFormat="1" applyFill="1" applyBorder="1"/>
    <xf numFmtId="2" fontId="0" fillId="36" borderId="11" xfId="0" applyNumberFormat="1" applyFill="1" applyBorder="1"/>
    <xf numFmtId="0" fontId="20" fillId="36" borderId="11" xfId="0" applyFont="1" applyFill="1" applyBorder="1" applyAlignment="1">
      <alignment horizontal="center"/>
    </xf>
    <xf numFmtId="1" fontId="20" fillId="36" borderId="11" xfId="0" applyNumberFormat="1" applyFont="1" applyFill="1" applyBorder="1" applyAlignment="1">
      <alignment horizontal="center"/>
    </xf>
    <xf numFmtId="0" fontId="18" fillId="36" borderId="11" xfId="42" applyFill="1" applyBorder="1"/>
    <xf numFmtId="0" fontId="20" fillId="38" borderId="0" xfId="0" applyFont="1" applyFill="1" applyAlignment="1">
      <alignment horizontal="center"/>
    </xf>
    <xf numFmtId="1" fontId="20" fillId="38" borderId="0" xfId="0" applyNumberFormat="1" applyFont="1" applyFill="1" applyAlignment="1">
      <alignment horizontal="center"/>
    </xf>
    <xf numFmtId="0" fontId="18" fillId="38" borderId="0" xfId="42" applyFill="1"/>
    <xf numFmtId="0" fontId="20" fillId="41" borderId="11" xfId="0" applyFont="1" applyFill="1" applyBorder="1" applyAlignment="1">
      <alignment horizontal="center"/>
    </xf>
    <xf numFmtId="1" fontId="20" fillId="41" borderId="11" xfId="0" applyNumberFormat="1" applyFont="1" applyFill="1" applyBorder="1" applyAlignment="1">
      <alignment horizontal="center"/>
    </xf>
    <xf numFmtId="0" fontId="18" fillId="42" borderId="0" xfId="42" applyFill="1" applyBorder="1"/>
    <xf numFmtId="0" fontId="18" fillId="43" borderId="0" xfId="42" applyFill="1" applyBorder="1"/>
    <xf numFmtId="0" fontId="20" fillId="37" borderId="0" xfId="0" applyFont="1" applyFill="1" applyAlignment="1">
      <alignment horizontal="center" wrapText="1"/>
    </xf>
    <xf numFmtId="0" fontId="0" fillId="0" borderId="12" xfId="0" applyBorder="1"/>
    <xf numFmtId="0" fontId="0" fillId="43" borderId="17" xfId="0" applyFill="1" applyBorder="1"/>
    <xf numFmtId="0" fontId="20" fillId="43" borderId="17" xfId="0" applyFont="1" applyFill="1" applyBorder="1" applyAlignment="1">
      <alignment horizontal="center"/>
    </xf>
    <xf numFmtId="0" fontId="0" fillId="0" borderId="17" xfId="0" applyBorder="1"/>
    <xf numFmtId="0" fontId="0" fillId="34" borderId="19" xfId="0" applyFill="1" applyBorder="1"/>
    <xf numFmtId="164" fontId="0" fillId="34" borderId="20" xfId="0" applyNumberFormat="1" applyFill="1" applyBorder="1"/>
    <xf numFmtId="0" fontId="0" fillId="34" borderId="20" xfId="0" applyFill="1" applyBorder="1"/>
    <xf numFmtId="2" fontId="0" fillId="34" borderId="20" xfId="0" applyNumberFormat="1" applyFill="1" applyBorder="1"/>
    <xf numFmtId="0" fontId="20" fillId="34" borderId="20" xfId="0" applyFont="1" applyFill="1" applyBorder="1" applyAlignment="1">
      <alignment horizontal="center"/>
    </xf>
    <xf numFmtId="1" fontId="20" fillId="34" borderId="20" xfId="0" applyNumberFormat="1" applyFont="1" applyFill="1" applyBorder="1" applyAlignment="1">
      <alignment horizontal="center"/>
    </xf>
    <xf numFmtId="0" fontId="18" fillId="34" borderId="20" xfId="42" applyFill="1" applyBorder="1"/>
    <xf numFmtId="0" fontId="0" fillId="0" borderId="20" xfId="0" applyBorder="1"/>
    <xf numFmtId="0" fontId="0" fillId="34" borderId="22" xfId="0" applyFill="1" applyBorder="1"/>
    <xf numFmtId="0" fontId="18" fillId="34" borderId="0" xfId="42" applyFill="1" applyBorder="1"/>
    <xf numFmtId="0" fontId="0" fillId="34" borderId="23" xfId="0" applyFill="1" applyBorder="1"/>
    <xf numFmtId="164" fontId="0" fillId="34" borderId="12" xfId="0" applyNumberFormat="1" applyFill="1" applyBorder="1"/>
    <xf numFmtId="0" fontId="0" fillId="34" borderId="12" xfId="0" applyFill="1" applyBorder="1"/>
    <xf numFmtId="2" fontId="0" fillId="34" borderId="12" xfId="0" applyNumberFormat="1" applyFill="1" applyBorder="1"/>
    <xf numFmtId="0" fontId="20" fillId="34" borderId="12" xfId="0" applyFont="1" applyFill="1" applyBorder="1" applyAlignment="1">
      <alignment horizontal="center"/>
    </xf>
    <xf numFmtId="1" fontId="20" fillId="34" borderId="12" xfId="0" applyNumberFormat="1" applyFont="1" applyFill="1" applyBorder="1" applyAlignment="1">
      <alignment horizontal="center"/>
    </xf>
    <xf numFmtId="0" fontId="18" fillId="34" borderId="12" xfId="42" applyFill="1" applyBorder="1"/>
    <xf numFmtId="0" fontId="0" fillId="33" borderId="16" xfId="0" applyFill="1" applyBorder="1"/>
    <xf numFmtId="164" fontId="0" fillId="33" borderId="17" xfId="0" applyNumberFormat="1" applyFill="1" applyBorder="1"/>
    <xf numFmtId="0" fontId="0" fillId="33" borderId="17" xfId="0" applyFill="1" applyBorder="1"/>
    <xf numFmtId="2" fontId="0" fillId="33" borderId="17" xfId="0" applyNumberFormat="1" applyFill="1" applyBorder="1"/>
    <xf numFmtId="0" fontId="20" fillId="33" borderId="17" xfId="0" applyFont="1" applyFill="1" applyBorder="1" applyAlignment="1">
      <alignment horizontal="center"/>
    </xf>
    <xf numFmtId="1" fontId="20" fillId="33" borderId="17" xfId="0" applyNumberFormat="1" applyFont="1" applyFill="1" applyBorder="1" applyAlignment="1">
      <alignment horizontal="center"/>
    </xf>
    <xf numFmtId="0" fontId="0" fillId="33" borderId="19" xfId="0" applyFill="1" applyBorder="1"/>
    <xf numFmtId="164" fontId="0" fillId="33" borderId="20" xfId="0" applyNumberFormat="1" applyFill="1" applyBorder="1"/>
    <xf numFmtId="0" fontId="0" fillId="33" borderId="20" xfId="0" applyFill="1" applyBorder="1"/>
    <xf numFmtId="2" fontId="0" fillId="33" borderId="20" xfId="0" applyNumberFormat="1" applyFill="1" applyBorder="1"/>
    <xf numFmtId="0" fontId="20" fillId="33" borderId="20" xfId="0" applyFont="1" applyFill="1" applyBorder="1" applyAlignment="1">
      <alignment horizontal="center"/>
    </xf>
    <xf numFmtId="1" fontId="20" fillId="33" borderId="20" xfId="0" applyNumberFormat="1" applyFont="1" applyFill="1" applyBorder="1" applyAlignment="1">
      <alignment horizontal="center"/>
    </xf>
    <xf numFmtId="0" fontId="18" fillId="33" borderId="20" xfId="42" applyFill="1" applyBorder="1"/>
    <xf numFmtId="0" fontId="0" fillId="33" borderId="22" xfId="0" applyFill="1" applyBorder="1"/>
    <xf numFmtId="0" fontId="18" fillId="33" borderId="0" xfId="42" applyFill="1" applyBorder="1"/>
    <xf numFmtId="0" fontId="0" fillId="33" borderId="23" xfId="0" applyFill="1" applyBorder="1"/>
    <xf numFmtId="164" fontId="0" fillId="33" borderId="12" xfId="0" applyNumberFormat="1" applyFill="1" applyBorder="1"/>
    <xf numFmtId="0" fontId="0" fillId="33" borderId="12" xfId="0" applyFill="1" applyBorder="1"/>
    <xf numFmtId="2" fontId="0" fillId="33" borderId="12" xfId="0" applyNumberFormat="1" applyFill="1" applyBorder="1"/>
    <xf numFmtId="0" fontId="20" fillId="33" borderId="12" xfId="0" applyFont="1" applyFill="1" applyBorder="1" applyAlignment="1">
      <alignment horizontal="center"/>
    </xf>
    <xf numFmtId="1" fontId="20" fillId="33" borderId="12" xfId="0" applyNumberFormat="1" applyFont="1" applyFill="1" applyBorder="1" applyAlignment="1">
      <alignment horizontal="center"/>
    </xf>
    <xf numFmtId="0" fontId="18" fillId="33" borderId="12" xfId="42" applyFill="1" applyBorder="1"/>
    <xf numFmtId="0" fontId="0" fillId="43" borderId="20" xfId="0" applyFill="1" applyBorder="1"/>
    <xf numFmtId="0" fontId="0" fillId="41" borderId="19" xfId="0" applyFill="1" applyBorder="1"/>
    <xf numFmtId="164" fontId="0" fillId="41" borderId="20" xfId="0" applyNumberFormat="1" applyFill="1" applyBorder="1"/>
    <xf numFmtId="2" fontId="0" fillId="41" borderId="20" xfId="0" applyNumberFormat="1" applyFill="1" applyBorder="1"/>
    <xf numFmtId="0" fontId="0" fillId="41" borderId="20" xfId="0" applyFill="1" applyBorder="1"/>
    <xf numFmtId="0" fontId="20" fillId="41" borderId="20" xfId="0" applyFont="1" applyFill="1" applyBorder="1" applyAlignment="1">
      <alignment horizontal="center"/>
    </xf>
    <xf numFmtId="1" fontId="20" fillId="41" borderId="20" xfId="0" applyNumberFormat="1" applyFont="1" applyFill="1" applyBorder="1" applyAlignment="1">
      <alignment horizontal="center"/>
    </xf>
    <xf numFmtId="0" fontId="0" fillId="41" borderId="20" xfId="0" applyFill="1" applyBorder="1" applyAlignment="1">
      <alignment horizontal="center"/>
    </xf>
    <xf numFmtId="0" fontId="18" fillId="41" borderId="20" xfId="42" applyFill="1" applyBorder="1" applyAlignment="1"/>
    <xf numFmtId="0" fontId="0" fillId="41" borderId="16" xfId="0" applyFill="1" applyBorder="1"/>
    <xf numFmtId="164" fontId="0" fillId="41" borderId="17" xfId="0" applyNumberFormat="1" applyFill="1" applyBorder="1"/>
    <xf numFmtId="2" fontId="0" fillId="41" borderId="17" xfId="0" applyNumberFormat="1" applyFill="1" applyBorder="1"/>
    <xf numFmtId="0" fontId="0" fillId="41" borderId="17" xfId="0" applyFill="1" applyBorder="1"/>
    <xf numFmtId="0" fontId="20" fillId="41" borderId="17" xfId="0" applyFont="1" applyFill="1" applyBorder="1" applyAlignment="1">
      <alignment horizontal="center"/>
    </xf>
    <xf numFmtId="1" fontId="20" fillId="41" borderId="17" xfId="0" applyNumberFormat="1" applyFont="1" applyFill="1" applyBorder="1" applyAlignment="1">
      <alignment horizontal="center"/>
    </xf>
    <xf numFmtId="0" fontId="0" fillId="41" borderId="17" xfId="0" applyFill="1" applyBorder="1" applyAlignment="1">
      <alignment horizontal="center"/>
    </xf>
    <xf numFmtId="0" fontId="18" fillId="41" borderId="17" xfId="42" applyFill="1" applyBorder="1" applyAlignment="1"/>
    <xf numFmtId="0" fontId="18" fillId="34" borderId="0" xfId="42" applyFill="1" applyBorder="1" applyAlignment="1"/>
    <xf numFmtId="0" fontId="18" fillId="33" borderId="0" xfId="42" applyFill="1" applyBorder="1" applyAlignment="1"/>
    <xf numFmtId="0" fontId="0" fillId="37" borderId="19" xfId="0" applyFill="1" applyBorder="1"/>
    <xf numFmtId="164" fontId="0" fillId="37" borderId="20" xfId="0" applyNumberFormat="1" applyFill="1" applyBorder="1"/>
    <xf numFmtId="2" fontId="0" fillId="37" borderId="20" xfId="0" applyNumberFormat="1" applyFill="1" applyBorder="1"/>
    <xf numFmtId="0" fontId="0" fillId="37" borderId="20" xfId="0" applyFill="1" applyBorder="1"/>
    <xf numFmtId="0" fontId="20" fillId="37" borderId="20" xfId="0" applyFont="1" applyFill="1" applyBorder="1" applyAlignment="1">
      <alignment horizontal="center"/>
    </xf>
    <xf numFmtId="1" fontId="20" fillId="37" borderId="20" xfId="0" applyNumberFormat="1" applyFont="1" applyFill="1" applyBorder="1" applyAlignment="1">
      <alignment horizontal="center"/>
    </xf>
    <xf numFmtId="0" fontId="0" fillId="37" borderId="20" xfId="0" applyFill="1" applyBorder="1" applyAlignment="1">
      <alignment horizontal="center"/>
    </xf>
    <xf numFmtId="0" fontId="18" fillId="37" borderId="20" xfId="42" applyFill="1" applyBorder="1" applyAlignment="1"/>
    <xf numFmtId="0" fontId="0" fillId="33" borderId="17" xfId="0" applyFill="1" applyBorder="1" applyAlignment="1">
      <alignment horizontal="center"/>
    </xf>
    <xf numFmtId="0" fontId="18" fillId="33" borderId="17" xfId="42" applyFill="1" applyBorder="1" applyAlignment="1"/>
    <xf numFmtId="164" fontId="0" fillId="45" borderId="17" xfId="0" applyNumberFormat="1" applyFill="1" applyBorder="1"/>
    <xf numFmtId="0" fontId="0" fillId="45" borderId="17" xfId="0" applyFill="1" applyBorder="1"/>
    <xf numFmtId="2" fontId="0" fillId="45" borderId="17" xfId="0" applyNumberFormat="1" applyFill="1" applyBorder="1"/>
    <xf numFmtId="0" fontId="18" fillId="45" borderId="17" xfId="42" applyFill="1" applyBorder="1"/>
    <xf numFmtId="0" fontId="0" fillId="45" borderId="19" xfId="0" applyFill="1" applyBorder="1"/>
    <xf numFmtId="164" fontId="0" fillId="45" borderId="20" xfId="0" applyNumberFormat="1" applyFill="1" applyBorder="1"/>
    <xf numFmtId="0" fontId="0" fillId="45" borderId="20" xfId="0" applyFill="1" applyBorder="1"/>
    <xf numFmtId="2" fontId="0" fillId="45" borderId="20" xfId="0" applyNumberFormat="1" applyFill="1" applyBorder="1"/>
    <xf numFmtId="0" fontId="20" fillId="45" borderId="20" xfId="0" applyFont="1" applyFill="1" applyBorder="1" applyAlignment="1">
      <alignment horizontal="center"/>
    </xf>
    <xf numFmtId="1" fontId="20" fillId="45" borderId="20" xfId="0" applyNumberFormat="1" applyFont="1" applyFill="1" applyBorder="1" applyAlignment="1">
      <alignment horizontal="center"/>
    </xf>
    <xf numFmtId="0" fontId="18" fillId="45" borderId="20" xfId="42" applyFill="1" applyBorder="1"/>
    <xf numFmtId="164" fontId="0" fillId="34" borderId="17" xfId="0" applyNumberFormat="1" applyFill="1" applyBorder="1"/>
    <xf numFmtId="0" fontId="0" fillId="34" borderId="17" xfId="0" applyFill="1" applyBorder="1"/>
    <xf numFmtId="2" fontId="0" fillId="34" borderId="17" xfId="0" applyNumberFormat="1" applyFill="1" applyBorder="1"/>
    <xf numFmtId="0" fontId="18" fillId="41" borderId="17" xfId="42" applyFill="1" applyBorder="1"/>
    <xf numFmtId="0" fontId="0" fillId="47" borderId="0" xfId="0" applyFill="1"/>
    <xf numFmtId="0" fontId="0" fillId="35" borderId="12" xfId="0" applyFill="1" applyBorder="1"/>
    <xf numFmtId="164" fontId="0" fillId="35" borderId="12" xfId="0" applyNumberFormat="1" applyFill="1" applyBorder="1"/>
    <xf numFmtId="2" fontId="0" fillId="35" borderId="12" xfId="0" applyNumberFormat="1" applyFill="1" applyBorder="1"/>
    <xf numFmtId="0" fontId="0" fillId="35" borderId="12" xfId="0" applyFill="1" applyBorder="1" applyAlignment="1">
      <alignment horizontal="center"/>
    </xf>
    <xf numFmtId="1" fontId="0" fillId="35" borderId="12" xfId="0" applyNumberFormat="1" applyFill="1" applyBorder="1" applyAlignment="1">
      <alignment horizontal="center"/>
    </xf>
    <xf numFmtId="0" fontId="18" fillId="0" borderId="12" xfId="42" applyBorder="1" applyAlignment="1"/>
    <xf numFmtId="0" fontId="18" fillId="0" borderId="0" xfId="42" applyBorder="1" applyAlignment="1"/>
    <xf numFmtId="0" fontId="0" fillId="47" borderId="12" xfId="0" applyFill="1" applyBorder="1"/>
    <xf numFmtId="0" fontId="0" fillId="34" borderId="17" xfId="0" applyFill="1" applyBorder="1" applyAlignment="1">
      <alignment horizontal="center"/>
    </xf>
    <xf numFmtId="0" fontId="18" fillId="0" borderId="17" xfId="42" applyBorder="1" applyAlignment="1"/>
    <xf numFmtId="0" fontId="0" fillId="36" borderId="17" xfId="0" applyFill="1" applyBorder="1"/>
    <xf numFmtId="164" fontId="0" fillId="36" borderId="17" xfId="0" applyNumberFormat="1" applyFill="1" applyBorder="1"/>
    <xf numFmtId="2" fontId="0" fillId="36" borderId="17" xfId="0" applyNumberFormat="1" applyFill="1" applyBorder="1"/>
    <xf numFmtId="0" fontId="20" fillId="36" borderId="17" xfId="0" applyFont="1" applyFill="1" applyBorder="1" applyAlignment="1">
      <alignment horizontal="center"/>
    </xf>
    <xf numFmtId="1" fontId="20" fillId="36" borderId="17" xfId="0" applyNumberFormat="1" applyFont="1" applyFill="1" applyBorder="1" applyAlignment="1">
      <alignment horizontal="center"/>
    </xf>
    <xf numFmtId="0" fontId="18" fillId="36" borderId="17" xfId="42" applyFill="1" applyBorder="1"/>
    <xf numFmtId="0" fontId="20" fillId="35" borderId="12" xfId="0" applyFont="1" applyFill="1" applyBorder="1" applyAlignment="1">
      <alignment horizontal="center"/>
    </xf>
    <xf numFmtId="1" fontId="20" fillId="35" borderId="12" xfId="0" applyNumberFormat="1" applyFont="1" applyFill="1" applyBorder="1" applyAlignment="1">
      <alignment horizontal="center"/>
    </xf>
    <xf numFmtId="0" fontId="18" fillId="35" borderId="12" xfId="42" applyFill="1" applyBorder="1"/>
    <xf numFmtId="0" fontId="0" fillId="36" borderId="16" xfId="0" applyFill="1" applyBorder="1"/>
    <xf numFmtId="1" fontId="0" fillId="41" borderId="17" xfId="0" applyNumberFormat="1" applyFill="1" applyBorder="1" applyAlignment="1">
      <alignment horizontal="center"/>
    </xf>
    <xf numFmtId="0" fontId="0" fillId="37" borderId="12" xfId="0" applyFill="1" applyBorder="1"/>
    <xf numFmtId="164" fontId="0" fillId="37" borderId="12" xfId="0" applyNumberFormat="1" applyFill="1" applyBorder="1"/>
    <xf numFmtId="2" fontId="0" fillId="37" borderId="12" xfId="0" applyNumberFormat="1" applyFill="1" applyBorder="1"/>
    <xf numFmtId="0" fontId="0" fillId="37" borderId="12" xfId="0" applyFill="1" applyBorder="1" applyAlignment="1">
      <alignment horizontal="center"/>
    </xf>
    <xf numFmtId="1" fontId="0" fillId="37" borderId="12" xfId="0" applyNumberFormat="1" applyFill="1" applyBorder="1" applyAlignment="1">
      <alignment horizontal="center"/>
    </xf>
    <xf numFmtId="0" fontId="18" fillId="37" borderId="12" xfId="42" applyFill="1" applyBorder="1"/>
    <xf numFmtId="0" fontId="20" fillId="45" borderId="20" xfId="0" applyFont="1" applyFill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wrapText="1"/>
    </xf>
    <xf numFmtId="0" fontId="0" fillId="33" borderId="12" xfId="0" applyFill="1" applyBorder="1" applyAlignment="1">
      <alignment horizontal="center"/>
    </xf>
    <xf numFmtId="0" fontId="22" fillId="36" borderId="12" xfId="0" applyFont="1" applyFill="1" applyBorder="1"/>
    <xf numFmtId="0" fontId="0" fillId="36" borderId="12" xfId="0" applyFill="1" applyBorder="1"/>
    <xf numFmtId="0" fontId="20" fillId="36" borderId="12" xfId="0" applyFont="1" applyFill="1" applyBorder="1" applyAlignment="1">
      <alignment horizontal="center"/>
    </xf>
    <xf numFmtId="1" fontId="20" fillId="36" borderId="12" xfId="0" applyNumberFormat="1" applyFont="1" applyFill="1" applyBorder="1" applyAlignment="1">
      <alignment horizontal="center"/>
    </xf>
    <xf numFmtId="0" fontId="0" fillId="36" borderId="12" xfId="0" applyFill="1" applyBorder="1" applyAlignment="1">
      <alignment horizontal="center"/>
    </xf>
    <xf numFmtId="0" fontId="22" fillId="34" borderId="12" xfId="0" applyFont="1" applyFill="1" applyBorder="1"/>
    <xf numFmtId="0" fontId="0" fillId="34" borderId="12" xfId="0" applyFill="1" applyBorder="1" applyAlignment="1">
      <alignment horizontal="center"/>
    </xf>
    <xf numFmtId="0" fontId="22" fillId="33" borderId="12" xfId="0" applyFont="1" applyFill="1" applyBorder="1"/>
    <xf numFmtId="0" fontId="22" fillId="35" borderId="12" xfId="0" applyFont="1" applyFill="1" applyBorder="1"/>
    <xf numFmtId="0" fontId="22" fillId="34" borderId="0" xfId="0" applyFont="1" applyFill="1"/>
    <xf numFmtId="0" fontId="22" fillId="33" borderId="0" xfId="0" applyFont="1" applyFill="1"/>
    <xf numFmtId="0" fontId="22" fillId="36" borderId="0" xfId="0" applyFont="1" applyFill="1"/>
    <xf numFmtId="0" fontId="18" fillId="36" borderId="12" xfId="42" applyFill="1" applyBorder="1"/>
    <xf numFmtId="0" fontId="0" fillId="46" borderId="14" xfId="0" applyFill="1" applyBorder="1" applyAlignment="1">
      <alignment horizontal="center"/>
    </xf>
    <xf numFmtId="0" fontId="0" fillId="46" borderId="14" xfId="0" applyFill="1" applyBorder="1"/>
    <xf numFmtId="0" fontId="18" fillId="41" borderId="0" xfId="42" applyFill="1" applyBorder="1"/>
    <xf numFmtId="0" fontId="0" fillId="41" borderId="12" xfId="0" applyFill="1" applyBorder="1"/>
    <xf numFmtId="164" fontId="0" fillId="41" borderId="12" xfId="0" applyNumberFormat="1" applyFill="1" applyBorder="1"/>
    <xf numFmtId="2" fontId="0" fillId="41" borderId="12" xfId="0" applyNumberFormat="1" applyFill="1" applyBorder="1"/>
    <xf numFmtId="0" fontId="20" fillId="41" borderId="12" xfId="0" applyFont="1" applyFill="1" applyBorder="1" applyAlignment="1">
      <alignment horizontal="center"/>
    </xf>
    <xf numFmtId="1" fontId="20" fillId="41" borderId="12" xfId="0" applyNumberFormat="1" applyFont="1" applyFill="1" applyBorder="1" applyAlignment="1">
      <alignment horizontal="center"/>
    </xf>
    <xf numFmtId="0" fontId="18" fillId="41" borderId="12" xfId="42" applyFill="1" applyBorder="1"/>
    <xf numFmtId="0" fontId="0" fillId="41" borderId="24" xfId="0" applyFill="1" applyBorder="1"/>
    <xf numFmtId="0" fontId="0" fillId="43" borderId="24" xfId="0" applyFill="1" applyBorder="1"/>
    <xf numFmtId="0" fontId="0" fillId="43" borderId="12" xfId="0" applyFill="1" applyBorder="1"/>
    <xf numFmtId="0" fontId="0" fillId="33" borderId="20" xfId="0" applyFill="1" applyBorder="1" applyAlignment="1">
      <alignment horizontal="center"/>
    </xf>
    <xf numFmtId="0" fontId="18" fillId="33" borderId="20" xfId="42" applyFill="1" applyBorder="1" applyAlignment="1"/>
    <xf numFmtId="0" fontId="0" fillId="0" borderId="14" xfId="0" applyBorder="1"/>
    <xf numFmtId="0" fontId="0" fillId="33" borderId="14" xfId="0" applyFill="1" applyBorder="1"/>
    <xf numFmtId="0" fontId="0" fillId="41" borderId="21" xfId="0" applyFill="1" applyBorder="1"/>
    <xf numFmtId="0" fontId="0" fillId="41" borderId="18" xfId="0" applyFill="1" applyBorder="1"/>
    <xf numFmtId="0" fontId="0" fillId="34" borderId="14" xfId="0" applyFill="1" applyBorder="1"/>
    <xf numFmtId="0" fontId="0" fillId="37" borderId="21" xfId="0" applyFill="1" applyBorder="1"/>
    <xf numFmtId="0" fontId="0" fillId="33" borderId="18" xfId="0" applyFill="1" applyBorder="1"/>
    <xf numFmtId="0" fontId="0" fillId="33" borderId="13" xfId="0" applyFill="1" applyBorder="1"/>
    <xf numFmtId="0" fontId="0" fillId="36" borderId="14" xfId="0" applyFill="1" applyBorder="1"/>
    <xf numFmtId="0" fontId="0" fillId="36" borderId="13" xfId="0" applyFill="1" applyBorder="1"/>
    <xf numFmtId="0" fontId="0" fillId="34" borderId="13" xfId="0" applyFill="1" applyBorder="1"/>
    <xf numFmtId="0" fontId="0" fillId="35" borderId="13" xfId="0" applyFill="1" applyBorder="1"/>
    <xf numFmtId="0" fontId="0" fillId="33" borderId="21" xfId="0" applyFill="1" applyBorder="1"/>
    <xf numFmtId="0" fontId="0" fillId="45" borderId="21" xfId="0" applyFill="1" applyBorder="1"/>
    <xf numFmtId="0" fontId="0" fillId="34" borderId="18" xfId="0" applyFill="1" applyBorder="1"/>
    <xf numFmtId="0" fontId="0" fillId="37" borderId="14" xfId="0" applyFill="1" applyBorder="1"/>
    <xf numFmtId="0" fontId="0" fillId="37" borderId="13" xfId="0" applyFill="1" applyBorder="1"/>
    <xf numFmtId="0" fontId="0" fillId="35" borderId="14" xfId="0" applyFill="1" applyBorder="1"/>
    <xf numFmtId="0" fontId="0" fillId="38" borderId="14" xfId="0" applyFill="1" applyBorder="1"/>
    <xf numFmtId="0" fontId="0" fillId="41" borderId="14" xfId="0" applyFill="1" applyBorder="1"/>
    <xf numFmtId="0" fontId="0" fillId="41" borderId="13" xfId="0" applyFill="1" applyBorder="1"/>
    <xf numFmtId="0" fontId="0" fillId="41" borderId="15" xfId="0" applyFill="1" applyBorder="1"/>
    <xf numFmtId="0" fontId="0" fillId="36" borderId="18" xfId="0" applyFill="1" applyBorder="1"/>
    <xf numFmtId="0" fontId="0" fillId="0" borderId="12" xfId="0" applyBorder="1" applyAlignment="1">
      <alignment horizontal="center"/>
    </xf>
    <xf numFmtId="2" fontId="0" fillId="0" borderId="0" xfId="0" applyNumberFormat="1" applyAlignment="1">
      <alignment horizontal="center"/>
    </xf>
    <xf numFmtId="1" fontId="20" fillId="33" borderId="20" xfId="0" applyNumberFormat="1" applyFont="1" applyFill="1" applyBorder="1" applyAlignment="1">
      <alignment horizontal="center" vertical="center"/>
    </xf>
    <xf numFmtId="1" fontId="20" fillId="33" borderId="0" xfId="0" applyNumberFormat="1" applyFont="1" applyFill="1" applyAlignment="1">
      <alignment horizontal="center" vertical="center"/>
    </xf>
    <xf numFmtId="1" fontId="20" fillId="33" borderId="12" xfId="0" applyNumberFormat="1" applyFont="1" applyFill="1" applyBorder="1" applyAlignment="1">
      <alignment horizontal="center" vertical="center"/>
    </xf>
    <xf numFmtId="1" fontId="20" fillId="34" borderId="20" xfId="0" applyNumberFormat="1" applyFont="1" applyFill="1" applyBorder="1" applyAlignment="1">
      <alignment horizontal="center" vertical="center"/>
    </xf>
    <xf numFmtId="1" fontId="20" fillId="34" borderId="12" xfId="0" applyNumberFormat="1" applyFont="1" applyFill="1" applyBorder="1" applyAlignment="1">
      <alignment horizontal="center" vertical="center"/>
    </xf>
    <xf numFmtId="0" fontId="0" fillId="33" borderId="24" xfId="0" applyFill="1" applyBorder="1"/>
    <xf numFmtId="0" fontId="22" fillId="41" borderId="12" xfId="0" applyFont="1" applyFill="1" applyBorder="1"/>
    <xf numFmtId="0" fontId="0" fillId="41" borderId="12" xfId="0" applyFill="1" applyBorder="1" applyAlignment="1">
      <alignment horizontal="center"/>
    </xf>
    <xf numFmtId="0" fontId="20" fillId="0" borderId="12" xfId="0" applyFont="1" applyBorder="1" applyAlignment="1">
      <alignment horizontal="center"/>
    </xf>
    <xf numFmtId="1" fontId="20" fillId="33" borderId="17" xfId="0" applyNumberFormat="1" applyFon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2" fontId="0" fillId="0" borderId="12" xfId="0" applyNumberFormat="1" applyBorder="1"/>
    <xf numFmtId="0" fontId="23" fillId="0" borderId="0" xfId="0" applyFont="1"/>
    <xf numFmtId="0" fontId="23" fillId="0" borderId="0" xfId="0" applyFont="1" applyAlignment="1">
      <alignment wrapText="1"/>
    </xf>
    <xf numFmtId="0" fontId="0" fillId="0" borderId="0" xfId="0" applyAlignment="1">
      <alignment wrapText="1"/>
    </xf>
    <xf numFmtId="0" fontId="23" fillId="46" borderId="0" xfId="0" applyFont="1" applyFill="1"/>
    <xf numFmtId="0" fontId="23" fillId="46" borderId="0" xfId="0" applyFont="1" applyFill="1" applyAlignment="1">
      <alignment wrapText="1"/>
    </xf>
    <xf numFmtId="0" fontId="18" fillId="46" borderId="0" xfId="42" applyFill="1"/>
    <xf numFmtId="0" fontId="0" fillId="46" borderId="0" xfId="0" applyFill="1"/>
    <xf numFmtId="0" fontId="0" fillId="46" borderId="0" xfId="0" applyFill="1" applyAlignment="1">
      <alignment horizontal="center"/>
    </xf>
    <xf numFmtId="0" fontId="0" fillId="46" borderId="0" xfId="0" applyFill="1" applyAlignment="1">
      <alignment horizontal="center" vertical="center"/>
    </xf>
    <xf numFmtId="1" fontId="0" fillId="46" borderId="0" xfId="0" applyNumberFormat="1" applyFill="1" applyAlignment="1">
      <alignment horizontal="center"/>
    </xf>
    <xf numFmtId="0" fontId="0" fillId="46" borderId="25" xfId="0" applyFill="1" applyBorder="1" applyAlignment="1">
      <alignment horizontal="center"/>
    </xf>
    <xf numFmtId="0" fontId="14" fillId="46" borderId="14" xfId="0" applyFont="1" applyFill="1" applyBorder="1" applyAlignment="1">
      <alignment horizontal="center" wrapText="1"/>
    </xf>
    <xf numFmtId="0" fontId="23" fillId="36" borderId="0" xfId="0" applyFont="1" applyFill="1"/>
    <xf numFmtId="0" fontId="23" fillId="37" borderId="0" xfId="0" applyFont="1" applyFill="1"/>
    <xf numFmtId="0" fontId="23" fillId="37" borderId="12" xfId="0" applyFont="1" applyFill="1" applyBorder="1"/>
    <xf numFmtId="0" fontId="0" fillId="0" borderId="22" xfId="0" applyBorder="1"/>
    <xf numFmtId="0" fontId="22" fillId="36" borderId="22" xfId="0" applyFont="1" applyFill="1" applyBorder="1" applyAlignment="1">
      <alignment wrapText="1"/>
    </xf>
    <xf numFmtId="0" fontId="22" fillId="36" borderId="23" xfId="0" applyFont="1" applyFill="1" applyBorder="1" applyAlignment="1">
      <alignment wrapText="1"/>
    </xf>
    <xf numFmtId="0" fontId="22" fillId="34" borderId="23" xfId="0" applyFont="1" applyFill="1" applyBorder="1" applyAlignment="1">
      <alignment wrapText="1"/>
    </xf>
    <xf numFmtId="0" fontId="22" fillId="33" borderId="22" xfId="0" applyFont="1" applyFill="1" applyBorder="1" applyAlignment="1">
      <alignment wrapText="1"/>
    </xf>
    <xf numFmtId="0" fontId="22" fillId="33" borderId="23" xfId="0" applyFont="1" applyFill="1" applyBorder="1" applyAlignment="1">
      <alignment wrapText="1"/>
    </xf>
    <xf numFmtId="0" fontId="22" fillId="35" borderId="23" xfId="0" applyFont="1" applyFill="1" applyBorder="1" applyAlignment="1">
      <alignment wrapText="1"/>
    </xf>
    <xf numFmtId="0" fontId="22" fillId="34" borderId="22" xfId="0" applyFont="1" applyFill="1" applyBorder="1" applyAlignment="1">
      <alignment wrapText="1"/>
    </xf>
    <xf numFmtId="0" fontId="22" fillId="41" borderId="23" xfId="0" applyFont="1" applyFill="1" applyBorder="1" applyAlignment="1">
      <alignment wrapText="1"/>
    </xf>
    <xf numFmtId="0" fontId="0" fillId="36" borderId="22" xfId="0" applyFill="1" applyBorder="1"/>
    <xf numFmtId="0" fontId="0" fillId="35" borderId="22" xfId="0" applyFill="1" applyBorder="1"/>
    <xf numFmtId="0" fontId="0" fillId="35" borderId="23" xfId="0" applyFill="1" applyBorder="1"/>
    <xf numFmtId="0" fontId="0" fillId="34" borderId="16" xfId="0" applyFill="1" applyBorder="1"/>
    <xf numFmtId="0" fontId="0" fillId="38" borderId="22" xfId="0" applyFill="1" applyBorder="1"/>
    <xf numFmtId="0" fontId="0" fillId="41" borderId="22" xfId="0" applyFill="1" applyBorder="1"/>
    <xf numFmtId="0" fontId="0" fillId="41" borderId="23" xfId="0" applyFill="1" applyBorder="1"/>
    <xf numFmtId="0" fontId="0" fillId="41" borderId="27" xfId="0" applyFill="1" applyBorder="1"/>
    <xf numFmtId="0" fontId="0" fillId="37" borderId="22" xfId="0" applyFill="1" applyBorder="1"/>
    <xf numFmtId="0" fontId="0" fillId="37" borderId="23" xfId="0" applyFill="1" applyBorder="1"/>
    <xf numFmtId="0" fontId="0" fillId="0" borderId="22" xfId="0" applyBorder="1" applyAlignment="1">
      <alignment horizontal="left"/>
    </xf>
    <xf numFmtId="0" fontId="23" fillId="37" borderId="0" xfId="0" applyFont="1" applyFill="1" applyAlignment="1">
      <alignment horizontal="center"/>
    </xf>
    <xf numFmtId="0" fontId="23" fillId="37" borderId="12" xfId="0" applyFont="1" applyFill="1" applyBorder="1" applyAlignment="1">
      <alignment horizontal="center"/>
    </xf>
    <xf numFmtId="0" fontId="23" fillId="46" borderId="12" xfId="0" applyFont="1" applyFill="1" applyBorder="1"/>
    <xf numFmtId="0" fontId="18" fillId="46" borderId="12" xfId="42" applyFill="1" applyBorder="1"/>
    <xf numFmtId="1" fontId="20" fillId="45" borderId="20" xfId="0" applyNumberFormat="1" applyFont="1" applyFill="1" applyBorder="1" applyAlignment="1">
      <alignment horizontal="center" vertical="center"/>
    </xf>
    <xf numFmtId="0" fontId="20" fillId="43" borderId="20" xfId="0" applyFont="1" applyFill="1" applyBorder="1" applyAlignment="1">
      <alignment horizontal="center" vertical="center"/>
    </xf>
    <xf numFmtId="0" fontId="0" fillId="45" borderId="19" xfId="0" applyFill="1" applyBorder="1" applyAlignment="1">
      <alignment wrapText="1"/>
    </xf>
    <xf numFmtId="0" fontId="20" fillId="45" borderId="17" xfId="0" applyFont="1" applyFill="1" applyBorder="1" applyAlignment="1">
      <alignment horizontal="center"/>
    </xf>
    <xf numFmtId="1" fontId="20" fillId="45" borderId="17" xfId="0" applyNumberFormat="1" applyFont="1" applyFill="1" applyBorder="1" applyAlignment="1">
      <alignment horizontal="center"/>
    </xf>
    <xf numFmtId="164" fontId="0" fillId="43" borderId="17" xfId="0" applyNumberFormat="1" applyFill="1" applyBorder="1"/>
    <xf numFmtId="2" fontId="0" fillId="43" borderId="17" xfId="0" applyNumberFormat="1" applyFill="1" applyBorder="1"/>
    <xf numFmtId="164" fontId="0" fillId="43" borderId="24" xfId="0" applyNumberFormat="1" applyFill="1" applyBorder="1"/>
    <xf numFmtId="164" fontId="0" fillId="33" borderId="24" xfId="0" applyNumberFormat="1" applyFill="1" applyBorder="1"/>
    <xf numFmtId="2" fontId="0" fillId="33" borderId="24" xfId="0" applyNumberFormat="1" applyFill="1" applyBorder="1"/>
    <xf numFmtId="0" fontId="20" fillId="33" borderId="24" xfId="0" applyFont="1" applyFill="1" applyBorder="1" applyAlignment="1">
      <alignment horizontal="center"/>
    </xf>
    <xf numFmtId="1" fontId="20" fillId="33" borderId="24" xfId="0" applyNumberFormat="1" applyFont="1" applyFill="1" applyBorder="1" applyAlignment="1">
      <alignment horizontal="center"/>
    </xf>
    <xf numFmtId="0" fontId="18" fillId="33" borderId="24" xfId="42" applyFill="1" applyBorder="1"/>
    <xf numFmtId="0" fontId="22" fillId="36" borderId="24" xfId="0" applyFont="1" applyFill="1" applyBorder="1"/>
    <xf numFmtId="0" fontId="0" fillId="36" borderId="24" xfId="0" applyFill="1" applyBorder="1"/>
    <xf numFmtId="0" fontId="20" fillId="36" borderId="24" xfId="0" applyFont="1" applyFill="1" applyBorder="1" applyAlignment="1">
      <alignment horizontal="center"/>
    </xf>
    <xf numFmtId="1" fontId="20" fillId="36" borderId="24" xfId="0" applyNumberFormat="1" applyFont="1" applyFill="1" applyBorder="1" applyAlignment="1">
      <alignment horizontal="center"/>
    </xf>
    <xf numFmtId="0" fontId="18" fillId="36" borderId="24" xfId="42" applyFill="1" applyBorder="1"/>
    <xf numFmtId="0" fontId="20" fillId="36" borderId="28" xfId="0" applyFont="1" applyFill="1" applyBorder="1" applyAlignment="1">
      <alignment horizontal="center" vertical="center"/>
    </xf>
    <xf numFmtId="164" fontId="0" fillId="36" borderId="12" xfId="0" applyNumberFormat="1" applyFill="1" applyBorder="1"/>
    <xf numFmtId="2" fontId="0" fillId="36" borderId="12" xfId="0" applyNumberFormat="1" applyFill="1" applyBorder="1"/>
    <xf numFmtId="0" fontId="0" fillId="46" borderId="0" xfId="0" applyFill="1" applyAlignment="1">
      <alignment wrapText="1"/>
    </xf>
    <xf numFmtId="0" fontId="23" fillId="0" borderId="12" xfId="0" applyFont="1" applyBorder="1"/>
    <xf numFmtId="0" fontId="23" fillId="0" borderId="12" xfId="0" applyFont="1" applyBorder="1" applyAlignment="1">
      <alignment wrapText="1"/>
    </xf>
    <xf numFmtId="0" fontId="18" fillId="0" borderId="12" xfId="42" applyBorder="1"/>
    <xf numFmtId="0" fontId="23" fillId="0" borderId="17" xfId="0" applyFont="1" applyBorder="1"/>
    <xf numFmtId="0" fontId="23" fillId="0" borderId="17" xfId="0" applyFont="1" applyBorder="1" applyAlignment="1">
      <alignment wrapText="1"/>
    </xf>
    <xf numFmtId="0" fontId="18" fillId="0" borderId="17" xfId="42" applyBorder="1"/>
    <xf numFmtId="0" fontId="0" fillId="36" borderId="26" xfId="0" applyFill="1" applyBorder="1"/>
    <xf numFmtId="0" fontId="0" fillId="45" borderId="18" xfId="0" applyFill="1" applyBorder="1"/>
    <xf numFmtId="0" fontId="0" fillId="33" borderId="26" xfId="0" applyFill="1" applyBorder="1"/>
    <xf numFmtId="0" fontId="23" fillId="45" borderId="12" xfId="0" applyFont="1" applyFill="1" applyBorder="1"/>
    <xf numFmtId="0" fontId="0" fillId="45" borderId="12" xfId="0" applyFill="1" applyBorder="1"/>
    <xf numFmtId="0" fontId="18" fillId="45" borderId="12" xfId="42" applyFill="1" applyBorder="1"/>
    <xf numFmtId="0" fontId="23" fillId="45" borderId="1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0" fillId="33" borderId="19" xfId="0" applyFont="1" applyFill="1" applyBorder="1" applyAlignment="1">
      <alignment horizontal="center" vertical="center"/>
    </xf>
    <xf numFmtId="0" fontId="20" fillId="33" borderId="22" xfId="0" applyFont="1" applyFill="1" applyBorder="1" applyAlignment="1">
      <alignment horizontal="center" vertical="center"/>
    </xf>
    <xf numFmtId="0" fontId="20" fillId="33" borderId="23" xfId="0" applyFont="1" applyFill="1" applyBorder="1" applyAlignment="1">
      <alignment horizontal="center" vertical="center"/>
    </xf>
    <xf numFmtId="0" fontId="20" fillId="41" borderId="19" xfId="0" applyFont="1" applyFill="1" applyBorder="1" applyAlignment="1">
      <alignment horizontal="center" vertical="center"/>
    </xf>
    <xf numFmtId="0" fontId="20" fillId="41" borderId="16" xfId="0" applyFont="1" applyFill="1" applyBorder="1" applyAlignment="1">
      <alignment horizontal="center" vertical="center"/>
    </xf>
    <xf numFmtId="0" fontId="20" fillId="34" borderId="22" xfId="0" applyFont="1" applyFill="1" applyBorder="1" applyAlignment="1">
      <alignment horizontal="center" vertical="center"/>
    </xf>
    <xf numFmtId="0" fontId="20" fillId="37" borderId="19" xfId="0" applyFont="1" applyFill="1" applyBorder="1" applyAlignment="1">
      <alignment horizontal="center" vertical="center"/>
    </xf>
    <xf numFmtId="0" fontId="20" fillId="33" borderId="16" xfId="0" applyFont="1" applyFill="1" applyBorder="1" applyAlignment="1">
      <alignment horizontal="center" vertical="center"/>
    </xf>
    <xf numFmtId="0" fontId="20" fillId="36" borderId="22" xfId="0" applyFont="1" applyFill="1" applyBorder="1" applyAlignment="1">
      <alignment horizontal="center" vertical="center"/>
    </xf>
    <xf numFmtId="0" fontId="20" fillId="36" borderId="23" xfId="0" applyFont="1" applyFill="1" applyBorder="1" applyAlignment="1">
      <alignment horizontal="center" vertical="center"/>
    </xf>
    <xf numFmtId="0" fontId="20" fillId="34" borderId="23" xfId="0" applyFont="1" applyFill="1" applyBorder="1" applyAlignment="1">
      <alignment horizontal="center" vertical="center"/>
    </xf>
    <xf numFmtId="0" fontId="20" fillId="35" borderId="23" xfId="0" applyFont="1" applyFill="1" applyBorder="1" applyAlignment="1">
      <alignment horizontal="center" vertical="center"/>
    </xf>
    <xf numFmtId="0" fontId="20" fillId="41" borderId="23" xfId="0" applyFont="1" applyFill="1" applyBorder="1" applyAlignment="1">
      <alignment horizontal="center" vertical="center"/>
    </xf>
    <xf numFmtId="0" fontId="20" fillId="45" borderId="19" xfId="0" applyFont="1" applyFill="1" applyBorder="1" applyAlignment="1">
      <alignment horizontal="center" vertical="center"/>
    </xf>
    <xf numFmtId="0" fontId="20" fillId="45" borderId="16" xfId="0" applyFont="1" applyFill="1" applyBorder="1" applyAlignment="1">
      <alignment horizontal="center" vertical="center"/>
    </xf>
    <xf numFmtId="0" fontId="20" fillId="33" borderId="28" xfId="0" applyFont="1" applyFill="1" applyBorder="1" applyAlignment="1">
      <alignment horizontal="center" vertical="center"/>
    </xf>
    <xf numFmtId="0" fontId="20" fillId="34" borderId="19" xfId="0" applyFont="1" applyFill="1" applyBorder="1" applyAlignment="1">
      <alignment horizontal="center" vertical="center"/>
    </xf>
    <xf numFmtId="0" fontId="23" fillId="37" borderId="22" xfId="0" applyFont="1" applyFill="1" applyBorder="1" applyAlignment="1">
      <alignment horizontal="center"/>
    </xf>
    <xf numFmtId="0" fontId="0" fillId="48" borderId="22" xfId="0" applyFill="1" applyBorder="1" applyAlignment="1">
      <alignment horizontal="center" vertical="center"/>
    </xf>
    <xf numFmtId="1" fontId="0" fillId="34" borderId="22" xfId="0" applyNumberFormat="1" applyFill="1" applyBorder="1" applyAlignment="1">
      <alignment horizontal="center" vertical="center"/>
    </xf>
    <xf numFmtId="1" fontId="0" fillId="34" borderId="16" xfId="0" applyNumberFormat="1" applyFill="1" applyBorder="1" applyAlignment="1">
      <alignment horizontal="center" vertical="center"/>
    </xf>
    <xf numFmtId="0" fontId="20" fillId="38" borderId="22" xfId="0" applyFont="1" applyFill="1" applyBorder="1" applyAlignment="1">
      <alignment horizontal="center" vertical="center"/>
    </xf>
    <xf numFmtId="0" fontId="20" fillId="41" borderId="22" xfId="0" applyFont="1" applyFill="1" applyBorder="1" applyAlignment="1">
      <alignment horizontal="center" vertical="center"/>
    </xf>
    <xf numFmtId="0" fontId="20" fillId="41" borderId="27" xfId="0" applyFont="1" applyFill="1" applyBorder="1" applyAlignment="1">
      <alignment horizontal="center" vertical="center"/>
    </xf>
    <xf numFmtId="0" fontId="20" fillId="36" borderId="16" xfId="0" applyFont="1" applyFill="1" applyBorder="1" applyAlignment="1">
      <alignment horizontal="center" vertical="center"/>
    </xf>
    <xf numFmtId="0" fontId="23" fillId="45" borderId="23" xfId="0" applyFont="1" applyFill="1" applyBorder="1" applyAlignment="1">
      <alignment horizontal="center" vertical="center"/>
    </xf>
    <xf numFmtId="0" fontId="0" fillId="34" borderId="22" xfId="0" applyFill="1" applyBorder="1" applyAlignment="1">
      <alignment horizontal="center" vertical="center"/>
    </xf>
    <xf numFmtId="0" fontId="0" fillId="41" borderId="16" xfId="0" applyFill="1" applyBorder="1" applyAlignment="1">
      <alignment horizontal="center" vertical="center"/>
    </xf>
    <xf numFmtId="0" fontId="0" fillId="37" borderId="22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20" fillId="33" borderId="19" xfId="0" applyFont="1" applyFill="1" applyBorder="1" applyAlignment="1">
      <alignment horizontal="center"/>
    </xf>
    <xf numFmtId="0" fontId="20" fillId="33" borderId="22" xfId="0" applyFont="1" applyFill="1" applyBorder="1" applyAlignment="1">
      <alignment horizontal="center"/>
    </xf>
    <xf numFmtId="0" fontId="20" fillId="41" borderId="19" xfId="0" applyFont="1" applyFill="1" applyBorder="1" applyAlignment="1">
      <alignment horizontal="center"/>
    </xf>
    <xf numFmtId="0" fontId="20" fillId="41" borderId="16" xfId="0" applyFont="1" applyFill="1" applyBorder="1" applyAlignment="1">
      <alignment horizontal="center"/>
    </xf>
    <xf numFmtId="0" fontId="20" fillId="34" borderId="22" xfId="0" applyFont="1" applyFill="1" applyBorder="1" applyAlignment="1">
      <alignment horizontal="center"/>
    </xf>
    <xf numFmtId="0" fontId="20" fillId="37" borderId="19" xfId="0" applyFont="1" applyFill="1" applyBorder="1" applyAlignment="1">
      <alignment horizontal="center"/>
    </xf>
    <xf numFmtId="0" fontId="20" fillId="33" borderId="16" xfId="0" applyFont="1" applyFill="1" applyBorder="1" applyAlignment="1">
      <alignment horizontal="center"/>
    </xf>
    <xf numFmtId="0" fontId="20" fillId="33" borderId="23" xfId="0" applyFont="1" applyFill="1" applyBorder="1" applyAlignment="1">
      <alignment horizontal="center"/>
    </xf>
    <xf numFmtId="0" fontId="20" fillId="36" borderId="22" xfId="0" applyFont="1" applyFill="1" applyBorder="1" applyAlignment="1">
      <alignment horizontal="center"/>
    </xf>
    <xf numFmtId="0" fontId="20" fillId="36" borderId="23" xfId="0" applyFont="1" applyFill="1" applyBorder="1" applyAlignment="1">
      <alignment horizontal="center"/>
    </xf>
    <xf numFmtId="0" fontId="20" fillId="34" borderId="23" xfId="0" applyFont="1" applyFill="1" applyBorder="1" applyAlignment="1">
      <alignment horizontal="center"/>
    </xf>
    <xf numFmtId="0" fontId="20" fillId="35" borderId="23" xfId="0" applyFont="1" applyFill="1" applyBorder="1" applyAlignment="1">
      <alignment horizontal="center"/>
    </xf>
    <xf numFmtId="0" fontId="20" fillId="41" borderId="23" xfId="0" applyFont="1" applyFill="1" applyBorder="1" applyAlignment="1">
      <alignment horizontal="center"/>
    </xf>
    <xf numFmtId="0" fontId="20" fillId="36" borderId="28" xfId="0" applyFont="1" applyFill="1" applyBorder="1" applyAlignment="1">
      <alignment horizontal="center"/>
    </xf>
    <xf numFmtId="0" fontId="20" fillId="45" borderId="19" xfId="0" applyFont="1" applyFill="1" applyBorder="1" applyAlignment="1">
      <alignment horizontal="center"/>
    </xf>
    <xf numFmtId="0" fontId="20" fillId="45" borderId="16" xfId="0" applyFont="1" applyFill="1" applyBorder="1" applyAlignment="1">
      <alignment horizontal="center"/>
    </xf>
    <xf numFmtId="0" fontId="20" fillId="33" borderId="28" xfId="0" applyFont="1" applyFill="1" applyBorder="1" applyAlignment="1">
      <alignment horizontal="center"/>
    </xf>
    <xf numFmtId="0" fontId="20" fillId="34" borderId="19" xfId="0" applyFont="1" applyFill="1" applyBorder="1" applyAlignment="1">
      <alignment horizontal="center"/>
    </xf>
    <xf numFmtId="0" fontId="23" fillId="37" borderId="23" xfId="0" applyFont="1" applyFill="1" applyBorder="1" applyAlignment="1">
      <alignment horizontal="center"/>
    </xf>
    <xf numFmtId="0" fontId="0" fillId="35" borderId="22" xfId="0" applyFill="1" applyBorder="1" applyAlignment="1">
      <alignment horizontal="center"/>
    </xf>
    <xf numFmtId="0" fontId="0" fillId="35" borderId="23" xfId="0" applyFill="1" applyBorder="1" applyAlignment="1">
      <alignment horizontal="center"/>
    </xf>
    <xf numFmtId="0" fontId="0" fillId="34" borderId="22" xfId="0" applyFill="1" applyBorder="1" applyAlignment="1">
      <alignment horizontal="center"/>
    </xf>
    <xf numFmtId="0" fontId="0" fillId="34" borderId="16" xfId="0" applyFill="1" applyBorder="1" applyAlignment="1">
      <alignment horizontal="center"/>
    </xf>
    <xf numFmtId="0" fontId="20" fillId="38" borderId="22" xfId="0" applyFont="1" applyFill="1" applyBorder="1" applyAlignment="1">
      <alignment horizontal="center"/>
    </xf>
    <xf numFmtId="0" fontId="20" fillId="41" borderId="22" xfId="0" applyFont="1" applyFill="1" applyBorder="1" applyAlignment="1">
      <alignment horizontal="center"/>
    </xf>
    <xf numFmtId="0" fontId="20" fillId="41" borderId="27" xfId="0" applyFont="1" applyFill="1" applyBorder="1" applyAlignment="1">
      <alignment horizontal="center"/>
    </xf>
    <xf numFmtId="0" fontId="20" fillId="36" borderId="16" xfId="0" applyFont="1" applyFill="1" applyBorder="1" applyAlignment="1">
      <alignment horizontal="center"/>
    </xf>
    <xf numFmtId="16" fontId="20" fillId="41" borderId="23" xfId="0" applyNumberFormat="1" applyFont="1" applyFill="1" applyBorder="1" applyAlignment="1">
      <alignment horizontal="center"/>
    </xf>
    <xf numFmtId="0" fontId="0" fillId="41" borderId="16" xfId="0" applyFill="1" applyBorder="1" applyAlignment="1">
      <alignment horizontal="center"/>
    </xf>
    <xf numFmtId="0" fontId="0" fillId="37" borderId="22" xfId="0" applyFill="1" applyBorder="1" applyAlignment="1">
      <alignment horizontal="center"/>
    </xf>
    <xf numFmtId="0" fontId="0" fillId="37" borderId="23" xfId="0" applyFill="1" applyBorder="1" applyAlignment="1">
      <alignment horizontal="center"/>
    </xf>
    <xf numFmtId="0" fontId="0" fillId="46" borderId="22" xfId="0" applyFill="1" applyBorder="1" applyAlignment="1">
      <alignment horizontal="center"/>
    </xf>
    <xf numFmtId="0" fontId="20" fillId="49" borderId="19" xfId="0" applyFont="1" applyFill="1" applyBorder="1" applyAlignment="1">
      <alignment horizontal="center"/>
    </xf>
    <xf numFmtId="0" fontId="20" fillId="49" borderId="22" xfId="0" applyFont="1" applyFill="1" applyBorder="1" applyAlignment="1">
      <alignment horizontal="center"/>
    </xf>
    <xf numFmtId="0" fontId="20" fillId="49" borderId="16" xfId="0" applyFont="1" applyFill="1" applyBorder="1" applyAlignment="1">
      <alignment horizontal="center"/>
    </xf>
    <xf numFmtId="0" fontId="23" fillId="36" borderId="22" xfId="0" applyFont="1" applyFill="1" applyBorder="1"/>
    <xf numFmtId="0" fontId="20" fillId="46" borderId="22" xfId="0" applyFont="1" applyFill="1" applyBorder="1" applyAlignment="1">
      <alignment horizontal="center"/>
    </xf>
    <xf numFmtId="0" fontId="20" fillId="46" borderId="19" xfId="0" applyFont="1" applyFill="1" applyBorder="1" applyAlignment="1">
      <alignment horizontal="center"/>
    </xf>
    <xf numFmtId="0" fontId="20" fillId="46" borderId="19" xfId="0" applyFont="1" applyFill="1" applyBorder="1" applyAlignment="1">
      <alignment horizontal="center" vertical="center"/>
    </xf>
    <xf numFmtId="0" fontId="20" fillId="46" borderId="16" xfId="0" applyFont="1" applyFill="1" applyBorder="1" applyAlignment="1">
      <alignment horizontal="center"/>
    </xf>
    <xf numFmtId="0" fontId="20" fillId="46" borderId="23" xfId="0" applyFont="1" applyFill="1" applyBorder="1" applyAlignment="1">
      <alignment horizontal="center"/>
    </xf>
    <xf numFmtId="0" fontId="23" fillId="37" borderId="22" xfId="0" applyFont="1" applyFill="1" applyBorder="1"/>
    <xf numFmtId="0" fontId="23" fillId="37" borderId="23" xfId="0" applyFont="1" applyFill="1" applyBorder="1"/>
    <xf numFmtId="0" fontId="0" fillId="46" borderId="23" xfId="0" applyFill="1" applyBorder="1" applyAlignment="1">
      <alignment horizontal="center"/>
    </xf>
    <xf numFmtId="0" fontId="0" fillId="46" borderId="16" xfId="0" applyFill="1" applyBorder="1" applyAlignment="1">
      <alignment horizontal="center"/>
    </xf>
    <xf numFmtId="0" fontId="20" fillId="46" borderId="27" xfId="0" applyFont="1" applyFill="1" applyBorder="1" applyAlignment="1">
      <alignment horizontal="center"/>
    </xf>
    <xf numFmtId="0" fontId="0" fillId="46" borderId="22" xfId="0" applyFill="1" applyBorder="1"/>
    <xf numFmtId="0" fontId="23" fillId="34" borderId="17" xfId="0" applyFont="1" applyFill="1" applyBorder="1"/>
    <xf numFmtId="0" fontId="23" fillId="34" borderId="16" xfId="0" applyFont="1" applyFill="1" applyBorder="1" applyAlignment="1">
      <alignment horizontal="center"/>
    </xf>
    <xf numFmtId="0" fontId="23" fillId="34" borderId="17" xfId="0" applyFont="1" applyFill="1" applyBorder="1" applyAlignment="1">
      <alignment horizontal="center"/>
    </xf>
    <xf numFmtId="0" fontId="23" fillId="34" borderId="16" xfId="0" applyFont="1" applyFill="1" applyBorder="1"/>
    <xf numFmtId="0" fontId="23" fillId="34" borderId="12" xfId="0" applyFont="1" applyFill="1" applyBorder="1" applyAlignment="1">
      <alignment wrapText="1"/>
    </xf>
    <xf numFmtId="0" fontId="18" fillId="34" borderId="17" xfId="42" applyFill="1" applyBorder="1"/>
    <xf numFmtId="0" fontId="23" fillId="34" borderId="12" xfId="0" applyFont="1" applyFill="1" applyBorder="1"/>
    <xf numFmtId="0" fontId="24" fillId="34" borderId="12" xfId="0" applyFont="1" applyFill="1" applyBorder="1"/>
    <xf numFmtId="0" fontId="23" fillId="34" borderId="23" xfId="0" applyFont="1" applyFill="1" applyBorder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23" fillId="34" borderId="23" xfId="0" applyFont="1" applyFill="1" applyBorder="1"/>
    <xf numFmtId="0" fontId="23" fillId="34" borderId="0" xfId="0" applyFont="1" applyFill="1"/>
    <xf numFmtId="0" fontId="23" fillId="34" borderId="22" xfId="0" applyFont="1" applyFill="1" applyBorder="1" applyAlignment="1">
      <alignment horizontal="center"/>
    </xf>
    <xf numFmtId="0" fontId="23" fillId="34" borderId="0" xfId="0" applyFont="1" applyFill="1" applyAlignment="1">
      <alignment horizontal="center"/>
    </xf>
    <xf numFmtId="0" fontId="23" fillId="34" borderId="22" xfId="0" applyFont="1" applyFill="1" applyBorder="1"/>
    <xf numFmtId="0" fontId="23" fillId="41" borderId="20" xfId="0" applyFont="1" applyFill="1" applyBorder="1"/>
    <xf numFmtId="0" fontId="23" fillId="41" borderId="19" xfId="0" applyFont="1" applyFill="1" applyBorder="1" applyAlignment="1">
      <alignment horizontal="center"/>
    </xf>
    <xf numFmtId="0" fontId="23" fillId="41" borderId="20" xfId="0" applyFont="1" applyFill="1" applyBorder="1" applyAlignment="1">
      <alignment horizontal="center"/>
    </xf>
    <xf numFmtId="0" fontId="23" fillId="41" borderId="19" xfId="0" applyFont="1" applyFill="1" applyBorder="1"/>
    <xf numFmtId="0" fontId="18" fillId="41" borderId="20" xfId="42" applyFill="1" applyBorder="1"/>
    <xf numFmtId="0" fontId="23" fillId="41" borderId="0" xfId="0" applyFont="1" applyFill="1"/>
    <xf numFmtId="0" fontId="23" fillId="41" borderId="22" xfId="0" applyFont="1" applyFill="1" applyBorder="1" applyAlignment="1">
      <alignment horizontal="center"/>
    </xf>
    <xf numFmtId="0" fontId="23" fillId="41" borderId="0" xfId="0" applyFont="1" applyFill="1" applyAlignment="1">
      <alignment horizontal="center"/>
    </xf>
    <xf numFmtId="0" fontId="23" fillId="41" borderId="22" xfId="0" applyFont="1" applyFill="1" applyBorder="1"/>
    <xf numFmtId="0" fontId="23" fillId="41" borderId="0" xfId="0" applyFont="1" applyFill="1" applyAlignment="1">
      <alignment wrapText="1"/>
    </xf>
    <xf numFmtId="0" fontId="23" fillId="41" borderId="12" xfId="0" applyFont="1" applyFill="1" applyBorder="1"/>
    <xf numFmtId="0" fontId="23" fillId="41" borderId="23" xfId="0" applyFont="1" applyFill="1" applyBorder="1" applyAlignment="1">
      <alignment horizontal="center"/>
    </xf>
    <xf numFmtId="0" fontId="23" fillId="41" borderId="12" xfId="0" applyFont="1" applyFill="1" applyBorder="1" applyAlignment="1">
      <alignment horizontal="center"/>
    </xf>
    <xf numFmtId="0" fontId="23" fillId="41" borderId="23" xfId="0" applyFont="1" applyFill="1" applyBorder="1"/>
    <xf numFmtId="0" fontId="23" fillId="38" borderId="12" xfId="0" applyFont="1" applyFill="1" applyBorder="1"/>
    <xf numFmtId="0" fontId="0" fillId="38" borderId="12" xfId="0" applyFill="1" applyBorder="1"/>
    <xf numFmtId="0" fontId="0" fillId="38" borderId="13" xfId="0" applyFill="1" applyBorder="1"/>
    <xf numFmtId="0" fontId="23" fillId="38" borderId="23" xfId="0" applyFont="1" applyFill="1" applyBorder="1" applyAlignment="1">
      <alignment horizontal="center"/>
    </xf>
    <xf numFmtId="0" fontId="23" fillId="38" borderId="12" xfId="0" applyFont="1" applyFill="1" applyBorder="1" applyAlignment="1">
      <alignment horizontal="center"/>
    </xf>
    <xf numFmtId="0" fontId="23" fillId="38" borderId="23" xfId="0" applyFont="1" applyFill="1" applyBorder="1"/>
    <xf numFmtId="0" fontId="18" fillId="38" borderId="12" xfId="42" applyFill="1" applyBorder="1"/>
    <xf numFmtId="0" fontId="0" fillId="42" borderId="16" xfId="0" applyFill="1" applyBorder="1"/>
    <xf numFmtId="164" fontId="0" fillId="42" borderId="17" xfId="0" applyNumberFormat="1" applyFill="1" applyBorder="1"/>
    <xf numFmtId="0" fontId="0" fillId="42" borderId="17" xfId="0" applyFill="1" applyBorder="1"/>
    <xf numFmtId="2" fontId="0" fillId="42" borderId="17" xfId="0" applyNumberFormat="1" applyFill="1" applyBorder="1"/>
    <xf numFmtId="0" fontId="0" fillId="42" borderId="18" xfId="0" applyFill="1" applyBorder="1"/>
    <xf numFmtId="0" fontId="20" fillId="42" borderId="17" xfId="0" applyFont="1" applyFill="1" applyBorder="1" applyAlignment="1">
      <alignment horizontal="center"/>
    </xf>
    <xf numFmtId="0" fontId="20" fillId="42" borderId="16" xfId="0" applyFont="1" applyFill="1" applyBorder="1" applyAlignment="1">
      <alignment horizontal="center" vertical="center"/>
    </xf>
    <xf numFmtId="1" fontId="20" fillId="42" borderId="17" xfId="0" applyNumberFormat="1" applyFont="1" applyFill="1" applyBorder="1" applyAlignment="1">
      <alignment horizontal="center"/>
    </xf>
    <xf numFmtId="0" fontId="20" fillId="42" borderId="16" xfId="0" applyFont="1" applyFill="1" applyBorder="1" applyAlignment="1">
      <alignment horizontal="center"/>
    </xf>
    <xf numFmtId="0" fontId="23" fillId="42" borderId="0" xfId="0" applyFont="1" applyFill="1"/>
    <xf numFmtId="0" fontId="18" fillId="42" borderId="17" xfId="42" applyFill="1" applyBorder="1"/>
    <xf numFmtId="0" fontId="23" fillId="36" borderId="12" xfId="0" applyFont="1" applyFill="1" applyBorder="1"/>
    <xf numFmtId="0" fontId="23" fillId="36" borderId="23" xfId="0" applyFont="1" applyFill="1" applyBorder="1" applyAlignment="1">
      <alignment horizontal="center"/>
    </xf>
    <xf numFmtId="0" fontId="23" fillId="36" borderId="12" xfId="0" applyFont="1" applyFill="1" applyBorder="1" applyAlignment="1">
      <alignment horizontal="center"/>
    </xf>
    <xf numFmtId="0" fontId="23" fillId="36" borderId="23" xfId="0" applyFont="1" applyFill="1" applyBorder="1"/>
    <xf numFmtId="0" fontId="0" fillId="42" borderId="20" xfId="0" applyFill="1" applyBorder="1"/>
    <xf numFmtId="0" fontId="0" fillId="42" borderId="21" xfId="0" applyFill="1" applyBorder="1"/>
    <xf numFmtId="0" fontId="20" fillId="42" borderId="20" xfId="0" applyFont="1" applyFill="1" applyBorder="1" applyAlignment="1">
      <alignment horizontal="center"/>
    </xf>
    <xf numFmtId="0" fontId="20" fillId="42" borderId="19" xfId="0" applyFont="1" applyFill="1" applyBorder="1" applyAlignment="1">
      <alignment horizontal="center" vertical="center"/>
    </xf>
    <xf numFmtId="1" fontId="20" fillId="42" borderId="20" xfId="0" applyNumberFormat="1" applyFont="1" applyFill="1" applyBorder="1" applyAlignment="1">
      <alignment horizontal="center"/>
    </xf>
    <xf numFmtId="0" fontId="20" fillId="42" borderId="19" xfId="0" applyFont="1" applyFill="1" applyBorder="1" applyAlignment="1">
      <alignment horizontal="center"/>
    </xf>
    <xf numFmtId="0" fontId="18" fillId="42" borderId="20" xfId="42" applyFill="1" applyBorder="1"/>
    <xf numFmtId="0" fontId="22" fillId="36" borderId="28" xfId="0" applyFont="1" applyFill="1" applyBorder="1" applyAlignment="1">
      <alignment wrapText="1"/>
    </xf>
    <xf numFmtId="0" fontId="0" fillId="45" borderId="16" xfId="0" applyFill="1" applyBorder="1"/>
    <xf numFmtId="0" fontId="0" fillId="33" borderId="28" xfId="0" applyFill="1" applyBorder="1"/>
    <xf numFmtId="0" fontId="23" fillId="37" borderId="22" xfId="0" applyFont="1" applyFill="1" applyBorder="1" applyAlignment="1">
      <alignment wrapText="1"/>
    </xf>
    <xf numFmtId="0" fontId="23" fillId="37" borderId="23" xfId="0" applyFont="1" applyFill="1" applyBorder="1" applyAlignment="1">
      <alignment wrapText="1"/>
    </xf>
    <xf numFmtId="0" fontId="0" fillId="36" borderId="23" xfId="0" applyFill="1" applyBorder="1"/>
    <xf numFmtId="0" fontId="23" fillId="34" borderId="23" xfId="0" applyFont="1" applyFill="1" applyBorder="1" applyAlignment="1">
      <alignment wrapText="1"/>
    </xf>
    <xf numFmtId="0" fontId="23" fillId="34" borderId="22" xfId="0" applyFont="1" applyFill="1" applyBorder="1" applyAlignment="1">
      <alignment wrapText="1"/>
    </xf>
    <xf numFmtId="0" fontId="0" fillId="42" borderId="19" xfId="0" applyFill="1" applyBorder="1"/>
    <xf numFmtId="0" fontId="23" fillId="41" borderId="19" xfId="0" applyFont="1" applyFill="1" applyBorder="1" applyAlignment="1">
      <alignment wrapText="1"/>
    </xf>
    <xf numFmtId="0" fontId="23" fillId="41" borderId="22" xfId="0" applyFont="1" applyFill="1" applyBorder="1" applyAlignment="1">
      <alignment wrapText="1"/>
    </xf>
    <xf numFmtId="0" fontId="23" fillId="41" borderId="23" xfId="0" applyFont="1" applyFill="1" applyBorder="1" applyAlignment="1">
      <alignment wrapText="1"/>
    </xf>
    <xf numFmtId="0" fontId="23" fillId="38" borderId="23" xfId="0" applyFont="1" applyFill="1" applyBorder="1" applyAlignment="1">
      <alignment wrapText="1"/>
    </xf>
    <xf numFmtId="0" fontId="23" fillId="36" borderId="23" xfId="0" applyFont="1" applyFill="1" applyBorder="1" applyAlignment="1">
      <alignment wrapText="1"/>
    </xf>
    <xf numFmtId="0" fontId="23" fillId="45" borderId="23" xfId="0" applyFont="1" applyFill="1" applyBorder="1" applyAlignment="1">
      <alignment wrapText="1"/>
    </xf>
    <xf numFmtId="0" fontId="23" fillId="37" borderId="23" xfId="0" applyFont="1" applyFill="1" applyBorder="1" applyAlignment="1">
      <alignment horizontal="center" vertical="center"/>
    </xf>
    <xf numFmtId="0" fontId="23" fillId="37" borderId="12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23" xfId="0" applyFont="1" applyBorder="1" applyAlignment="1">
      <alignment horizontal="center" wrapText="1"/>
    </xf>
    <xf numFmtId="0" fontId="23" fillId="0" borderId="22" xfId="0" applyFont="1" applyBorder="1"/>
    <xf numFmtId="0" fontId="14" fillId="0" borderId="28" xfId="0" applyFont="1" applyBorder="1" applyAlignment="1">
      <alignment horizontal="center" wrapText="1"/>
    </xf>
    <xf numFmtId="0" fontId="14" fillId="0" borderId="19" xfId="0" applyFont="1" applyBorder="1" applyAlignment="1">
      <alignment horizontal="center" vertical="top" wrapText="1"/>
    </xf>
    <xf numFmtId="0" fontId="23" fillId="0" borderId="23" xfId="0" applyFont="1" applyBorder="1"/>
    <xf numFmtId="0" fontId="14" fillId="0" borderId="22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27" xfId="0" applyFont="1" applyBorder="1" applyAlignment="1">
      <alignment horizontal="center" wrapText="1"/>
    </xf>
    <xf numFmtId="0" fontId="23" fillId="0" borderId="16" xfId="0" applyFont="1" applyBorder="1"/>
    <xf numFmtId="0" fontId="23" fillId="0" borderId="19" xfId="0" applyFont="1" applyBorder="1"/>
    <xf numFmtId="0" fontId="25" fillId="0" borderId="22" xfId="0" applyFont="1" applyBorder="1" applyAlignment="1">
      <alignment horizontal="center"/>
    </xf>
    <xf numFmtId="0" fontId="0" fillId="0" borderId="23" xfId="0" applyBorder="1"/>
    <xf numFmtId="0" fontId="14" fillId="0" borderId="22" xfId="0" applyFont="1" applyBorder="1" applyAlignment="1">
      <alignment wrapText="1"/>
    </xf>
    <xf numFmtId="0" fontId="14" fillId="0" borderId="22" xfId="0" applyFont="1" applyBorder="1"/>
    <xf numFmtId="0" fontId="23" fillId="43" borderId="12" xfId="0" applyFont="1" applyFill="1" applyBorder="1"/>
    <xf numFmtId="164" fontId="0" fillId="43" borderId="20" xfId="0" applyNumberFormat="1" applyFill="1" applyBorder="1"/>
    <xf numFmtId="2" fontId="0" fillId="43" borderId="20" xfId="0" applyNumberFormat="1" applyFill="1" applyBorder="1"/>
    <xf numFmtId="0" fontId="23" fillId="45" borderId="17" xfId="0" applyFont="1" applyFill="1" applyBorder="1"/>
    <xf numFmtId="0" fontId="23" fillId="43" borderId="17" xfId="0" applyFont="1" applyFill="1" applyBorder="1"/>
    <xf numFmtId="0" fontId="23" fillId="45" borderId="17" xfId="0" applyFont="1" applyFill="1" applyBorder="1" applyAlignment="1">
      <alignment horizontal="center"/>
    </xf>
    <xf numFmtId="0" fontId="25" fillId="0" borderId="17" xfId="0" applyFont="1" applyBorder="1"/>
    <xf numFmtId="0" fontId="23" fillId="45" borderId="17" xfId="0" applyFont="1" applyFill="1" applyBorder="1" applyAlignment="1">
      <alignment wrapText="1"/>
    </xf>
    <xf numFmtId="0" fontId="0" fillId="42" borderId="14" xfId="0" applyFill="1" applyBorder="1"/>
    <xf numFmtId="0" fontId="20" fillId="42" borderId="0" xfId="0" applyFont="1" applyFill="1" applyAlignment="1">
      <alignment horizontal="center"/>
    </xf>
    <xf numFmtId="0" fontId="20" fillId="42" borderId="22" xfId="0" applyFont="1" applyFill="1" applyBorder="1" applyAlignment="1">
      <alignment horizontal="center" vertical="center"/>
    </xf>
    <xf numFmtId="1" fontId="20" fillId="42" borderId="0" xfId="0" applyNumberFormat="1" applyFont="1" applyFill="1" applyAlignment="1">
      <alignment horizontal="center"/>
    </xf>
    <xf numFmtId="0" fontId="20" fillId="42" borderId="22" xfId="0" applyFont="1" applyFill="1" applyBorder="1" applyAlignment="1">
      <alignment horizontal="center"/>
    </xf>
    <xf numFmtId="0" fontId="0" fillId="42" borderId="22" xfId="0" applyFill="1" applyBorder="1"/>
    <xf numFmtId="164" fontId="0" fillId="36" borderId="24" xfId="0" applyNumberFormat="1" applyFill="1" applyBorder="1"/>
    <xf numFmtId="2" fontId="0" fillId="36" borderId="24" xfId="0" applyNumberFormat="1" applyFill="1" applyBorder="1"/>
    <xf numFmtId="0" fontId="0" fillId="36" borderId="28" xfId="0" applyFill="1" applyBorder="1"/>
    <xf numFmtId="164" fontId="0" fillId="38" borderId="12" xfId="0" applyNumberFormat="1" applyFill="1" applyBorder="1"/>
    <xf numFmtId="2" fontId="0" fillId="38" borderId="12" xfId="0" applyNumberFormat="1" applyFill="1" applyBorder="1"/>
    <xf numFmtId="0" fontId="0" fillId="38" borderId="12" xfId="0" applyFill="1" applyBorder="1" applyAlignment="1">
      <alignment horizontal="center"/>
    </xf>
    <xf numFmtId="0" fontId="0" fillId="38" borderId="23" xfId="0" applyFill="1" applyBorder="1" applyAlignment="1">
      <alignment horizontal="center" vertical="center"/>
    </xf>
    <xf numFmtId="1" fontId="0" fillId="38" borderId="12" xfId="0" applyNumberFormat="1" applyFill="1" applyBorder="1" applyAlignment="1">
      <alignment horizontal="center"/>
    </xf>
    <xf numFmtId="0" fontId="0" fillId="38" borderId="23" xfId="0" applyFill="1" applyBorder="1" applyAlignment="1">
      <alignment horizontal="center"/>
    </xf>
    <xf numFmtId="0" fontId="0" fillId="38" borderId="23" xfId="0" applyFill="1" applyBorder="1"/>
    <xf numFmtId="0" fontId="19" fillId="43" borderId="12" xfId="0" applyFont="1" applyFill="1" applyBorder="1"/>
    <xf numFmtId="16" fontId="0" fillId="33" borderId="12" xfId="0" applyNumberFormat="1" applyFill="1" applyBorder="1"/>
    <xf numFmtId="0" fontId="20" fillId="33" borderId="17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/>
    </xf>
    <xf numFmtId="0" fontId="20" fillId="34" borderId="16" xfId="0" applyFont="1" applyFill="1" applyBorder="1" applyAlignment="1">
      <alignment horizontal="center" vertical="center"/>
    </xf>
    <xf numFmtId="1" fontId="20" fillId="34" borderId="17" xfId="0" applyNumberFormat="1" applyFont="1" applyFill="1" applyBorder="1" applyAlignment="1">
      <alignment horizontal="center"/>
    </xf>
    <xf numFmtId="0" fontId="20" fillId="34" borderId="16" xfId="0" applyFont="1" applyFill="1" applyBorder="1" applyAlignment="1">
      <alignment horizontal="center"/>
    </xf>
    <xf numFmtId="0" fontId="14" fillId="34" borderId="16" xfId="0" applyFont="1" applyFill="1" applyBorder="1" applyAlignment="1">
      <alignment horizontal="center" wrapText="1"/>
    </xf>
    <xf numFmtId="0" fontId="14" fillId="36" borderId="23" xfId="0" applyFont="1" applyFill="1" applyBorder="1" applyAlignment="1">
      <alignment horizontal="center" wrapText="1"/>
    </xf>
    <xf numFmtId="2" fontId="0" fillId="0" borderId="0" xfId="0" applyNumberFormat="1" applyAlignment="1">
      <alignment horizontal="right"/>
    </xf>
    <xf numFmtId="2" fontId="0" fillId="0" borderId="12" xfId="0" applyNumberFormat="1" applyBorder="1" applyAlignment="1">
      <alignment horizontal="right"/>
    </xf>
    <xf numFmtId="2" fontId="14" fillId="0" borderId="0" xfId="0" applyNumberFormat="1" applyFont="1"/>
    <xf numFmtId="2" fontId="26" fillId="0" borderId="0" xfId="0" quotePrefix="1" applyNumberFormat="1" applyFont="1"/>
    <xf numFmtId="2" fontId="14" fillId="0" borderId="12" xfId="0" applyNumberFormat="1" applyFont="1" applyBorder="1"/>
    <xf numFmtId="0" fontId="0" fillId="0" borderId="12" xfId="0" applyBorder="1" applyAlignment="1">
      <alignment horizontal="left"/>
    </xf>
    <xf numFmtId="0" fontId="0" fillId="0" borderId="17" xfId="0" applyBorder="1" applyAlignment="1">
      <alignment horizontal="center"/>
    </xf>
    <xf numFmtId="0" fontId="20" fillId="0" borderId="17" xfId="0" applyFon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14" fillId="0" borderId="12" xfId="0" applyNumberFormat="1" applyFont="1" applyBorder="1" applyAlignment="1">
      <alignment horizontal="left"/>
    </xf>
    <xf numFmtId="2" fontId="14" fillId="0" borderId="0" xfId="0" applyNumberFormat="1" applyFont="1" applyAlignment="1">
      <alignment horizontal="left"/>
    </xf>
    <xf numFmtId="2" fontId="19" fillId="0" borderId="0" xfId="0" applyNumberFormat="1" applyFont="1"/>
    <xf numFmtId="0" fontId="14" fillId="0" borderId="0" xfId="0" applyFont="1" applyAlignment="1">
      <alignment horizontal="center" wrapText="1"/>
    </xf>
    <xf numFmtId="0" fontId="0" fillId="0" borderId="12" xfId="0" applyBorder="1" applyAlignment="1">
      <alignment horizontal="right"/>
    </xf>
    <xf numFmtId="0" fontId="27" fillId="0" borderId="12" xfId="0" applyFont="1" applyBorder="1"/>
    <xf numFmtId="2" fontId="14" fillId="34" borderId="0" xfId="0" applyNumberFormat="1" applyFont="1" applyFill="1"/>
    <xf numFmtId="4" fontId="0" fillId="0" borderId="0" xfId="0" applyNumberFormat="1"/>
    <xf numFmtId="4" fontId="0" fillId="0" borderId="12" xfId="0" applyNumberFormat="1" applyBorder="1"/>
    <xf numFmtId="0" fontId="14" fillId="0" borderId="0" xfId="0" applyFont="1" applyAlignment="1">
      <alignment horizontal="left"/>
    </xf>
    <xf numFmtId="0" fontId="23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23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22" fillId="46" borderId="0" xfId="0" applyFont="1" applyFill="1"/>
    <xf numFmtId="0" fontId="20" fillId="41" borderId="0" xfId="0" applyFont="1" applyFill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9" fillId="0" borderId="0" xfId="0" applyFont="1" applyAlignment="1"/>
    <xf numFmtId="14" fontId="19" fillId="0" borderId="0" xfId="0" applyNumberFormat="1" applyFon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7030A0"/>
        </patternFill>
      </fill>
    </dxf>
    <dxf>
      <font>
        <color theme="1"/>
      </font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E0BEFA"/>
      <color rgb="FFFAD2E9"/>
      <color rgb="FFD27AFA"/>
      <color rgb="FFB37AF0"/>
      <color rgb="FFDAE1F2"/>
      <color rgb="FFF2C2C2"/>
      <color rgb="FF1547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DBH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645100612423447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'Refined Data'!$B$2:$B$99</c:f>
              <c:numCache>
                <c:formatCode>0.000</c:formatCode>
                <c:ptCount val="98"/>
                <c:pt idx="0">
                  <c:v>0.844798115804411</c:v>
                </c:pt>
                <c:pt idx="1">
                  <c:v>0.76811853887826298</c:v>
                </c:pt>
                <c:pt idx="2">
                  <c:v>0.291979996465345</c:v>
                </c:pt>
                <c:pt idx="3">
                  <c:v>0.40847131049311097</c:v>
                </c:pt>
                <c:pt idx="4">
                  <c:v>0.558436979105156</c:v>
                </c:pt>
                <c:pt idx="5">
                  <c:v>0.74107102039967798</c:v>
                </c:pt>
                <c:pt idx="6">
                  <c:v>0.25306192931507199</c:v>
                </c:pt>
                <c:pt idx="7">
                  <c:v>0.46266606339849597</c:v>
                </c:pt>
                <c:pt idx="9">
                  <c:v>0.51640786008651296</c:v>
                </c:pt>
                <c:pt idx="10">
                  <c:v>0.35709720155387398</c:v>
                </c:pt>
                <c:pt idx="11">
                  <c:v>0.35948565592226001</c:v>
                </c:pt>
                <c:pt idx="12">
                  <c:v>0.13822587807469999</c:v>
                </c:pt>
                <c:pt idx="13">
                  <c:v>0.41157524853162902</c:v>
                </c:pt>
                <c:pt idx="14">
                  <c:v>0.29416446915106098</c:v>
                </c:pt>
                <c:pt idx="15">
                  <c:v>0.448338520895189</c:v>
                </c:pt>
                <c:pt idx="16">
                  <c:v>0.50010013137087805</c:v>
                </c:pt>
                <c:pt idx="17">
                  <c:v>0.47424681541060998</c:v>
                </c:pt>
                <c:pt idx="18">
                  <c:v>0.21365570043468099</c:v>
                </c:pt>
                <c:pt idx="19">
                  <c:v>0.28408539676588401</c:v>
                </c:pt>
                <c:pt idx="20">
                  <c:v>0.11520452826520999</c:v>
                </c:pt>
                <c:pt idx="21">
                  <c:v>0.102283553626823</c:v>
                </c:pt>
                <c:pt idx="22">
                  <c:v>0.28040143397232797</c:v>
                </c:pt>
                <c:pt idx="23">
                  <c:v>0.18495096359921401</c:v>
                </c:pt>
                <c:pt idx="24">
                  <c:v>0.223855853763577</c:v>
                </c:pt>
                <c:pt idx="25">
                  <c:v>0.24117258157309199</c:v>
                </c:pt>
                <c:pt idx="26">
                  <c:v>0.16812205594777699</c:v>
                </c:pt>
                <c:pt idx="27">
                  <c:v>0.43914294885090399</c:v>
                </c:pt>
                <c:pt idx="28">
                  <c:v>0.210615677247107</c:v>
                </c:pt>
                <c:pt idx="29">
                  <c:v>0.18681470632601499</c:v>
                </c:pt>
                <c:pt idx="30">
                  <c:v>0.42154631342767901</c:v>
                </c:pt>
                <c:pt idx="31">
                  <c:v>0.26523684436853101</c:v>
                </c:pt>
                <c:pt idx="32">
                  <c:v>0.280983437166058</c:v>
                </c:pt>
                <c:pt idx="33">
                  <c:v>0.34173329062757601</c:v>
                </c:pt>
                <c:pt idx="34">
                  <c:v>0.21662830278481099</c:v>
                </c:pt>
                <c:pt idx="35">
                  <c:v>0.29312723074838498</c:v>
                </c:pt>
                <c:pt idx="36">
                  <c:v>0.37384262345453301</c:v>
                </c:pt>
                <c:pt idx="37">
                  <c:v>0.490995585115233</c:v>
                </c:pt>
                <c:pt idx="38">
                  <c:v>0.40315870807506998</c:v>
                </c:pt>
                <c:pt idx="39">
                  <c:v>0.31893615242182299</c:v>
                </c:pt>
                <c:pt idx="40">
                  <c:v>8.6483989022523702E-2</c:v>
                </c:pt>
                <c:pt idx="41">
                  <c:v>0.50968585278216905</c:v>
                </c:pt>
                <c:pt idx="42">
                  <c:v>0.52833857906884196</c:v>
                </c:pt>
                <c:pt idx="43">
                  <c:v>0.49730935309728003</c:v>
                </c:pt>
                <c:pt idx="44">
                  <c:v>0.124135018719643</c:v>
                </c:pt>
                <c:pt idx="45">
                  <c:v>0.119537722413443</c:v>
                </c:pt>
                <c:pt idx="46">
                  <c:v>0.110198944024981</c:v>
                </c:pt>
                <c:pt idx="47">
                  <c:v>0.112773935759414</c:v>
                </c:pt>
                <c:pt idx="48">
                  <c:v>7.8797186380536705E-2</c:v>
                </c:pt>
                <c:pt idx="49">
                  <c:v>0.12439705906618199</c:v>
                </c:pt>
                <c:pt idx="50">
                  <c:v>6.1054877924523902E-2</c:v>
                </c:pt>
                <c:pt idx="51">
                  <c:v>0.30838308026487399</c:v>
                </c:pt>
                <c:pt idx="52">
                  <c:v>0.221186151251417</c:v>
                </c:pt>
                <c:pt idx="53">
                  <c:v>0.13553993788621399</c:v>
                </c:pt>
                <c:pt idx="54">
                  <c:v>0.14918288691336501</c:v>
                </c:pt>
                <c:pt idx="55">
                  <c:v>0.13908360518961099</c:v>
                </c:pt>
                <c:pt idx="56">
                  <c:v>7.4121627462758494E-2</c:v>
                </c:pt>
                <c:pt idx="57">
                  <c:v>0.117513367990065</c:v>
                </c:pt>
                <c:pt idx="58">
                  <c:v>0.15659395255515901</c:v>
                </c:pt>
                <c:pt idx="59">
                  <c:v>0.109155022103293</c:v>
                </c:pt>
                <c:pt idx="60">
                  <c:v>0.32360393785874397</c:v>
                </c:pt>
                <c:pt idx="61">
                  <c:v>9.4102393941898094E-2</c:v>
                </c:pt>
                <c:pt idx="62">
                  <c:v>0.27565844900199299</c:v>
                </c:pt>
                <c:pt idx="63">
                  <c:v>0.115429212849173</c:v>
                </c:pt>
                <c:pt idx="64">
                  <c:v>0.27981795898218098</c:v>
                </c:pt>
                <c:pt idx="65">
                  <c:v>0.36687783854128497</c:v>
                </c:pt>
                <c:pt idx="66">
                  <c:v>0.16636138531247399</c:v>
                </c:pt>
                <c:pt idx="67">
                  <c:v>8.4537044486568999E-2</c:v>
                </c:pt>
                <c:pt idx="68">
                  <c:v>0.25343617034204402</c:v>
                </c:pt>
                <c:pt idx="69">
                  <c:v>0.13519412646124301</c:v>
                </c:pt>
                <c:pt idx="70">
                  <c:v>0.202293965085625</c:v>
                </c:pt>
                <c:pt idx="71">
                  <c:v>0.30445444834844698</c:v>
                </c:pt>
                <c:pt idx="72">
                  <c:v>0.23925096114201599</c:v>
                </c:pt>
                <c:pt idx="73">
                  <c:v>0.15463968368697201</c:v>
                </c:pt>
                <c:pt idx="74">
                  <c:v>0.18034055555130801</c:v>
                </c:pt>
                <c:pt idx="75">
                  <c:v>0.20937008815441699</c:v>
                </c:pt>
                <c:pt idx="76">
                  <c:v>0.208279034619864</c:v>
                </c:pt>
                <c:pt idx="77">
                  <c:v>0.17403961872036799</c:v>
                </c:pt>
                <c:pt idx="78">
                  <c:v>0.17567112907094201</c:v>
                </c:pt>
                <c:pt idx="79">
                  <c:v>8.9052836755893997E-2</c:v>
                </c:pt>
                <c:pt idx="80">
                  <c:v>9.5188062714119101E-2</c:v>
                </c:pt>
                <c:pt idx="81">
                  <c:v>0.35785694235348198</c:v>
                </c:pt>
                <c:pt idx="82">
                  <c:v>0.160301667269833</c:v>
                </c:pt>
                <c:pt idx="83">
                  <c:v>0.229278247209523</c:v>
                </c:pt>
                <c:pt idx="84">
                  <c:v>3.96455938959559E-2</c:v>
                </c:pt>
                <c:pt idx="85">
                  <c:v>2.89923818225854E-2</c:v>
                </c:pt>
                <c:pt idx="86">
                  <c:v>0.151257359578925</c:v>
                </c:pt>
                <c:pt idx="87">
                  <c:v>0.116022519480848</c:v>
                </c:pt>
                <c:pt idx="88">
                  <c:v>5.6039711103442899E-2</c:v>
                </c:pt>
                <c:pt idx="89">
                  <c:v>0.31166328681907601</c:v>
                </c:pt>
                <c:pt idx="90">
                  <c:v>9.5518751656461606E-2</c:v>
                </c:pt>
                <c:pt idx="91">
                  <c:v>0.20726275094472399</c:v>
                </c:pt>
                <c:pt idx="92">
                  <c:v>9.9652277618944102E-2</c:v>
                </c:pt>
                <c:pt idx="93">
                  <c:v>9.8544499776234695E-2</c:v>
                </c:pt>
                <c:pt idx="94">
                  <c:v>3.48902331872235E-2</c:v>
                </c:pt>
                <c:pt idx="95">
                  <c:v>4.6117154475760799E-2</c:v>
                </c:pt>
                <c:pt idx="96">
                  <c:v>6.0299719295750398E-2</c:v>
                </c:pt>
                <c:pt idx="97">
                  <c:v>8.1575479689261807E-2</c:v>
                </c:pt>
              </c:numCache>
            </c:numRef>
          </c:xVal>
          <c:yVal>
            <c:numRef>
              <c:f>'Refined Data'!$E$2:$E$99</c:f>
              <c:numCache>
                <c:formatCode>General</c:formatCode>
                <c:ptCount val="98"/>
                <c:pt idx="0">
                  <c:v>0.83099999999999996</c:v>
                </c:pt>
                <c:pt idx="1">
                  <c:v>0.85</c:v>
                </c:pt>
                <c:pt idx="2">
                  <c:v>0.312</c:v>
                </c:pt>
                <c:pt idx="3">
                  <c:v>0.40899999999999997</c:v>
                </c:pt>
                <c:pt idx="4">
                  <c:v>0.53900000000000003</c:v>
                </c:pt>
                <c:pt idx="5">
                  <c:v>0.78200000000000003</c:v>
                </c:pt>
                <c:pt idx="6">
                  <c:v>0.312</c:v>
                </c:pt>
                <c:pt idx="7">
                  <c:v>0.51900000000000002</c:v>
                </c:pt>
                <c:pt idx="9">
                  <c:v>0.56499999999999995</c:v>
                </c:pt>
                <c:pt idx="10">
                  <c:v>0.58099999999999996</c:v>
                </c:pt>
                <c:pt idx="11">
                  <c:v>0.38700000000000001</c:v>
                </c:pt>
                <c:pt idx="12">
                  <c:v>0.14399999999999999</c:v>
                </c:pt>
                <c:pt idx="13">
                  <c:v>0.45</c:v>
                </c:pt>
                <c:pt idx="14">
                  <c:v>0.30599999999999999</c:v>
                </c:pt>
                <c:pt idx="15">
                  <c:v>0.47199999999999998</c:v>
                </c:pt>
                <c:pt idx="16">
                  <c:v>0.47499999999999998</c:v>
                </c:pt>
                <c:pt idx="17">
                  <c:v>0.51400000000000001</c:v>
                </c:pt>
                <c:pt idx="18">
                  <c:v>0.23100000000000001</c:v>
                </c:pt>
                <c:pt idx="19">
                  <c:v>0.3</c:v>
                </c:pt>
                <c:pt idx="20">
                  <c:v>0.125</c:v>
                </c:pt>
                <c:pt idx="21">
                  <c:v>0.11</c:v>
                </c:pt>
                <c:pt idx="22">
                  <c:v>0.33800000000000002</c:v>
                </c:pt>
                <c:pt idx="23">
                  <c:v>0.21299999999999999</c:v>
                </c:pt>
                <c:pt idx="24">
                  <c:v>0.24</c:v>
                </c:pt>
                <c:pt idx="25">
                  <c:v>0.255</c:v>
                </c:pt>
                <c:pt idx="26">
                  <c:v>0.192</c:v>
                </c:pt>
                <c:pt idx="27">
                  <c:v>0.49099999999999999</c:v>
                </c:pt>
                <c:pt idx="28">
                  <c:v>0.23599999999999999</c:v>
                </c:pt>
                <c:pt idx="29">
                  <c:v>0.23699999999999999</c:v>
                </c:pt>
                <c:pt idx="30">
                  <c:v>0.46</c:v>
                </c:pt>
                <c:pt idx="31">
                  <c:v>0.25900000000000001</c:v>
                </c:pt>
                <c:pt idx="32">
                  <c:v>0.32700000000000001</c:v>
                </c:pt>
                <c:pt idx="33">
                  <c:v>0.34399999999999997</c:v>
                </c:pt>
                <c:pt idx="34">
                  <c:v>0.25800000000000001</c:v>
                </c:pt>
                <c:pt idx="35">
                  <c:v>0.34</c:v>
                </c:pt>
                <c:pt idx="36">
                  <c:v>0.432</c:v>
                </c:pt>
                <c:pt idx="37">
                  <c:v>0.53</c:v>
                </c:pt>
                <c:pt idx="38">
                  <c:v>0.39900000000000002</c:v>
                </c:pt>
                <c:pt idx="39">
                  <c:v>0.31</c:v>
                </c:pt>
                <c:pt idx="40">
                  <c:v>0.09</c:v>
                </c:pt>
                <c:pt idx="41">
                  <c:v>0.50600000000000001</c:v>
                </c:pt>
                <c:pt idx="42">
                  <c:v>0.56399999999999995</c:v>
                </c:pt>
                <c:pt idx="43">
                  <c:v>0.48199999999999998</c:v>
                </c:pt>
                <c:pt idx="44">
                  <c:v>0.13100000000000001</c:v>
                </c:pt>
                <c:pt idx="45">
                  <c:v>0.13500000000000001</c:v>
                </c:pt>
                <c:pt idx="46">
                  <c:v>0.11799999999999999</c:v>
                </c:pt>
                <c:pt idx="47">
                  <c:v>0.124</c:v>
                </c:pt>
                <c:pt idx="48">
                  <c:v>9.2999999999999999E-2</c:v>
                </c:pt>
                <c:pt idx="49">
                  <c:v>0.13500000000000001</c:v>
                </c:pt>
                <c:pt idx="50">
                  <c:v>6.3E-2</c:v>
                </c:pt>
                <c:pt idx="51">
                  <c:v>0.32800000000000001</c:v>
                </c:pt>
                <c:pt idx="52">
                  <c:v>0.252</c:v>
                </c:pt>
                <c:pt idx="53">
                  <c:v>0.14499999999999999</c:v>
                </c:pt>
                <c:pt idx="54">
                  <c:v>0.157</c:v>
                </c:pt>
                <c:pt idx="55">
                  <c:v>0.158</c:v>
                </c:pt>
                <c:pt idx="56">
                  <c:v>6.7000000000000004E-2</c:v>
                </c:pt>
                <c:pt idx="57">
                  <c:v>0.13100000000000001</c:v>
                </c:pt>
                <c:pt idx="58">
                  <c:v>0.17399999999999999</c:v>
                </c:pt>
                <c:pt idx="59">
                  <c:v>0.12</c:v>
                </c:pt>
                <c:pt idx="60">
                  <c:v>0.35199999999999998</c:v>
                </c:pt>
                <c:pt idx="61">
                  <c:v>0.14000000000000001</c:v>
                </c:pt>
                <c:pt idx="62">
                  <c:v>0.28000000000000003</c:v>
                </c:pt>
                <c:pt idx="63">
                  <c:v>0.11700000000000001</c:v>
                </c:pt>
                <c:pt idx="64">
                  <c:v>0.32</c:v>
                </c:pt>
                <c:pt idx="65">
                  <c:v>0.41799999999999998</c:v>
                </c:pt>
                <c:pt idx="66">
                  <c:v>0.21</c:v>
                </c:pt>
                <c:pt idx="67">
                  <c:v>0.09</c:v>
                </c:pt>
                <c:pt idx="68">
                  <c:v>0.28000000000000003</c:v>
                </c:pt>
                <c:pt idx="69">
                  <c:v>0.155</c:v>
                </c:pt>
                <c:pt idx="70">
                  <c:v>0.223</c:v>
                </c:pt>
                <c:pt idx="71">
                  <c:v>0.32600000000000001</c:v>
                </c:pt>
                <c:pt idx="72">
                  <c:v>0.245</c:v>
                </c:pt>
                <c:pt idx="73">
                  <c:v>0.16700000000000001</c:v>
                </c:pt>
                <c:pt idx="74">
                  <c:v>0.17699999999999999</c:v>
                </c:pt>
                <c:pt idx="75">
                  <c:v>0.222</c:v>
                </c:pt>
                <c:pt idx="76">
                  <c:v>0.219</c:v>
                </c:pt>
                <c:pt idx="77">
                  <c:v>0.19500000000000001</c:v>
                </c:pt>
                <c:pt idx="78">
                  <c:v>0.20300000000000001</c:v>
                </c:pt>
                <c:pt idx="79">
                  <c:v>0.11600000000000001</c:v>
                </c:pt>
                <c:pt idx="80">
                  <c:v>9.9000000000000005E-2</c:v>
                </c:pt>
                <c:pt idx="81">
                  <c:v>0.42499999999999999</c:v>
                </c:pt>
                <c:pt idx="82">
                  <c:v>0.17499999999999999</c:v>
                </c:pt>
                <c:pt idx="83">
                  <c:v>0.25</c:v>
                </c:pt>
                <c:pt idx="84">
                  <c:v>3.9E-2</c:v>
                </c:pt>
                <c:pt idx="85">
                  <c:v>4.8000000000000001E-2</c:v>
                </c:pt>
                <c:pt idx="86">
                  <c:v>0.16900000000000001</c:v>
                </c:pt>
                <c:pt idx="87">
                  <c:v>0.14099999999999999</c:v>
                </c:pt>
                <c:pt idx="88">
                  <c:v>5.0999999999999997E-2</c:v>
                </c:pt>
                <c:pt idx="89">
                  <c:v>0.34200000000000003</c:v>
                </c:pt>
                <c:pt idx="90">
                  <c:v>0.115</c:v>
                </c:pt>
                <c:pt idx="91">
                  <c:v>0.23499999999999999</c:v>
                </c:pt>
                <c:pt idx="92">
                  <c:v>0.22600000000000001</c:v>
                </c:pt>
                <c:pt idx="93">
                  <c:v>0.122</c:v>
                </c:pt>
                <c:pt idx="94">
                  <c:v>3.5000000000000003E-2</c:v>
                </c:pt>
                <c:pt idx="95">
                  <c:v>5.2999999999999999E-2</c:v>
                </c:pt>
                <c:pt idx="96">
                  <c:v>5.5E-2</c:v>
                </c:pt>
                <c:pt idx="97">
                  <c:v>9.7000000000000003E-2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F5-4453-9A40-B93BED1A8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506616"/>
        <c:axId val="657509568"/>
      </c:scatterChart>
      <c:valAx>
        <c:axId val="657506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09568"/>
        <c:crosses val="autoZero"/>
        <c:crossBetween val="midCat"/>
      </c:valAx>
      <c:valAx>
        <c:axId val="6575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506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'Refined Data'!$D$2:$D$99</c:f>
              <c:numCache>
                <c:formatCode>0.00</c:formatCode>
                <c:ptCount val="98"/>
                <c:pt idx="0">
                  <c:v>7.8200092315673801</c:v>
                </c:pt>
                <c:pt idx="1">
                  <c:v>18.111690521240199</c:v>
                </c:pt>
                <c:pt idx="2">
                  <c:v>10.8162269592285</c:v>
                </c:pt>
                <c:pt idx="3">
                  <c:v>15.771734237670801</c:v>
                </c:pt>
                <c:pt idx="4">
                  <c:v>17.0069980621337</c:v>
                </c:pt>
                <c:pt idx="5">
                  <c:v>12.301169395446699</c:v>
                </c:pt>
                <c:pt idx="6">
                  <c:v>22.7179565429687</c:v>
                </c:pt>
                <c:pt idx="7">
                  <c:v>10.7462711334228</c:v>
                </c:pt>
                <c:pt idx="8">
                  <c:v>6.6830124855041504</c:v>
                </c:pt>
                <c:pt idx="9">
                  <c:v>15.999005317687899</c:v>
                </c:pt>
                <c:pt idx="10">
                  <c:v>16.708858489990199</c:v>
                </c:pt>
                <c:pt idx="11">
                  <c:v>12.241008758544901</c:v>
                </c:pt>
                <c:pt idx="12">
                  <c:v>0.90940701961517301</c:v>
                </c:pt>
                <c:pt idx="13">
                  <c:v>13.9149875640869</c:v>
                </c:pt>
                <c:pt idx="14">
                  <c:v>13.286856651306101</c:v>
                </c:pt>
                <c:pt idx="15">
                  <c:v>15.918393135070801</c:v>
                </c:pt>
                <c:pt idx="16">
                  <c:v>14.137280464172299</c:v>
                </c:pt>
                <c:pt idx="17">
                  <c:v>12.3533535003662</c:v>
                </c:pt>
                <c:pt idx="18">
                  <c:v>12.555085182189901</c:v>
                </c:pt>
                <c:pt idx="19">
                  <c:v>11.706635475158601</c:v>
                </c:pt>
                <c:pt idx="20">
                  <c:v>1.21672916412353</c:v>
                </c:pt>
                <c:pt idx="21">
                  <c:v>1.18597447872161</c:v>
                </c:pt>
                <c:pt idx="22">
                  <c:v>10.2559041976928</c:v>
                </c:pt>
                <c:pt idx="23">
                  <c:v>1.2358043193817101</c:v>
                </c:pt>
                <c:pt idx="24">
                  <c:v>1.2975336313247601</c:v>
                </c:pt>
                <c:pt idx="25">
                  <c:v>1.2569109201431199</c:v>
                </c:pt>
                <c:pt idx="26">
                  <c:v>5.0817360877990696</c:v>
                </c:pt>
                <c:pt idx="27">
                  <c:v>12.9507656097412</c:v>
                </c:pt>
                <c:pt idx="28">
                  <c:v>1.3164044618606501</c:v>
                </c:pt>
                <c:pt idx="29">
                  <c:v>1.14282321929931</c:v>
                </c:pt>
                <c:pt idx="30">
                  <c:v>10.923260688781699</c:v>
                </c:pt>
                <c:pt idx="31">
                  <c:v>1.31225609779357</c:v>
                </c:pt>
                <c:pt idx="32">
                  <c:v>12.2546834945678</c:v>
                </c:pt>
                <c:pt idx="33">
                  <c:v>1.3008503913879299</c:v>
                </c:pt>
                <c:pt idx="34">
                  <c:v>1.3053650856018</c:v>
                </c:pt>
                <c:pt idx="35">
                  <c:v>1.3021757602691599</c:v>
                </c:pt>
                <c:pt idx="36">
                  <c:v>12.121313095092701</c:v>
                </c:pt>
                <c:pt idx="37">
                  <c:v>14.6351099014282</c:v>
                </c:pt>
                <c:pt idx="38">
                  <c:v>11.089599609375</c:v>
                </c:pt>
                <c:pt idx="39">
                  <c:v>8.3935136795043892</c:v>
                </c:pt>
                <c:pt idx="40">
                  <c:v>1.2969564199447601</c:v>
                </c:pt>
                <c:pt idx="41">
                  <c:v>1.12147009372711</c:v>
                </c:pt>
                <c:pt idx="42">
                  <c:v>1.0429857969284</c:v>
                </c:pt>
                <c:pt idx="43">
                  <c:v>1.08677053451538</c:v>
                </c:pt>
                <c:pt idx="44">
                  <c:v>1.3123517036437899</c:v>
                </c:pt>
                <c:pt idx="45">
                  <c:v>8.3523473739624006</c:v>
                </c:pt>
                <c:pt idx="46">
                  <c:v>7.1609406471252397</c:v>
                </c:pt>
                <c:pt idx="47">
                  <c:v>6.1825981140136701</c:v>
                </c:pt>
                <c:pt idx="48">
                  <c:v>0.99911803007125799</c:v>
                </c:pt>
                <c:pt idx="49">
                  <c:v>5.6236486434936497</c:v>
                </c:pt>
                <c:pt idx="50">
                  <c:v>3.0716283321380602</c:v>
                </c:pt>
                <c:pt idx="51">
                  <c:v>15.126721382141101</c:v>
                </c:pt>
                <c:pt idx="52">
                  <c:v>11.3740901947021</c:v>
                </c:pt>
                <c:pt idx="53">
                  <c:v>1.2165282964706401</c:v>
                </c:pt>
                <c:pt idx="54">
                  <c:v>1.1127357482910101</c:v>
                </c:pt>
                <c:pt idx="55">
                  <c:v>1.3024827241897501</c:v>
                </c:pt>
                <c:pt idx="56">
                  <c:v>13.93394947052</c:v>
                </c:pt>
                <c:pt idx="57">
                  <c:v>1.3172624111175499</c:v>
                </c:pt>
                <c:pt idx="58">
                  <c:v>1.3075646162032999</c:v>
                </c:pt>
                <c:pt idx="59">
                  <c:v>0.54644340276718095</c:v>
                </c:pt>
                <c:pt idx="60">
                  <c:v>13.874636650085399</c:v>
                </c:pt>
                <c:pt idx="61">
                  <c:v>30.706323623657202</c:v>
                </c:pt>
                <c:pt idx="62">
                  <c:v>13.894880294799799</c:v>
                </c:pt>
                <c:pt idx="63">
                  <c:v>1.7329024076461701</c:v>
                </c:pt>
                <c:pt idx="64">
                  <c:v>8.4807558059692294</c:v>
                </c:pt>
                <c:pt idx="65">
                  <c:v>12.613807678222599</c:v>
                </c:pt>
                <c:pt idx="66">
                  <c:v>1.1332967281341499</c:v>
                </c:pt>
                <c:pt idx="67">
                  <c:v>1.04779696464538</c:v>
                </c:pt>
                <c:pt idx="68">
                  <c:v>32.194686889648402</c:v>
                </c:pt>
                <c:pt idx="69">
                  <c:v>1.3176810741424501</c:v>
                </c:pt>
                <c:pt idx="70">
                  <c:v>9.9139509201049805</c:v>
                </c:pt>
                <c:pt idx="71">
                  <c:v>7.5148873329162598</c:v>
                </c:pt>
                <c:pt idx="72">
                  <c:v>1.23836398124694</c:v>
                </c:pt>
                <c:pt idx="73">
                  <c:v>1.5980798006057699</c:v>
                </c:pt>
                <c:pt idx="74">
                  <c:v>1.36676013469696</c:v>
                </c:pt>
                <c:pt idx="75">
                  <c:v>4.2309093475341797</c:v>
                </c:pt>
                <c:pt idx="76">
                  <c:v>7.8108844757079998</c:v>
                </c:pt>
                <c:pt idx="77">
                  <c:v>1.2966169118881199</c:v>
                </c:pt>
                <c:pt idx="78">
                  <c:v>1.2604660987853999</c:v>
                </c:pt>
                <c:pt idx="79">
                  <c:v>1.22318875789642</c:v>
                </c:pt>
                <c:pt idx="80">
                  <c:v>1.0175099372863701</c:v>
                </c:pt>
                <c:pt idx="81">
                  <c:v>12.3678483963012</c:v>
                </c:pt>
                <c:pt idx="82">
                  <c:v>1.18168628215789</c:v>
                </c:pt>
                <c:pt idx="83">
                  <c:v>1.1022537946701001</c:v>
                </c:pt>
                <c:pt idx="84">
                  <c:v>2.44780325889587</c:v>
                </c:pt>
                <c:pt idx="85">
                  <c:v>2.1457734107971098</c:v>
                </c:pt>
                <c:pt idx="86">
                  <c:v>10.6704111099243</c:v>
                </c:pt>
                <c:pt idx="87">
                  <c:v>1.3469532728195099</c:v>
                </c:pt>
                <c:pt idx="88">
                  <c:v>1.3014388084411599</c:v>
                </c:pt>
                <c:pt idx="89">
                  <c:v>16.965129852294901</c:v>
                </c:pt>
                <c:pt idx="90">
                  <c:v>1.1222072839736901</c:v>
                </c:pt>
                <c:pt idx="91">
                  <c:v>1.30847835540771</c:v>
                </c:pt>
                <c:pt idx="92">
                  <c:v>5.5528311729431099</c:v>
                </c:pt>
                <c:pt idx="93">
                  <c:v>6.8587746620178196</c:v>
                </c:pt>
                <c:pt idx="94">
                  <c:v>0.63281035423278797</c:v>
                </c:pt>
                <c:pt idx="95">
                  <c:v>1.56762719154357</c:v>
                </c:pt>
                <c:pt idx="96">
                  <c:v>1.6852881908416699</c:v>
                </c:pt>
                <c:pt idx="97">
                  <c:v>24.651197433471602</c:v>
                </c:pt>
              </c:numCache>
            </c:numRef>
          </c:xVal>
          <c:yVal>
            <c:numRef>
              <c:f>'Refined Data'!$F$2:$F$99</c:f>
              <c:numCache>
                <c:formatCode>General</c:formatCode>
                <c:ptCount val="98"/>
                <c:pt idx="0">
                  <c:v>22.8</c:v>
                </c:pt>
                <c:pt idx="1">
                  <c:v>22.7</c:v>
                </c:pt>
                <c:pt idx="2">
                  <c:v>12.8</c:v>
                </c:pt>
                <c:pt idx="3">
                  <c:v>13.4</c:v>
                </c:pt>
                <c:pt idx="4">
                  <c:v>15.7</c:v>
                </c:pt>
                <c:pt idx="5">
                  <c:v>22.8</c:v>
                </c:pt>
                <c:pt idx="6">
                  <c:v>19.2</c:v>
                </c:pt>
                <c:pt idx="7">
                  <c:v>19.2</c:v>
                </c:pt>
                <c:pt idx="8">
                  <c:v>6.2</c:v>
                </c:pt>
                <c:pt idx="9">
                  <c:v>16.2</c:v>
                </c:pt>
                <c:pt idx="10">
                  <c:v>17.2</c:v>
                </c:pt>
                <c:pt idx="11">
                  <c:v>13.2</c:v>
                </c:pt>
                <c:pt idx="12">
                  <c:v>0.95</c:v>
                </c:pt>
                <c:pt idx="13">
                  <c:v>14</c:v>
                </c:pt>
                <c:pt idx="14">
                  <c:v>12</c:v>
                </c:pt>
                <c:pt idx="15">
                  <c:v>14.7</c:v>
                </c:pt>
                <c:pt idx="16">
                  <c:v>14</c:v>
                </c:pt>
                <c:pt idx="17">
                  <c:v>11.8</c:v>
                </c:pt>
                <c:pt idx="18">
                  <c:v>10.9</c:v>
                </c:pt>
                <c:pt idx="19">
                  <c:v>11</c:v>
                </c:pt>
                <c:pt idx="20">
                  <c:v>1.3</c:v>
                </c:pt>
                <c:pt idx="21">
                  <c:v>1.3</c:v>
                </c:pt>
                <c:pt idx="22">
                  <c:v>10</c:v>
                </c:pt>
                <c:pt idx="23">
                  <c:v>1.3</c:v>
                </c:pt>
                <c:pt idx="24">
                  <c:v>1.3</c:v>
                </c:pt>
                <c:pt idx="25">
                  <c:v>1.3</c:v>
                </c:pt>
                <c:pt idx="26">
                  <c:v>4</c:v>
                </c:pt>
                <c:pt idx="27">
                  <c:v>12.6</c:v>
                </c:pt>
                <c:pt idx="28">
                  <c:v>1.3</c:v>
                </c:pt>
                <c:pt idx="29">
                  <c:v>1.3</c:v>
                </c:pt>
                <c:pt idx="30">
                  <c:v>10.5</c:v>
                </c:pt>
                <c:pt idx="31">
                  <c:v>1.3</c:v>
                </c:pt>
                <c:pt idx="32">
                  <c:v>12</c:v>
                </c:pt>
                <c:pt idx="33">
                  <c:v>1.3</c:v>
                </c:pt>
                <c:pt idx="34">
                  <c:v>1.3</c:v>
                </c:pt>
                <c:pt idx="35">
                  <c:v>1.3</c:v>
                </c:pt>
                <c:pt idx="36">
                  <c:v>11.6</c:v>
                </c:pt>
                <c:pt idx="37">
                  <c:v>13.6</c:v>
                </c:pt>
                <c:pt idx="38">
                  <c:v>11.6</c:v>
                </c:pt>
                <c:pt idx="39">
                  <c:v>0.79</c:v>
                </c:pt>
                <c:pt idx="40">
                  <c:v>1.3</c:v>
                </c:pt>
                <c:pt idx="41">
                  <c:v>13.5</c:v>
                </c:pt>
                <c:pt idx="42">
                  <c:v>1.3</c:v>
                </c:pt>
                <c:pt idx="43">
                  <c:v>14</c:v>
                </c:pt>
                <c:pt idx="44">
                  <c:v>1.3</c:v>
                </c:pt>
                <c:pt idx="45">
                  <c:v>7.9</c:v>
                </c:pt>
                <c:pt idx="46">
                  <c:v>5.7</c:v>
                </c:pt>
                <c:pt idx="47">
                  <c:v>5.4</c:v>
                </c:pt>
                <c:pt idx="48">
                  <c:v>1.3</c:v>
                </c:pt>
                <c:pt idx="49">
                  <c:v>4.2</c:v>
                </c:pt>
                <c:pt idx="50">
                  <c:v>2.7</c:v>
                </c:pt>
                <c:pt idx="51">
                  <c:v>15.3</c:v>
                </c:pt>
                <c:pt idx="52">
                  <c:v>10.7</c:v>
                </c:pt>
                <c:pt idx="53">
                  <c:v>1.3</c:v>
                </c:pt>
                <c:pt idx="54">
                  <c:v>1.3</c:v>
                </c:pt>
                <c:pt idx="55">
                  <c:v>1.3</c:v>
                </c:pt>
                <c:pt idx="56">
                  <c:v>1.3</c:v>
                </c:pt>
                <c:pt idx="57">
                  <c:v>1.3</c:v>
                </c:pt>
                <c:pt idx="58">
                  <c:v>1.3</c:v>
                </c:pt>
                <c:pt idx="59">
                  <c:v>1.3</c:v>
                </c:pt>
                <c:pt idx="60">
                  <c:v>13.2</c:v>
                </c:pt>
                <c:pt idx="61">
                  <c:v>1.3</c:v>
                </c:pt>
                <c:pt idx="62">
                  <c:v>13</c:v>
                </c:pt>
                <c:pt idx="63">
                  <c:v>1.3</c:v>
                </c:pt>
                <c:pt idx="64">
                  <c:v>8.3000000000000007</c:v>
                </c:pt>
                <c:pt idx="65">
                  <c:v>11.8</c:v>
                </c:pt>
                <c:pt idx="66">
                  <c:v>1.3</c:v>
                </c:pt>
                <c:pt idx="67">
                  <c:v>1.3</c:v>
                </c:pt>
                <c:pt idx="68">
                  <c:v>1.3</c:v>
                </c:pt>
                <c:pt idx="69">
                  <c:v>1.3</c:v>
                </c:pt>
                <c:pt idx="70">
                  <c:v>9.9</c:v>
                </c:pt>
                <c:pt idx="71">
                  <c:v>6.6</c:v>
                </c:pt>
                <c:pt idx="72">
                  <c:v>1.3</c:v>
                </c:pt>
                <c:pt idx="73">
                  <c:v>1.3</c:v>
                </c:pt>
                <c:pt idx="74">
                  <c:v>1.3</c:v>
                </c:pt>
                <c:pt idx="75">
                  <c:v>4.3</c:v>
                </c:pt>
                <c:pt idx="76">
                  <c:v>7.8</c:v>
                </c:pt>
                <c:pt idx="77">
                  <c:v>1.3</c:v>
                </c:pt>
                <c:pt idx="78">
                  <c:v>1.3</c:v>
                </c:pt>
                <c:pt idx="79">
                  <c:v>1.3</c:v>
                </c:pt>
                <c:pt idx="80">
                  <c:v>1.3</c:v>
                </c:pt>
                <c:pt idx="81">
                  <c:v>12</c:v>
                </c:pt>
                <c:pt idx="82">
                  <c:v>1.3</c:v>
                </c:pt>
                <c:pt idx="83">
                  <c:v>1.3</c:v>
                </c:pt>
                <c:pt idx="84">
                  <c:v>2.2999999999999998</c:v>
                </c:pt>
                <c:pt idx="85">
                  <c:v>2.1</c:v>
                </c:pt>
                <c:pt idx="86">
                  <c:v>10</c:v>
                </c:pt>
                <c:pt idx="87">
                  <c:v>1.3</c:v>
                </c:pt>
                <c:pt idx="88">
                  <c:v>1.3</c:v>
                </c:pt>
                <c:pt idx="89">
                  <c:v>15.4</c:v>
                </c:pt>
                <c:pt idx="90">
                  <c:v>1.3</c:v>
                </c:pt>
                <c:pt idx="91">
                  <c:v>1.3</c:v>
                </c:pt>
                <c:pt idx="92">
                  <c:v>5.8</c:v>
                </c:pt>
                <c:pt idx="93">
                  <c:v>5.9</c:v>
                </c:pt>
                <c:pt idx="94">
                  <c:v>1.3</c:v>
                </c:pt>
                <c:pt idx="95">
                  <c:v>1.3</c:v>
                </c:pt>
                <c:pt idx="96">
                  <c:v>1.3</c:v>
                </c:pt>
                <c:pt idx="97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FE-4D3A-9ACF-145B9A9FD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981320"/>
        <c:axId val="1731983368"/>
      </c:scatterChart>
      <c:valAx>
        <c:axId val="1731981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83368"/>
        <c:crosses val="autoZero"/>
        <c:crossBetween val="midCat"/>
      </c:valAx>
      <c:valAx>
        <c:axId val="173198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81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DBH Measurements:</a:t>
            </a:r>
            <a:r>
              <a:rPr lang="en-US" baseline="0"/>
              <a:t> Diameter Tape vs. Working Trees App (ADM Fixed Percent Method)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196650059545717"/>
                  <c:y val="-2.54616169774763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2F75B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'Footprint Trees'!$F$169:$F$331</c:f>
              <c:numCache>
                <c:formatCode>General</c:formatCode>
                <c:ptCount val="163"/>
                <c:pt idx="0">
                  <c:v>0.161</c:v>
                </c:pt>
                <c:pt idx="1">
                  <c:v>0.122</c:v>
                </c:pt>
                <c:pt idx="2">
                  <c:v>5.7000000000000002E-2</c:v>
                </c:pt>
                <c:pt idx="3">
                  <c:v>0.111999999999999</c:v>
                </c:pt>
                <c:pt idx="4">
                  <c:v>0.109</c:v>
                </c:pt>
                <c:pt idx="5">
                  <c:v>8.7999999999999995E-2</c:v>
                </c:pt>
                <c:pt idx="6">
                  <c:v>0.105</c:v>
                </c:pt>
                <c:pt idx="7">
                  <c:v>0.16699999999999901</c:v>
                </c:pt>
                <c:pt idx="8">
                  <c:v>0.32799999999999901</c:v>
                </c:pt>
                <c:pt idx="9">
                  <c:v>0.65</c:v>
                </c:pt>
                <c:pt idx="10">
                  <c:v>0.73</c:v>
                </c:pt>
                <c:pt idx="11">
                  <c:v>0.35699999999999998</c:v>
                </c:pt>
                <c:pt idx="12">
                  <c:v>0.33100000000000002</c:v>
                </c:pt>
                <c:pt idx="13">
                  <c:v>0.98</c:v>
                </c:pt>
                <c:pt idx="14">
                  <c:v>0.20100000000000001</c:v>
                </c:pt>
                <c:pt idx="15">
                  <c:v>0.157</c:v>
                </c:pt>
                <c:pt idx="16">
                  <c:v>0.186</c:v>
                </c:pt>
                <c:pt idx="17">
                  <c:v>0.11600000000000001</c:v>
                </c:pt>
                <c:pt idx="18">
                  <c:v>0.14649999999999999</c:v>
                </c:pt>
                <c:pt idx="19">
                  <c:v>6.2E-2</c:v>
                </c:pt>
                <c:pt idx="20">
                  <c:v>0.114</c:v>
                </c:pt>
                <c:pt idx="21">
                  <c:v>9.5500000000000002E-2</c:v>
                </c:pt>
                <c:pt idx="22">
                  <c:v>5.5E-2</c:v>
                </c:pt>
                <c:pt idx="23">
                  <c:v>0.10050000000000001</c:v>
                </c:pt>
                <c:pt idx="24">
                  <c:v>9.5000000000000001E-2</c:v>
                </c:pt>
                <c:pt idx="25">
                  <c:v>0.19500000000000001</c:v>
                </c:pt>
                <c:pt idx="26">
                  <c:v>8.4000000000000005E-2</c:v>
                </c:pt>
                <c:pt idx="27">
                  <c:v>0.14899999999999999</c:v>
                </c:pt>
                <c:pt idx="28">
                  <c:v>0.104</c:v>
                </c:pt>
                <c:pt idx="29">
                  <c:v>0.33700000000000002</c:v>
                </c:pt>
                <c:pt idx="30">
                  <c:v>0.31900000000000001</c:v>
                </c:pt>
                <c:pt idx="31">
                  <c:v>0.27400000000000002</c:v>
                </c:pt>
                <c:pt idx="32">
                  <c:v>#N/A</c:v>
                </c:pt>
                <c:pt idx="33">
                  <c:v>0.54</c:v>
                </c:pt>
                <c:pt idx="34">
                  <c:v>0.41099999999999998</c:v>
                </c:pt>
                <c:pt idx="35">
                  <c:v>0.318</c:v>
                </c:pt>
                <c:pt idx="36">
                  <c:v>0.57799999999999996</c:v>
                </c:pt>
                <c:pt idx="37">
                  <c:v>0.46899999999999997</c:v>
                </c:pt>
                <c:pt idx="38">
                  <c:v>#N/A</c:v>
                </c:pt>
                <c:pt idx="39">
                  <c:v>0.48199999999999998</c:v>
                </c:pt>
                <c:pt idx="40">
                  <c:v>#N/A</c:v>
                </c:pt>
                <c:pt idx="41">
                  <c:v>#N/A</c:v>
                </c:pt>
                <c:pt idx="42">
                  <c:v>0.55600000000000005</c:v>
                </c:pt>
                <c:pt idx="43">
                  <c:v>0.437</c:v>
                </c:pt>
                <c:pt idx="44">
                  <c:v>0.25600000000000001</c:v>
                </c:pt>
                <c:pt idx="45">
                  <c:v>0.34200000000000003</c:v>
                </c:pt>
                <c:pt idx="46">
                  <c:v>0.34399999999999997</c:v>
                </c:pt>
                <c:pt idx="47">
                  <c:v>0.32700000000000001</c:v>
                </c:pt>
                <c:pt idx="48">
                  <c:v>6.2E-2</c:v>
                </c:pt>
                <c:pt idx="49">
                  <c:v>0.06</c:v>
                </c:pt>
                <c:pt idx="50">
                  <c:v>7.3999999999999996E-2</c:v>
                </c:pt>
                <c:pt idx="51">
                  <c:v>7.4999999999999997E-2</c:v>
                </c:pt>
                <c:pt idx="52">
                  <c:v>0.104</c:v>
                </c:pt>
                <c:pt idx="53">
                  <c:v>5.2999999999999999E-2</c:v>
                </c:pt>
                <c:pt idx="54">
                  <c:v>6.6000000000000003E-2</c:v>
                </c:pt>
                <c:pt idx="55">
                  <c:v>6.2E-2</c:v>
                </c:pt>
                <c:pt idx="56">
                  <c:v>8.5999999999999993E-2</c:v>
                </c:pt>
                <c:pt idx="57">
                  <c:v>0.03</c:v>
                </c:pt>
                <c:pt idx="58">
                  <c:v>4.2999999999999997E-2</c:v>
                </c:pt>
                <c:pt idx="59">
                  <c:v>9.8000000000000004E-2</c:v>
                </c:pt>
                <c:pt idx="60">
                  <c:v>9.5000000000000001E-2</c:v>
                </c:pt>
                <c:pt idx="61">
                  <c:v>3.6999999999999998E-2</c:v>
                </c:pt>
                <c:pt idx="62">
                  <c:v>4.2999999999999997E-2</c:v>
                </c:pt>
                <c:pt idx="63">
                  <c:v>3.1E-2</c:v>
                </c:pt>
                <c:pt idx="64">
                  <c:v>7.4999999999999997E-2</c:v>
                </c:pt>
                <c:pt idx="65">
                  <c:v>6.4000000000000001E-2</c:v>
                </c:pt>
                <c:pt idx="66">
                  <c:v>7.2999999999999995E-2</c:v>
                </c:pt>
                <c:pt idx="67">
                  <c:v>6.5000000000000002E-2</c:v>
                </c:pt>
                <c:pt idx="68">
                  <c:v>0.42599999999999999</c:v>
                </c:pt>
                <c:pt idx="69">
                  <c:v>0.17799999999999999</c:v>
                </c:pt>
                <c:pt idx="70">
                  <c:v>0.25</c:v>
                </c:pt>
                <c:pt idx="71">
                  <c:v>#N/A</c:v>
                </c:pt>
                <c:pt idx="72">
                  <c:v>0.252</c:v>
                </c:pt>
                <c:pt idx="73">
                  <c:v>0.14499999999999999</c:v>
                </c:pt>
                <c:pt idx="74">
                  <c:v>0.157</c:v>
                </c:pt>
                <c:pt idx="75">
                  <c:v>0.158</c:v>
                </c:pt>
                <c:pt idx="76">
                  <c:v>6.7000000000000004E-2</c:v>
                </c:pt>
                <c:pt idx="77">
                  <c:v>0.13100000000000001</c:v>
                </c:pt>
                <c:pt idx="78">
                  <c:v>0.17399999999999999</c:v>
                </c:pt>
                <c:pt idx="79">
                  <c:v>0.12</c:v>
                </c:pt>
                <c:pt idx="80">
                  <c:v>0.35199999999999998</c:v>
                </c:pt>
                <c:pt idx="81">
                  <c:v>0.14000000000000001</c:v>
                </c:pt>
                <c:pt idx="82">
                  <c:v>0.28000000000000003</c:v>
                </c:pt>
                <c:pt idx="83">
                  <c:v>0.11700000000000001</c:v>
                </c:pt>
                <c:pt idx="84">
                  <c:v>0.32800000000000001</c:v>
                </c:pt>
                <c:pt idx="85">
                  <c:v>0.38700000000000001</c:v>
                </c:pt>
                <c:pt idx="86">
                  <c:v>0.14399999999999999</c:v>
                </c:pt>
                <c:pt idx="87">
                  <c:v>0.45</c:v>
                </c:pt>
                <c:pt idx="88">
                  <c:v>0.13900000000000001</c:v>
                </c:pt>
                <c:pt idx="89">
                  <c:v>0.73199999999999998</c:v>
                </c:pt>
                <c:pt idx="90">
                  <c:v>0.61699999999999999</c:v>
                </c:pt>
                <c:pt idx="91">
                  <c:v>0.27100000000000002</c:v>
                </c:pt>
                <c:pt idx="92">
                  <c:v>0.61699999999999999</c:v>
                </c:pt>
                <c:pt idx="93">
                  <c:v>6.5000000000000002E-2</c:v>
                </c:pt>
                <c:pt idx="94">
                  <c:v>2.4E-2</c:v>
                </c:pt>
                <c:pt idx="95">
                  <c:v>0.629</c:v>
                </c:pt>
                <c:pt idx="96">
                  <c:v>0.223</c:v>
                </c:pt>
                <c:pt idx="97">
                  <c:v>0.36299999999999999</c:v>
                </c:pt>
                <c:pt idx="98">
                  <c:v>0.41399999999999998</c:v>
                </c:pt>
                <c:pt idx="99">
                  <c:v>0.29599999999999999</c:v>
                </c:pt>
                <c:pt idx="100">
                  <c:v>0.28799999999999998</c:v>
                </c:pt>
                <c:pt idx="101">
                  <c:v>0.248</c:v>
                </c:pt>
                <c:pt idx="102">
                  <c:v>0.28199999999999997</c:v>
                </c:pt>
                <c:pt idx="103">
                  <c:v>0.248</c:v>
                </c:pt>
                <c:pt idx="104">
                  <c:v>0.55299999999999905</c:v>
                </c:pt>
                <c:pt idx="105">
                  <c:v>0.63</c:v>
                </c:pt>
                <c:pt idx="106">
                  <c:v>0.52100000000000002</c:v>
                </c:pt>
                <c:pt idx="107">
                  <c:v>0.45799999999999902</c:v>
                </c:pt>
                <c:pt idx="108">
                  <c:v>0.28199999999999997</c:v>
                </c:pt>
                <c:pt idx="109">
                  <c:v>0.373</c:v>
                </c:pt>
                <c:pt idx="110">
                  <c:v>0.1</c:v>
                </c:pt>
                <c:pt idx="111">
                  <c:v>4.2000000000000003E-2</c:v>
                </c:pt>
                <c:pt idx="112">
                  <c:v>3.1E-2</c:v>
                </c:pt>
                <c:pt idx="113">
                  <c:v>0.123</c:v>
                </c:pt>
                <c:pt idx="114">
                  <c:v>#N/A</c:v>
                </c:pt>
                <c:pt idx="115">
                  <c:v>4.7E-2</c:v>
                </c:pt>
                <c:pt idx="116">
                  <c:v>5.5E-2</c:v>
                </c:pt>
                <c:pt idx="117">
                  <c:v>4.2000000000000003E-2</c:v>
                </c:pt>
                <c:pt idx="118">
                  <c:v>4.2000000000000003E-2</c:v>
                </c:pt>
                <c:pt idx="119">
                  <c:v>2.5999999999999999E-2</c:v>
                </c:pt>
                <c:pt idx="120">
                  <c:v>3.3000000000000002E-2</c:v>
                </c:pt>
                <c:pt idx="121">
                  <c:v>4.2999999999999997E-2</c:v>
                </c:pt>
                <c:pt idx="122">
                  <c:v>0.13400000000000001</c:v>
                </c:pt>
                <c:pt idx="123">
                  <c:v>0.06</c:v>
                </c:pt>
                <c:pt idx="124">
                  <c:v>4.5999999999999999E-2</c:v>
                </c:pt>
                <c:pt idx="125">
                  <c:v>0.746</c:v>
                </c:pt>
                <c:pt idx="126">
                  <c:v>#N/A</c:v>
                </c:pt>
                <c:pt idx="127">
                  <c:v>0.156</c:v>
                </c:pt>
                <c:pt idx="128">
                  <c:v>0.16500000000000001</c:v>
                </c:pt>
                <c:pt idx="129">
                  <c:v>0.19399999999999901</c:v>
                </c:pt>
                <c:pt idx="130">
                  <c:v>0.158</c:v>
                </c:pt>
                <c:pt idx="131">
                  <c:v>0.247</c:v>
                </c:pt>
                <c:pt idx="132">
                  <c:v>0.15</c:v>
                </c:pt>
                <c:pt idx="133">
                  <c:v>0.113</c:v>
                </c:pt>
                <c:pt idx="134">
                  <c:v>#N/A</c:v>
                </c:pt>
                <c:pt idx="135">
                  <c:v>6.3E-2</c:v>
                </c:pt>
                <c:pt idx="136">
                  <c:v>#N/A</c:v>
                </c:pt>
                <c:pt idx="137">
                  <c:v>#N/A</c:v>
                </c:pt>
                <c:pt idx="138">
                  <c:v>0.14899999999999999</c:v>
                </c:pt>
                <c:pt idx="139">
                  <c:v>#N/A</c:v>
                </c:pt>
                <c:pt idx="140">
                  <c:v>9.8000000000000004E-2</c:v>
                </c:pt>
                <c:pt idx="141">
                  <c:v>0.34200000000000003</c:v>
                </c:pt>
                <c:pt idx="142">
                  <c:v>0.38700000000000001</c:v>
                </c:pt>
                <c:pt idx="143">
                  <c:v>0.14000000000000001</c:v>
                </c:pt>
                <c:pt idx="144">
                  <c:v>0.11899999999999999</c:v>
                </c:pt>
                <c:pt idx="145">
                  <c:v>0.10299999999999999</c:v>
                </c:pt>
                <c:pt idx="146">
                  <c:v>#N/A</c:v>
                </c:pt>
                <c:pt idx="147">
                  <c:v>7.1999999999999995E-2</c:v>
                </c:pt>
                <c:pt idx="148">
                  <c:v>6.9000000000000006E-2</c:v>
                </c:pt>
                <c:pt idx="149">
                  <c:v>5.8999999999999997E-2</c:v>
                </c:pt>
                <c:pt idx="150">
                  <c:v>4.7E-2</c:v>
                </c:pt>
                <c:pt idx="151">
                  <c:v>0.10199999999999999</c:v>
                </c:pt>
                <c:pt idx="152">
                  <c:v>0.115</c:v>
                </c:pt>
                <c:pt idx="153">
                  <c:v>0.252</c:v>
                </c:pt>
                <c:pt idx="154">
                  <c:v>0.13300000000000001</c:v>
                </c:pt>
                <c:pt idx="155">
                  <c:v>0.16200000000000001</c:v>
                </c:pt>
                <c:pt idx="156">
                  <c:v>0.161</c:v>
                </c:pt>
                <c:pt idx="157">
                  <c:v>0.04</c:v>
                </c:pt>
                <c:pt idx="158">
                  <c:v>#N/A</c:v>
                </c:pt>
                <c:pt idx="159">
                  <c:v>0.17699999999999999</c:v>
                </c:pt>
                <c:pt idx="160">
                  <c:v>#N/A</c:v>
                </c:pt>
                <c:pt idx="161">
                  <c:v>#N/A</c:v>
                </c:pt>
                <c:pt idx="162">
                  <c:v>2.7E-2</c:v>
                </c:pt>
              </c:numCache>
            </c:numRef>
          </c:xVal>
          <c:yVal>
            <c:numRef>
              <c:f>'Footprint Trees'!$G$169:$G$331</c:f>
              <c:numCache>
                <c:formatCode>General</c:formatCode>
                <c:ptCount val="163"/>
                <c:pt idx="0">
                  <c:v>0.13004179095378199</c:v>
                </c:pt>
                <c:pt idx="1">
                  <c:v>0.11198820801561001</c:v>
                </c:pt>
                <c:pt idx="2">
                  <c:v>5.2926415848481602E-2</c:v>
                </c:pt>
                <c:pt idx="3">
                  <c:v>9.9103543181239304E-2</c:v>
                </c:pt>
                <c:pt idx="4">
                  <c:v>9.57902884770164E-2</c:v>
                </c:pt>
                <c:pt idx="5">
                  <c:v>8.4025711512090595E-2</c:v>
                </c:pt>
                <c:pt idx="6">
                  <c:v>0.102954639943221</c:v>
                </c:pt>
                <c:pt idx="7">
                  <c:v>0.17142462468964201</c:v>
                </c:pt>
                <c:pt idx="8">
                  <c:v>0.32065579972712399</c:v>
                </c:pt>
                <c:pt idx="9">
                  <c:v>0.55698177056860898</c:v>
                </c:pt>
                <c:pt idx="10">
                  <c:v>0.59010244901912001</c:v>
                </c:pt>
                <c:pt idx="11">
                  <c:v>8.4026724883578E-2</c:v>
                </c:pt>
                <c:pt idx="12">
                  <c:v>0.32580039488486101</c:v>
                </c:pt>
                <c:pt idx="13">
                  <c:v>0.95415399999999995</c:v>
                </c:pt>
                <c:pt idx="14">
                  <c:v>0.17343800000000001</c:v>
                </c:pt>
                <c:pt idx="15">
                  <c:v>0.19756099999999999</c:v>
                </c:pt>
                <c:pt idx="16">
                  <c:v>0.284856</c:v>
                </c:pt>
                <c:pt idx="17">
                  <c:v>0.114286</c:v>
                </c:pt>
                <c:pt idx="18">
                  <c:v>0.17032</c:v>
                </c:pt>
                <c:pt idx="19">
                  <c:v>7.5853000000000004E-2</c:v>
                </c:pt>
                <c:pt idx="20">
                  <c:v>0.106418</c:v>
                </c:pt>
                <c:pt idx="21">
                  <c:v>8.7108000000000005E-2</c:v>
                </c:pt>
                <c:pt idx="22">
                  <c:v>5.2253000000000001E-2</c:v>
                </c:pt>
                <c:pt idx="23">
                  <c:v>9.8658999999999997E-2</c:v>
                </c:pt>
                <c:pt idx="24">
                  <c:v>3.2521000000000001E-2</c:v>
                </c:pt>
                <c:pt idx="25">
                  <c:v>0.18351600000000001</c:v>
                </c:pt>
                <c:pt idx="26">
                  <c:v>7.936E-2</c:v>
                </c:pt>
                <c:pt idx="27">
                  <c:v>0.17761199999999999</c:v>
                </c:pt>
                <c:pt idx="28">
                  <c:v>8.6301000000000003E-2</c:v>
                </c:pt>
                <c:pt idx="29">
                  <c:v>0.31379400000000002</c:v>
                </c:pt>
                <c:pt idx="30">
                  <c:v>0.26653300000000002</c:v>
                </c:pt>
                <c:pt idx="31">
                  <c:v>0.52017199999999997</c:v>
                </c:pt>
                <c:pt idx="32">
                  <c:v>#N/A</c:v>
                </c:pt>
                <c:pt idx="33">
                  <c:v>0.50263159058756701</c:v>
                </c:pt>
                <c:pt idx="34">
                  <c:v>0.39947534756974001</c:v>
                </c:pt>
                <c:pt idx="35">
                  <c:v>0.290196681076764</c:v>
                </c:pt>
                <c:pt idx="36">
                  <c:v>0.57481053796556703</c:v>
                </c:pt>
                <c:pt idx="37">
                  <c:v>0.359674810764049</c:v>
                </c:pt>
                <c:pt idx="38">
                  <c:v>0.21480227515469399</c:v>
                </c:pt>
                <c:pt idx="39">
                  <c:v>0.43879488173376602</c:v>
                </c:pt>
                <c:pt idx="40">
                  <c:v>#N/A</c:v>
                </c:pt>
                <c:pt idx="41">
                  <c:v>#N/A</c:v>
                </c:pt>
                <c:pt idx="42">
                  <c:v>0.52420286499511304</c:v>
                </c:pt>
                <c:pt idx="43">
                  <c:v>0.448922766648643</c:v>
                </c:pt>
                <c:pt idx="44">
                  <c:v>0.237053202033498</c:v>
                </c:pt>
                <c:pt idx="45">
                  <c:v>0.31533926873587798</c:v>
                </c:pt>
                <c:pt idx="46">
                  <c:v>0.31939936782789702</c:v>
                </c:pt>
                <c:pt idx="47">
                  <c:v>0.33941513459433398</c:v>
                </c:pt>
                <c:pt idx="48">
                  <c:v>5.9983000000000002E-2</c:v>
                </c:pt>
                <c:pt idx="49">
                  <c:v>5.2263999999999998E-2</c:v>
                </c:pt>
                <c:pt idx="50">
                  <c:v>7.4727000000000002E-2</c:v>
                </c:pt>
                <c:pt idx="51">
                  <c:v>7.4418999999999999E-2</c:v>
                </c:pt>
                <c:pt idx="52">
                  <c:v>0.118288</c:v>
                </c:pt>
                <c:pt idx="53">
                  <c:v>5.6007000000000001E-2</c:v>
                </c:pt>
                <c:pt idx="54">
                  <c:v>6.2365999999999998E-2</c:v>
                </c:pt>
                <c:pt idx="55">
                  <c:v>5.8263000000000002E-2</c:v>
                </c:pt>
                <c:pt idx="56">
                  <c:v>8.1809000000000007E-2</c:v>
                </c:pt>
                <c:pt idx="57">
                  <c:v>5.5920999999999998E-2</c:v>
                </c:pt>
                <c:pt idx="58">
                  <c:v>5.5369000000000002E-2</c:v>
                </c:pt>
                <c:pt idx="59">
                  <c:v>7.6773999999999995E-2</c:v>
                </c:pt>
                <c:pt idx="60">
                  <c:v>8.6984000000000006E-2</c:v>
                </c:pt>
                <c:pt idx="61">
                  <c:v>5.3434000000000002E-2</c:v>
                </c:pt>
                <c:pt idx="62">
                  <c:v>5.7357999999999999E-2</c:v>
                </c:pt>
                <c:pt idx="63">
                  <c:v>5.5171999999999999E-2</c:v>
                </c:pt>
                <c:pt idx="64">
                  <c:v>7.3094999999999993E-2</c:v>
                </c:pt>
                <c:pt idx="65">
                  <c:v>6.2426000000000002E-2</c:v>
                </c:pt>
                <c:pt idx="66">
                  <c:v>7.9772999999999997E-2</c:v>
                </c:pt>
                <c:pt idx="67">
                  <c:v>6.8231E-2</c:v>
                </c:pt>
                <c:pt idx="68">
                  <c:v>0.40396196746897001</c:v>
                </c:pt>
                <c:pt idx="69">
                  <c:v>0.147823812458834</c:v>
                </c:pt>
                <c:pt idx="70">
                  <c:v>0.203557256658499</c:v>
                </c:pt>
                <c:pt idx="71">
                  <c:v>#N/A</c:v>
                </c:pt>
                <c:pt idx="72">
                  <c:v>0.221186151251417</c:v>
                </c:pt>
                <c:pt idx="73">
                  <c:v>0.13553993788621399</c:v>
                </c:pt>
                <c:pt idx="74">
                  <c:v>0.14918288691336501</c:v>
                </c:pt>
                <c:pt idx="75">
                  <c:v>0.13908360518961099</c:v>
                </c:pt>
                <c:pt idx="76">
                  <c:v>7.4121627462758494E-2</c:v>
                </c:pt>
                <c:pt idx="77">
                  <c:v>0.117513367990065</c:v>
                </c:pt>
                <c:pt idx="78">
                  <c:v>0.15659395255515901</c:v>
                </c:pt>
                <c:pt idx="79">
                  <c:v>0.109155022103293</c:v>
                </c:pt>
                <c:pt idx="80">
                  <c:v>0.32360393785874397</c:v>
                </c:pt>
                <c:pt idx="81">
                  <c:v>9.4102393941898094E-2</c:v>
                </c:pt>
                <c:pt idx="82">
                  <c:v>0.27565844900199299</c:v>
                </c:pt>
                <c:pt idx="83">
                  <c:v>0.115429212849173</c:v>
                </c:pt>
                <c:pt idx="84">
                  <c:v>0.30838308026487399</c:v>
                </c:pt>
                <c:pt idx="85">
                  <c:v>0.35948565592226001</c:v>
                </c:pt>
                <c:pt idx="86">
                  <c:v>0.13822587807469999</c:v>
                </c:pt>
                <c:pt idx="87">
                  <c:v>0.41157524853162902</c:v>
                </c:pt>
                <c:pt idx="88">
                  <c:v>0.11365509998630099</c:v>
                </c:pt>
                <c:pt idx="89">
                  <c:v>0.69444430196134599</c:v>
                </c:pt>
                <c:pt idx="90">
                  <c:v>0.494396666037898</c:v>
                </c:pt>
                <c:pt idx="91">
                  <c:v>0.26956104078661097</c:v>
                </c:pt>
                <c:pt idx="92">
                  <c:v>0.61975699583661403</c:v>
                </c:pt>
                <c:pt idx="93">
                  <c:v>#N/A</c:v>
                </c:pt>
                <c:pt idx="94">
                  <c:v>#N/A</c:v>
                </c:pt>
                <c:pt idx="95">
                  <c:v>0.61544881485006497</c:v>
                </c:pt>
                <c:pt idx="96">
                  <c:v>0.21642414337928001</c:v>
                </c:pt>
                <c:pt idx="97">
                  <c:v>0.31093565705251602</c:v>
                </c:pt>
                <c:pt idx="98">
                  <c:v>0.39598749315443998</c:v>
                </c:pt>
                <c:pt idx="99">
                  <c:v>0.26337061368629699</c:v>
                </c:pt>
                <c:pt idx="100">
                  <c:v>0.243779198478218</c:v>
                </c:pt>
                <c:pt idx="101">
                  <c:v>0.16554095929242499</c:v>
                </c:pt>
                <c:pt idx="102">
                  <c:v>0.23388480744016299</c:v>
                </c:pt>
                <c:pt idx="103">
                  <c:v>0.237522227497831</c:v>
                </c:pt>
                <c:pt idx="104">
                  <c:v>0.54379517476594297</c:v>
                </c:pt>
                <c:pt idx="105">
                  <c:v>0.61402997337334597</c:v>
                </c:pt>
                <c:pt idx="106">
                  <c:v>0.481048230901572</c:v>
                </c:pt>
                <c:pt idx="107">
                  <c:v>0.40005521912861902</c:v>
                </c:pt>
                <c:pt idx="108">
                  <c:v>0.23357482444594899</c:v>
                </c:pt>
                <c:pt idx="109">
                  <c:v>0.34839585943354701</c:v>
                </c:pt>
                <c:pt idx="110">
                  <c:v>0.11525100000000001</c:v>
                </c:pt>
                <c:pt idx="111">
                  <c:v>5.5622999999999999E-2</c:v>
                </c:pt>
                <c:pt idx="112">
                  <c:v>7.1114999999999998E-2</c:v>
                </c:pt>
                <c:pt idx="113">
                  <c:v>0.13206499999999999</c:v>
                </c:pt>
                <c:pt idx="114">
                  <c:v>#N/A</c:v>
                </c:pt>
                <c:pt idx="115">
                  <c:v>5.6855000000000003E-2</c:v>
                </c:pt>
                <c:pt idx="116">
                  <c:v>5.9806999999999999E-2</c:v>
                </c:pt>
                <c:pt idx="117">
                  <c:v>5.4916E-2</c:v>
                </c:pt>
                <c:pt idx="118">
                  <c:v>5.9327999999999999E-2</c:v>
                </c:pt>
                <c:pt idx="119">
                  <c:v>5.8520000000000003E-2</c:v>
                </c:pt>
                <c:pt idx="120">
                  <c:v>5.6509999999999998E-2</c:v>
                </c:pt>
                <c:pt idx="121">
                  <c:v>5.3754999999999997E-2</c:v>
                </c:pt>
                <c:pt idx="122">
                  <c:v>0.128414</c:v>
                </c:pt>
                <c:pt idx="123">
                  <c:v>5.8106999999999999E-2</c:v>
                </c:pt>
                <c:pt idx="124">
                  <c:v>5.2110999999999998E-2</c:v>
                </c:pt>
                <c:pt idx="125">
                  <c:v>0.72011899999999995</c:v>
                </c:pt>
                <c:pt idx="126">
                  <c:v>7.26102747168033E-2</c:v>
                </c:pt>
                <c:pt idx="127">
                  <c:v>0.12942956771973399</c:v>
                </c:pt>
                <c:pt idx="128">
                  <c:v>0.15450409968669099</c:v>
                </c:pt>
                <c:pt idx="129">
                  <c:v>0.13175625539194599</c:v>
                </c:pt>
                <c:pt idx="130">
                  <c:v>0.149605166551735</c:v>
                </c:pt>
                <c:pt idx="131">
                  <c:v>0.23363036315059901</c:v>
                </c:pt>
                <c:pt idx="132">
                  <c:v>0.12805004376222501</c:v>
                </c:pt>
                <c:pt idx="133">
                  <c:v>0.115103978490727</c:v>
                </c:pt>
                <c:pt idx="134">
                  <c:v>0.232445329431301</c:v>
                </c:pt>
                <c:pt idx="135">
                  <c:v>7.7751000000000001E-2</c:v>
                </c:pt>
                <c:pt idx="136">
                  <c:v>9.0177999999999994E-2</c:v>
                </c:pt>
                <c:pt idx="137">
                  <c:v>5.4230102218448401E-2</c:v>
                </c:pt>
                <c:pt idx="138">
                  <c:v>0.15962999999999999</c:v>
                </c:pt>
                <c:pt idx="139">
                  <c:v>9.7415755709861995E-2</c:v>
                </c:pt>
                <c:pt idx="140">
                  <c:v>9.91045572118541E-2</c:v>
                </c:pt>
                <c:pt idx="141">
                  <c:v>0.31484960302383502</c:v>
                </c:pt>
                <c:pt idx="142">
                  <c:v>0.376305840101119</c:v>
                </c:pt>
                <c:pt idx="143">
                  <c:v>0.15549382586952901</c:v>
                </c:pt>
                <c:pt idx="144">
                  <c:v>0.13174328082891601</c:v>
                </c:pt>
                <c:pt idx="145">
                  <c:v>0.12895774256172901</c:v>
                </c:pt>
                <c:pt idx="146">
                  <c:v>5.6307791381785002E-2</c:v>
                </c:pt>
                <c:pt idx="147">
                  <c:v>6.3816270566472405E-2</c:v>
                </c:pt>
                <c:pt idx="148">
                  <c:v>6.72889342177629E-2</c:v>
                </c:pt>
                <c:pt idx="149">
                  <c:v>4.4010440698990898E-2</c:v>
                </c:pt>
                <c:pt idx="150">
                  <c:v>5.6302546937190598E-2</c:v>
                </c:pt>
                <c:pt idx="151">
                  <c:v>8.9191435879868802E-2</c:v>
                </c:pt>
                <c:pt idx="152">
                  <c:v>7.2922806269348994E-2</c:v>
                </c:pt>
                <c:pt idx="153">
                  <c:v>0.233225293693513</c:v>
                </c:pt>
                <c:pt idx="154">
                  <c:v>9.4907571359350296E-2</c:v>
                </c:pt>
                <c:pt idx="155">
                  <c:v>0.107072843773692</c:v>
                </c:pt>
                <c:pt idx="156">
                  <c:v>0.126534592791264</c:v>
                </c:pt>
                <c:pt idx="157">
                  <c:v>5.3779423694049797E-2</c:v>
                </c:pt>
                <c:pt idx="158">
                  <c:v>0.13472003303803801</c:v>
                </c:pt>
                <c:pt idx="159">
                  <c:v>0.14835543995387299</c:v>
                </c:pt>
                <c:pt idx="160">
                  <c:v>#N/A</c:v>
                </c:pt>
                <c:pt idx="161">
                  <c:v>5.82884209744551E-2</c:v>
                </c:pt>
                <c:pt idx="162">
                  <c:v>2.9136229293112399E-2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15-43B3-842C-C2092DAF0E0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flat" cmpd="sng" algn="ctr">
                <a:solidFill>
                  <a:srgbClr val="ED7D31"/>
                </a:solidFill>
                <a:prstDash val="lgDash"/>
                <a:round/>
                <a:headEnd type="none" w="med" len="med"/>
                <a:tailEnd type="none" w="med" len="me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6603642060875373"/>
                  <c:y val="0.100580506543308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'Footprint Trees'!$AA$172:$AA$334</c:f>
              <c:numCache>
                <c:formatCode>General</c:formatCode>
                <c:ptCount val="163"/>
                <c:pt idx="0">
                  <c:v>6.1349693251533744E-3</c:v>
                </c:pt>
                <c:pt idx="1">
                  <c:v>1.2269938650306749E-2</c:v>
                </c:pt>
                <c:pt idx="2">
                  <c:v>1.8404907975460124E-2</c:v>
                </c:pt>
                <c:pt idx="3">
                  <c:v>2.4539877300613498E-2</c:v>
                </c:pt>
                <c:pt idx="4">
                  <c:v>3.0674846625766871E-2</c:v>
                </c:pt>
                <c:pt idx="5">
                  <c:v>3.6809815950920248E-2</c:v>
                </c:pt>
                <c:pt idx="6">
                  <c:v>4.2944785276073622E-2</c:v>
                </c:pt>
                <c:pt idx="7">
                  <c:v>4.9079754601226995E-2</c:v>
                </c:pt>
                <c:pt idx="8">
                  <c:v>5.5214723926380369E-2</c:v>
                </c:pt>
                <c:pt idx="9">
                  <c:v>6.1349693251533742E-2</c:v>
                </c:pt>
                <c:pt idx="10">
                  <c:v>6.7484662576687116E-2</c:v>
                </c:pt>
                <c:pt idx="11">
                  <c:v>7.3619631901840496E-2</c:v>
                </c:pt>
                <c:pt idx="12">
                  <c:v>7.9754601226993876E-2</c:v>
                </c:pt>
                <c:pt idx="13">
                  <c:v>8.5889570552147257E-2</c:v>
                </c:pt>
                <c:pt idx="14">
                  <c:v>9.2024539877300637E-2</c:v>
                </c:pt>
                <c:pt idx="15">
                  <c:v>9.8159509202454018E-2</c:v>
                </c:pt>
                <c:pt idx="16">
                  <c:v>0.1042944785276074</c:v>
                </c:pt>
                <c:pt idx="17">
                  <c:v>0.11042944785276078</c:v>
                </c:pt>
                <c:pt idx="18">
                  <c:v>0.11656441717791416</c:v>
                </c:pt>
                <c:pt idx="19">
                  <c:v>0.12269938650306754</c:v>
                </c:pt>
                <c:pt idx="20">
                  <c:v>0.12883435582822092</c:v>
                </c:pt>
                <c:pt idx="21">
                  <c:v>0.13496932515337429</c:v>
                </c:pt>
                <c:pt idx="22">
                  <c:v>0.14110429447852765</c:v>
                </c:pt>
                <c:pt idx="23">
                  <c:v>0.14723926380368102</c:v>
                </c:pt>
                <c:pt idx="24">
                  <c:v>0.15337423312883439</c:v>
                </c:pt>
                <c:pt idx="25">
                  <c:v>0.15950920245398775</c:v>
                </c:pt>
                <c:pt idx="26">
                  <c:v>0.16564417177914112</c:v>
                </c:pt>
                <c:pt idx="27">
                  <c:v>0.17177914110429449</c:v>
                </c:pt>
                <c:pt idx="28">
                  <c:v>0.17791411042944785</c:v>
                </c:pt>
                <c:pt idx="29">
                  <c:v>0.18404907975460122</c:v>
                </c:pt>
                <c:pt idx="30">
                  <c:v>0.19018404907975459</c:v>
                </c:pt>
                <c:pt idx="31">
                  <c:v>0.19631901840490795</c:v>
                </c:pt>
                <c:pt idx="32">
                  <c:v>0.20245398773006132</c:v>
                </c:pt>
                <c:pt idx="33">
                  <c:v>0.20858895705521469</c:v>
                </c:pt>
                <c:pt idx="34">
                  <c:v>0.21472392638036805</c:v>
                </c:pt>
                <c:pt idx="35">
                  <c:v>0.22085889570552142</c:v>
                </c:pt>
                <c:pt idx="36">
                  <c:v>0.22699386503067479</c:v>
                </c:pt>
                <c:pt idx="37">
                  <c:v>0.23312883435582815</c:v>
                </c:pt>
                <c:pt idx="38">
                  <c:v>0.23926380368098152</c:v>
                </c:pt>
                <c:pt idx="39">
                  <c:v>0.24539877300613488</c:v>
                </c:pt>
                <c:pt idx="40">
                  <c:v>0.25153374233128828</c:v>
                </c:pt>
                <c:pt idx="41">
                  <c:v>0.25766871165644167</c:v>
                </c:pt>
                <c:pt idx="42">
                  <c:v>0.26380368098159507</c:v>
                </c:pt>
                <c:pt idx="43">
                  <c:v>0.26993865030674846</c:v>
                </c:pt>
                <c:pt idx="44">
                  <c:v>0.27607361963190186</c:v>
                </c:pt>
                <c:pt idx="45">
                  <c:v>0.28220858895705525</c:v>
                </c:pt>
                <c:pt idx="46">
                  <c:v>0.28834355828220865</c:v>
                </c:pt>
                <c:pt idx="47">
                  <c:v>0.29447852760736204</c:v>
                </c:pt>
                <c:pt idx="48">
                  <c:v>0.30061349693251543</c:v>
                </c:pt>
                <c:pt idx="49">
                  <c:v>0.30674846625766883</c:v>
                </c:pt>
                <c:pt idx="50">
                  <c:v>0.31288343558282222</c:v>
                </c:pt>
                <c:pt idx="51">
                  <c:v>0.31901840490797562</c:v>
                </c:pt>
                <c:pt idx="52">
                  <c:v>0.32515337423312901</c:v>
                </c:pt>
                <c:pt idx="53">
                  <c:v>0.33128834355828241</c:v>
                </c:pt>
                <c:pt idx="54">
                  <c:v>0.3374233128834358</c:v>
                </c:pt>
                <c:pt idx="55">
                  <c:v>0.34355828220858919</c:v>
                </c:pt>
                <c:pt idx="56">
                  <c:v>0.34969325153374259</c:v>
                </c:pt>
                <c:pt idx="57">
                  <c:v>0.35582822085889598</c:v>
                </c:pt>
                <c:pt idx="58">
                  <c:v>0.36196319018404938</c:v>
                </c:pt>
                <c:pt idx="59">
                  <c:v>0.36809815950920277</c:v>
                </c:pt>
                <c:pt idx="60">
                  <c:v>0.37423312883435617</c:v>
                </c:pt>
                <c:pt idx="61">
                  <c:v>0.38036809815950956</c:v>
                </c:pt>
                <c:pt idx="62">
                  <c:v>0.38650306748466295</c:v>
                </c:pt>
                <c:pt idx="63">
                  <c:v>0.39263803680981635</c:v>
                </c:pt>
                <c:pt idx="64">
                  <c:v>0.39877300613496974</c:v>
                </c:pt>
                <c:pt idx="65">
                  <c:v>0.40490797546012314</c:v>
                </c:pt>
                <c:pt idx="66">
                  <c:v>0.41104294478527653</c:v>
                </c:pt>
                <c:pt idx="67">
                  <c:v>0.41717791411042993</c:v>
                </c:pt>
                <c:pt idx="68">
                  <c:v>0.42331288343558332</c:v>
                </c:pt>
                <c:pt idx="69">
                  <c:v>0.42944785276073671</c:v>
                </c:pt>
                <c:pt idx="70">
                  <c:v>0.43558282208589011</c:v>
                </c:pt>
                <c:pt idx="71">
                  <c:v>0.4417177914110435</c:v>
                </c:pt>
                <c:pt idx="72">
                  <c:v>0.4478527607361969</c:v>
                </c:pt>
                <c:pt idx="73">
                  <c:v>0.45398773006135029</c:v>
                </c:pt>
                <c:pt idx="74">
                  <c:v>0.46012269938650369</c:v>
                </c:pt>
                <c:pt idx="75">
                  <c:v>0.46625766871165708</c:v>
                </c:pt>
                <c:pt idx="76">
                  <c:v>0.47239263803681047</c:v>
                </c:pt>
                <c:pt idx="77">
                  <c:v>0.47852760736196387</c:v>
                </c:pt>
                <c:pt idx="78">
                  <c:v>0.48466257668711726</c:v>
                </c:pt>
                <c:pt idx="79">
                  <c:v>0.49079754601227066</c:v>
                </c:pt>
                <c:pt idx="80">
                  <c:v>0.49693251533742405</c:v>
                </c:pt>
                <c:pt idx="81">
                  <c:v>0.50306748466257745</c:v>
                </c:pt>
                <c:pt idx="82">
                  <c:v>0.50920245398773079</c:v>
                </c:pt>
                <c:pt idx="83">
                  <c:v>0.51533742331288412</c:v>
                </c:pt>
                <c:pt idx="84">
                  <c:v>0.52147239263803746</c:v>
                </c:pt>
                <c:pt idx="85">
                  <c:v>0.5276073619631908</c:v>
                </c:pt>
                <c:pt idx="86">
                  <c:v>0.53374233128834414</c:v>
                </c:pt>
                <c:pt idx="87">
                  <c:v>0.53987730061349748</c:v>
                </c:pt>
                <c:pt idx="88">
                  <c:v>0.54601226993865082</c:v>
                </c:pt>
                <c:pt idx="89">
                  <c:v>0.55214723926380416</c:v>
                </c:pt>
                <c:pt idx="90">
                  <c:v>0.5582822085889575</c:v>
                </c:pt>
                <c:pt idx="91">
                  <c:v>0.56441717791411083</c:v>
                </c:pt>
                <c:pt idx="92">
                  <c:v>0.57055214723926417</c:v>
                </c:pt>
                <c:pt idx="93">
                  <c:v>0.57668711656441751</c:v>
                </c:pt>
                <c:pt idx="94">
                  <c:v>0.58282208588957085</c:v>
                </c:pt>
                <c:pt idx="95">
                  <c:v>0.58895705521472419</c:v>
                </c:pt>
                <c:pt idx="96">
                  <c:v>0.59509202453987753</c:v>
                </c:pt>
                <c:pt idx="97">
                  <c:v>0.60122699386503087</c:v>
                </c:pt>
                <c:pt idx="98">
                  <c:v>0.60736196319018421</c:v>
                </c:pt>
                <c:pt idx="99">
                  <c:v>0.61349693251533755</c:v>
                </c:pt>
                <c:pt idx="100">
                  <c:v>0.61963190184049088</c:v>
                </c:pt>
                <c:pt idx="101">
                  <c:v>0.62576687116564422</c:v>
                </c:pt>
                <c:pt idx="102">
                  <c:v>0.63190184049079756</c:v>
                </c:pt>
                <c:pt idx="103">
                  <c:v>0.6380368098159509</c:v>
                </c:pt>
                <c:pt idx="104">
                  <c:v>0.64417177914110424</c:v>
                </c:pt>
                <c:pt idx="105">
                  <c:v>0.65030674846625758</c:v>
                </c:pt>
                <c:pt idx="106">
                  <c:v>0.65644171779141092</c:v>
                </c:pt>
                <c:pt idx="107">
                  <c:v>0.66257668711656426</c:v>
                </c:pt>
                <c:pt idx="108">
                  <c:v>0.66871165644171759</c:v>
                </c:pt>
                <c:pt idx="109">
                  <c:v>0.67484662576687093</c:v>
                </c:pt>
                <c:pt idx="110">
                  <c:v>0.68098159509202427</c:v>
                </c:pt>
                <c:pt idx="111">
                  <c:v>0.68711656441717761</c:v>
                </c:pt>
                <c:pt idx="112">
                  <c:v>0.69325153374233095</c:v>
                </c:pt>
                <c:pt idx="113">
                  <c:v>0.69938650306748429</c:v>
                </c:pt>
                <c:pt idx="114">
                  <c:v>0.70552147239263763</c:v>
                </c:pt>
                <c:pt idx="115">
                  <c:v>0.71165644171779097</c:v>
                </c:pt>
                <c:pt idx="116">
                  <c:v>0.71779141104294431</c:v>
                </c:pt>
                <c:pt idx="117">
                  <c:v>0.72392638036809764</c:v>
                </c:pt>
                <c:pt idx="118">
                  <c:v>0.73006134969325098</c:v>
                </c:pt>
                <c:pt idx="119">
                  <c:v>0.73619631901840432</c:v>
                </c:pt>
                <c:pt idx="120">
                  <c:v>0.74233128834355766</c:v>
                </c:pt>
                <c:pt idx="121">
                  <c:v>0.748466257668711</c:v>
                </c:pt>
                <c:pt idx="122">
                  <c:v>0.75460122699386434</c:v>
                </c:pt>
                <c:pt idx="123">
                  <c:v>0.76073619631901768</c:v>
                </c:pt>
                <c:pt idx="124">
                  <c:v>0.76687116564417102</c:v>
                </c:pt>
                <c:pt idx="125">
                  <c:v>0.77300613496932435</c:v>
                </c:pt>
                <c:pt idx="126">
                  <c:v>0.77914110429447769</c:v>
                </c:pt>
                <c:pt idx="127">
                  <c:v>0.78527607361963103</c:v>
                </c:pt>
                <c:pt idx="128">
                  <c:v>0.79141104294478437</c:v>
                </c:pt>
                <c:pt idx="129">
                  <c:v>0.79754601226993771</c:v>
                </c:pt>
                <c:pt idx="130">
                  <c:v>0.80368098159509105</c:v>
                </c:pt>
                <c:pt idx="131">
                  <c:v>0.80981595092024439</c:v>
                </c:pt>
                <c:pt idx="132">
                  <c:v>0.81595092024539773</c:v>
                </c:pt>
                <c:pt idx="133">
                  <c:v>0.82208588957055106</c:v>
                </c:pt>
                <c:pt idx="134">
                  <c:v>0.8282208588957044</c:v>
                </c:pt>
                <c:pt idx="135">
                  <c:v>0.83435582822085774</c:v>
                </c:pt>
                <c:pt idx="136">
                  <c:v>0.84049079754601108</c:v>
                </c:pt>
                <c:pt idx="137">
                  <c:v>0.84662576687116442</c:v>
                </c:pt>
                <c:pt idx="138">
                  <c:v>0.85276073619631776</c:v>
                </c:pt>
                <c:pt idx="139">
                  <c:v>0.8588957055214711</c:v>
                </c:pt>
                <c:pt idx="140">
                  <c:v>0.86503067484662444</c:v>
                </c:pt>
                <c:pt idx="141">
                  <c:v>0.87116564417177778</c:v>
                </c:pt>
                <c:pt idx="142">
                  <c:v>0.87730061349693111</c:v>
                </c:pt>
                <c:pt idx="143">
                  <c:v>0.88343558282208445</c:v>
                </c:pt>
                <c:pt idx="144">
                  <c:v>0.88957055214723779</c:v>
                </c:pt>
                <c:pt idx="145">
                  <c:v>0.89570552147239113</c:v>
                </c:pt>
                <c:pt idx="146">
                  <c:v>0.90184049079754447</c:v>
                </c:pt>
                <c:pt idx="147">
                  <c:v>0.90797546012269781</c:v>
                </c:pt>
                <c:pt idx="148">
                  <c:v>0.91411042944785115</c:v>
                </c:pt>
                <c:pt idx="149">
                  <c:v>0.92024539877300449</c:v>
                </c:pt>
                <c:pt idx="150">
                  <c:v>0.92638036809815782</c:v>
                </c:pt>
                <c:pt idx="151">
                  <c:v>0.93251533742331116</c:v>
                </c:pt>
                <c:pt idx="152">
                  <c:v>0.9386503067484645</c:v>
                </c:pt>
                <c:pt idx="153">
                  <c:v>0.94478527607361784</c:v>
                </c:pt>
                <c:pt idx="154">
                  <c:v>0.95092024539877118</c:v>
                </c:pt>
                <c:pt idx="155">
                  <c:v>0.95705521472392452</c:v>
                </c:pt>
                <c:pt idx="156">
                  <c:v>0.96319018404907786</c:v>
                </c:pt>
                <c:pt idx="157">
                  <c:v>0.9693251533742312</c:v>
                </c:pt>
                <c:pt idx="158">
                  <c:v>0.97546012269938454</c:v>
                </c:pt>
                <c:pt idx="159">
                  <c:v>0.98159509202453787</c:v>
                </c:pt>
                <c:pt idx="160">
                  <c:v>0.98773006134969121</c:v>
                </c:pt>
                <c:pt idx="161">
                  <c:v>0.99386503067484455</c:v>
                </c:pt>
                <c:pt idx="162">
                  <c:v>0.99999999999999789</c:v>
                </c:pt>
              </c:numCache>
            </c:numRef>
          </c:xVal>
          <c:yVal>
            <c:numRef>
              <c:f>'Footprint Trees'!$AB$172:$AB$334</c:f>
              <c:numCache>
                <c:formatCode>General</c:formatCode>
                <c:ptCount val="163"/>
                <c:pt idx="0">
                  <c:v>6.1349693251533744E-3</c:v>
                </c:pt>
                <c:pt idx="1">
                  <c:v>1.2269938650306749E-2</c:v>
                </c:pt>
                <c:pt idx="2">
                  <c:v>1.8404907975460124E-2</c:v>
                </c:pt>
                <c:pt idx="3">
                  <c:v>2.4539877300613498E-2</c:v>
                </c:pt>
                <c:pt idx="4">
                  <c:v>3.0674846625766871E-2</c:v>
                </c:pt>
                <c:pt idx="5">
                  <c:v>3.6809815950920248E-2</c:v>
                </c:pt>
                <c:pt idx="6">
                  <c:v>4.2944785276073622E-2</c:v>
                </c:pt>
                <c:pt idx="7">
                  <c:v>4.9079754601226995E-2</c:v>
                </c:pt>
                <c:pt idx="8">
                  <c:v>5.5214723926380369E-2</c:v>
                </c:pt>
                <c:pt idx="9">
                  <c:v>6.1349693251533742E-2</c:v>
                </c:pt>
                <c:pt idx="10">
                  <c:v>6.7484662576687116E-2</c:v>
                </c:pt>
                <c:pt idx="11">
                  <c:v>7.3619631901840496E-2</c:v>
                </c:pt>
                <c:pt idx="12">
                  <c:v>7.9754601226993876E-2</c:v>
                </c:pt>
                <c:pt idx="13">
                  <c:v>8.5889570552147257E-2</c:v>
                </c:pt>
                <c:pt idx="14">
                  <c:v>9.2024539877300637E-2</c:v>
                </c:pt>
                <c:pt idx="15">
                  <c:v>9.8159509202454018E-2</c:v>
                </c:pt>
                <c:pt idx="16">
                  <c:v>0.1042944785276074</c:v>
                </c:pt>
                <c:pt idx="17">
                  <c:v>0.11042944785276078</c:v>
                </c:pt>
                <c:pt idx="18">
                  <c:v>0.11656441717791416</c:v>
                </c:pt>
                <c:pt idx="19">
                  <c:v>0.12269938650306754</c:v>
                </c:pt>
                <c:pt idx="20">
                  <c:v>0.12883435582822092</c:v>
                </c:pt>
                <c:pt idx="21">
                  <c:v>0.13496932515337429</c:v>
                </c:pt>
                <c:pt idx="22">
                  <c:v>0.14110429447852765</c:v>
                </c:pt>
                <c:pt idx="23">
                  <c:v>0.14723926380368102</c:v>
                </c:pt>
                <c:pt idx="24">
                  <c:v>0.15337423312883439</c:v>
                </c:pt>
                <c:pt idx="25">
                  <c:v>0.15950920245398775</c:v>
                </c:pt>
                <c:pt idx="26">
                  <c:v>0.16564417177914112</c:v>
                </c:pt>
                <c:pt idx="27">
                  <c:v>0.17177914110429449</c:v>
                </c:pt>
                <c:pt idx="28">
                  <c:v>0.17791411042944785</c:v>
                </c:pt>
                <c:pt idx="29">
                  <c:v>0.18404907975460122</c:v>
                </c:pt>
                <c:pt idx="30">
                  <c:v>0.19018404907975459</c:v>
                </c:pt>
                <c:pt idx="31">
                  <c:v>0.19631901840490795</c:v>
                </c:pt>
                <c:pt idx="32">
                  <c:v>0.20245398773006132</c:v>
                </c:pt>
                <c:pt idx="33">
                  <c:v>0.20858895705521469</c:v>
                </c:pt>
                <c:pt idx="34">
                  <c:v>0.21472392638036805</c:v>
                </c:pt>
                <c:pt idx="35">
                  <c:v>0.22085889570552142</c:v>
                </c:pt>
                <c:pt idx="36">
                  <c:v>0.22699386503067479</c:v>
                </c:pt>
                <c:pt idx="37">
                  <c:v>0.23312883435582815</c:v>
                </c:pt>
                <c:pt idx="38">
                  <c:v>0.23926380368098152</c:v>
                </c:pt>
                <c:pt idx="39">
                  <c:v>0.24539877300613488</c:v>
                </c:pt>
                <c:pt idx="40">
                  <c:v>0.25153374233128828</c:v>
                </c:pt>
                <c:pt idx="41">
                  <c:v>0.25766871165644167</c:v>
                </c:pt>
                <c:pt idx="42">
                  <c:v>0.26380368098159507</c:v>
                </c:pt>
                <c:pt idx="43">
                  <c:v>0.26993865030674846</c:v>
                </c:pt>
                <c:pt idx="44">
                  <c:v>0.27607361963190186</c:v>
                </c:pt>
                <c:pt idx="45">
                  <c:v>0.28220858895705525</c:v>
                </c:pt>
                <c:pt idx="46">
                  <c:v>0.28834355828220865</c:v>
                </c:pt>
                <c:pt idx="47">
                  <c:v>0.29447852760736204</c:v>
                </c:pt>
                <c:pt idx="48">
                  <c:v>0.30061349693251543</c:v>
                </c:pt>
                <c:pt idx="49">
                  <c:v>0.30674846625766883</c:v>
                </c:pt>
                <c:pt idx="50">
                  <c:v>0.31288343558282222</c:v>
                </c:pt>
                <c:pt idx="51">
                  <c:v>0.31901840490797562</c:v>
                </c:pt>
                <c:pt idx="52">
                  <c:v>0.32515337423312901</c:v>
                </c:pt>
                <c:pt idx="53">
                  <c:v>0.33128834355828241</c:v>
                </c:pt>
                <c:pt idx="54">
                  <c:v>0.3374233128834358</c:v>
                </c:pt>
                <c:pt idx="55">
                  <c:v>0.34355828220858919</c:v>
                </c:pt>
                <c:pt idx="56">
                  <c:v>0.34969325153374259</c:v>
                </c:pt>
                <c:pt idx="57">
                  <c:v>0.35582822085889598</c:v>
                </c:pt>
                <c:pt idx="58">
                  <c:v>0.36196319018404938</c:v>
                </c:pt>
                <c:pt idx="59">
                  <c:v>0.36809815950920277</c:v>
                </c:pt>
                <c:pt idx="60">
                  <c:v>0.37423312883435617</c:v>
                </c:pt>
                <c:pt idx="61">
                  <c:v>0.38036809815950956</c:v>
                </c:pt>
                <c:pt idx="62">
                  <c:v>0.38650306748466295</c:v>
                </c:pt>
                <c:pt idx="63">
                  <c:v>0.39263803680981635</c:v>
                </c:pt>
                <c:pt idx="64">
                  <c:v>0.39877300613496974</c:v>
                </c:pt>
                <c:pt idx="65">
                  <c:v>0.40490797546012314</c:v>
                </c:pt>
                <c:pt idx="66">
                  <c:v>0.41104294478527653</c:v>
                </c:pt>
                <c:pt idx="67">
                  <c:v>0.41717791411042993</c:v>
                </c:pt>
                <c:pt idx="68">
                  <c:v>0.42331288343558332</c:v>
                </c:pt>
                <c:pt idx="69">
                  <c:v>0.42944785276073671</c:v>
                </c:pt>
                <c:pt idx="70">
                  <c:v>0.43558282208589011</c:v>
                </c:pt>
                <c:pt idx="71">
                  <c:v>0.4417177914110435</c:v>
                </c:pt>
                <c:pt idx="72">
                  <c:v>0.4478527607361969</c:v>
                </c:pt>
                <c:pt idx="73">
                  <c:v>0.45398773006135029</c:v>
                </c:pt>
                <c:pt idx="74">
                  <c:v>0.46012269938650369</c:v>
                </c:pt>
                <c:pt idx="75">
                  <c:v>0.46625766871165708</c:v>
                </c:pt>
                <c:pt idx="76">
                  <c:v>0.47239263803681047</c:v>
                </c:pt>
                <c:pt idx="77">
                  <c:v>0.47852760736196387</c:v>
                </c:pt>
                <c:pt idx="78">
                  <c:v>0.48466257668711726</c:v>
                </c:pt>
                <c:pt idx="79">
                  <c:v>0.49079754601227066</c:v>
                </c:pt>
                <c:pt idx="80">
                  <c:v>0.49693251533742405</c:v>
                </c:pt>
                <c:pt idx="81">
                  <c:v>0.50306748466257745</c:v>
                </c:pt>
                <c:pt idx="82">
                  <c:v>0.50920245398773079</c:v>
                </c:pt>
                <c:pt idx="83">
                  <c:v>0.51533742331288412</c:v>
                </c:pt>
                <c:pt idx="84">
                  <c:v>0.52147239263803746</c:v>
                </c:pt>
                <c:pt idx="85">
                  <c:v>0.5276073619631908</c:v>
                </c:pt>
                <c:pt idx="86">
                  <c:v>0.53374233128834414</c:v>
                </c:pt>
                <c:pt idx="87">
                  <c:v>0.53987730061349748</c:v>
                </c:pt>
                <c:pt idx="88">
                  <c:v>0.54601226993865082</c:v>
                </c:pt>
                <c:pt idx="89">
                  <c:v>0.55214723926380416</c:v>
                </c:pt>
                <c:pt idx="90">
                  <c:v>0.5582822085889575</c:v>
                </c:pt>
                <c:pt idx="91">
                  <c:v>0.56441717791411083</c:v>
                </c:pt>
                <c:pt idx="92">
                  <c:v>0.57055214723926417</c:v>
                </c:pt>
                <c:pt idx="93">
                  <c:v>0.57668711656441751</c:v>
                </c:pt>
                <c:pt idx="94">
                  <c:v>0.58282208588957085</c:v>
                </c:pt>
                <c:pt idx="95">
                  <c:v>0.58895705521472419</c:v>
                </c:pt>
                <c:pt idx="96">
                  <c:v>0.59509202453987753</c:v>
                </c:pt>
                <c:pt idx="97">
                  <c:v>0.60122699386503087</c:v>
                </c:pt>
                <c:pt idx="98">
                  <c:v>0.60736196319018421</c:v>
                </c:pt>
                <c:pt idx="99">
                  <c:v>0.61349693251533755</c:v>
                </c:pt>
                <c:pt idx="100">
                  <c:v>0.61963190184049088</c:v>
                </c:pt>
                <c:pt idx="101">
                  <c:v>0.62576687116564422</c:v>
                </c:pt>
                <c:pt idx="102">
                  <c:v>0.63190184049079756</c:v>
                </c:pt>
                <c:pt idx="103">
                  <c:v>0.6380368098159509</c:v>
                </c:pt>
                <c:pt idx="104">
                  <c:v>0.64417177914110424</c:v>
                </c:pt>
                <c:pt idx="105">
                  <c:v>0.65030674846625758</c:v>
                </c:pt>
                <c:pt idx="106">
                  <c:v>0.65644171779141092</c:v>
                </c:pt>
                <c:pt idx="107">
                  <c:v>0.66257668711656426</c:v>
                </c:pt>
                <c:pt idx="108">
                  <c:v>0.66871165644171759</c:v>
                </c:pt>
                <c:pt idx="109">
                  <c:v>0.67484662576687093</c:v>
                </c:pt>
                <c:pt idx="110">
                  <c:v>0.68098159509202427</c:v>
                </c:pt>
                <c:pt idx="111">
                  <c:v>0.68711656441717761</c:v>
                </c:pt>
                <c:pt idx="112">
                  <c:v>0.69325153374233095</c:v>
                </c:pt>
                <c:pt idx="113">
                  <c:v>0.69938650306748429</c:v>
                </c:pt>
                <c:pt idx="114">
                  <c:v>0.70552147239263763</c:v>
                </c:pt>
                <c:pt idx="115">
                  <c:v>0.71165644171779097</c:v>
                </c:pt>
                <c:pt idx="116">
                  <c:v>0.71779141104294431</c:v>
                </c:pt>
                <c:pt idx="117">
                  <c:v>0.72392638036809764</c:v>
                </c:pt>
                <c:pt idx="118">
                  <c:v>0.73006134969325098</c:v>
                </c:pt>
                <c:pt idx="119">
                  <c:v>0.73619631901840432</c:v>
                </c:pt>
                <c:pt idx="120">
                  <c:v>0.74233128834355766</c:v>
                </c:pt>
                <c:pt idx="121">
                  <c:v>0.748466257668711</c:v>
                </c:pt>
                <c:pt idx="122">
                  <c:v>0.75460122699386434</c:v>
                </c:pt>
                <c:pt idx="123">
                  <c:v>0.76073619631901768</c:v>
                </c:pt>
                <c:pt idx="124">
                  <c:v>0.76687116564417102</c:v>
                </c:pt>
                <c:pt idx="125">
                  <c:v>0.77300613496932435</c:v>
                </c:pt>
                <c:pt idx="126">
                  <c:v>0.77914110429447769</c:v>
                </c:pt>
                <c:pt idx="127">
                  <c:v>0.78527607361963103</c:v>
                </c:pt>
                <c:pt idx="128">
                  <c:v>0.79141104294478437</c:v>
                </c:pt>
                <c:pt idx="129">
                  <c:v>0.79754601226993771</c:v>
                </c:pt>
                <c:pt idx="130">
                  <c:v>0.80368098159509105</c:v>
                </c:pt>
                <c:pt idx="131">
                  <c:v>0.80981595092024439</c:v>
                </c:pt>
                <c:pt idx="132">
                  <c:v>0.81595092024539773</c:v>
                </c:pt>
                <c:pt idx="133">
                  <c:v>0.82208588957055106</c:v>
                </c:pt>
                <c:pt idx="134">
                  <c:v>0.8282208588957044</c:v>
                </c:pt>
                <c:pt idx="135">
                  <c:v>0.83435582822085774</c:v>
                </c:pt>
                <c:pt idx="136">
                  <c:v>0.84049079754601108</c:v>
                </c:pt>
                <c:pt idx="137">
                  <c:v>0.84662576687116442</c:v>
                </c:pt>
                <c:pt idx="138">
                  <c:v>0.85276073619631776</c:v>
                </c:pt>
                <c:pt idx="139">
                  <c:v>0.8588957055214711</c:v>
                </c:pt>
                <c:pt idx="140">
                  <c:v>0.86503067484662444</c:v>
                </c:pt>
                <c:pt idx="141">
                  <c:v>0.87116564417177778</c:v>
                </c:pt>
                <c:pt idx="142">
                  <c:v>0.87730061349693111</c:v>
                </c:pt>
                <c:pt idx="143">
                  <c:v>0.88343558282208445</c:v>
                </c:pt>
                <c:pt idx="144">
                  <c:v>0.88957055214723779</c:v>
                </c:pt>
                <c:pt idx="145">
                  <c:v>0.89570552147239113</c:v>
                </c:pt>
                <c:pt idx="146">
                  <c:v>0.90184049079754447</c:v>
                </c:pt>
                <c:pt idx="147">
                  <c:v>0.90797546012269781</c:v>
                </c:pt>
                <c:pt idx="148">
                  <c:v>0.91411042944785115</c:v>
                </c:pt>
                <c:pt idx="149">
                  <c:v>0.92024539877300449</c:v>
                </c:pt>
                <c:pt idx="150">
                  <c:v>0.92638036809815782</c:v>
                </c:pt>
                <c:pt idx="151">
                  <c:v>0.93251533742331116</c:v>
                </c:pt>
                <c:pt idx="152">
                  <c:v>0.9386503067484645</c:v>
                </c:pt>
                <c:pt idx="153">
                  <c:v>0.94478527607361784</c:v>
                </c:pt>
                <c:pt idx="154">
                  <c:v>0.95092024539877118</c:v>
                </c:pt>
                <c:pt idx="155">
                  <c:v>0.95705521472392452</c:v>
                </c:pt>
                <c:pt idx="156">
                  <c:v>0.96319018404907786</c:v>
                </c:pt>
                <c:pt idx="157">
                  <c:v>0.9693251533742312</c:v>
                </c:pt>
                <c:pt idx="158">
                  <c:v>0.97546012269938454</c:v>
                </c:pt>
                <c:pt idx="159">
                  <c:v>0.98159509202453787</c:v>
                </c:pt>
                <c:pt idx="160">
                  <c:v>0.98773006134969121</c:v>
                </c:pt>
                <c:pt idx="161">
                  <c:v>0.99386503067484455</c:v>
                </c:pt>
                <c:pt idx="162">
                  <c:v>0.99999999999999789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CB-4FED-A778-255D27112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433159"/>
        <c:axId val="340074503"/>
      </c:scatterChart>
      <c:valAx>
        <c:axId val="34443315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  <a:r>
                  <a:rPr lang="en-US" baseline="0"/>
                  <a:t> Tape DBH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74503"/>
        <c:crosses val="autoZero"/>
        <c:crossBetween val="midCat"/>
      </c:valAx>
      <c:valAx>
        <c:axId val="3400745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WOrking Trees App</a:t>
                </a:r>
                <a:r>
                  <a:rPr lang="en-US" baseline="0"/>
                  <a:t> DBH (ADM Fixed Percent Method) (m)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9308123872003525E-2"/>
              <c:y val="0.25173757324660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33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Equivalent DBH (Diameter Tape vs WT App)</a:t>
            </a:r>
          </a:p>
        </c:rich>
      </c:tx>
      <c:layout>
        <c:manualLayout>
          <c:xMode val="edge"/>
          <c:yMode val="edge"/>
          <c:x val="0.17729152551619295"/>
          <c:y val="2.54628904371246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'Biomass Calcs'!$K$88</c:f>
              <c:strCache>
                <c:ptCount val="1"/>
                <c:pt idx="0">
                  <c:v>WT DBH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8468941382327211E-2"/>
                  <c:y val="-8.95826634236165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'Biomass Calcs'!$J$89:$J$169</c:f>
              <c:numCache>
                <c:formatCode>General</c:formatCode>
                <c:ptCount val="81"/>
                <c:pt idx="0">
                  <c:v>0.29537772427859177</c:v>
                </c:pt>
                <c:pt idx="1">
                  <c:v>0.16699999999999901</c:v>
                </c:pt>
                <c:pt idx="2">
                  <c:v>0.32799999999999901</c:v>
                </c:pt>
                <c:pt idx="3">
                  <c:v>0.97744565066299216</c:v>
                </c:pt>
                <c:pt idx="4">
                  <c:v>0.35699999999999998</c:v>
                </c:pt>
                <c:pt idx="5">
                  <c:v>0.33100000000000002</c:v>
                </c:pt>
                <c:pt idx="6">
                  <c:v>0.98</c:v>
                </c:pt>
                <c:pt idx="7">
                  <c:v>0.36683000149933209</c:v>
                </c:pt>
                <c:pt idx="8">
                  <c:v>6.2E-2</c:v>
                </c:pt>
                <c:pt idx="9">
                  <c:v>0.15855992558020454</c:v>
                </c:pt>
                <c:pt idx="10">
                  <c:v>0.10050000000000001</c:v>
                </c:pt>
                <c:pt idx="11">
                  <c:v>9.5000000000000001E-2</c:v>
                </c:pt>
                <c:pt idx="12">
                  <c:v>0.21232286735064596</c:v>
                </c:pt>
                <c:pt idx="13">
                  <c:v>0.14899999999999999</c:v>
                </c:pt>
                <c:pt idx="14">
                  <c:v>0.104</c:v>
                </c:pt>
                <c:pt idx="15">
                  <c:v>0.33700000000000002</c:v>
                </c:pt>
                <c:pt idx="16">
                  <c:v>0.31900000000000001</c:v>
                </c:pt>
                <c:pt idx="17">
                  <c:v>0.27400000000000002</c:v>
                </c:pt>
                <c:pt idx="18">
                  <c:v>#N/A</c:v>
                </c:pt>
                <c:pt idx="19">
                  <c:v>0.54</c:v>
                </c:pt>
                <c:pt idx="20">
                  <c:v>0.41099999999999998</c:v>
                </c:pt>
                <c:pt idx="21">
                  <c:v>0.318</c:v>
                </c:pt>
                <c:pt idx="22">
                  <c:v>0.57799999999999996</c:v>
                </c:pt>
                <c:pt idx="23">
                  <c:v>0.46899999999999997</c:v>
                </c:pt>
                <c:pt idx="24">
                  <c:v>#N/A</c:v>
                </c:pt>
                <c:pt idx="25">
                  <c:v>0.48199999999999998</c:v>
                </c:pt>
                <c:pt idx="26">
                  <c:v>#N/A</c:v>
                </c:pt>
                <c:pt idx="27">
                  <c:v>#N/A</c:v>
                </c:pt>
                <c:pt idx="28">
                  <c:v>0.55600000000000005</c:v>
                </c:pt>
                <c:pt idx="29">
                  <c:v>0.437</c:v>
                </c:pt>
                <c:pt idx="30">
                  <c:v>0.63856479702532931</c:v>
                </c:pt>
                <c:pt idx="31">
                  <c:v>0.30429919487241502</c:v>
                </c:pt>
                <c:pt idx="32">
                  <c:v>0.52503333227519944</c:v>
                </c:pt>
                <c:pt idx="33">
                  <c:v>#N/A</c:v>
                </c:pt>
                <c:pt idx="34">
                  <c:v>0.44773652966895611</c:v>
                </c:pt>
                <c:pt idx="35">
                  <c:v>0.3788192180974983</c:v>
                </c:pt>
                <c:pt idx="36">
                  <c:v>0.30346169445252891</c:v>
                </c:pt>
                <c:pt idx="37">
                  <c:v>0.32800000000000001</c:v>
                </c:pt>
                <c:pt idx="38">
                  <c:v>0.41292251089036064</c:v>
                </c:pt>
                <c:pt idx="39">
                  <c:v>0.45</c:v>
                </c:pt>
                <c:pt idx="40">
                  <c:v>0.13900000000000001</c:v>
                </c:pt>
                <c:pt idx="41">
                  <c:v>0.73199999999999998</c:v>
                </c:pt>
                <c:pt idx="42">
                  <c:v>0.67389168269092037</c:v>
                </c:pt>
                <c:pt idx="43">
                  <c:v>6.9289248805280035E-2</c:v>
                </c:pt>
                <c:pt idx="44">
                  <c:v>0.629</c:v>
                </c:pt>
                <c:pt idx="45">
                  <c:v>0.59404881954263655</c:v>
                </c:pt>
                <c:pt idx="46">
                  <c:v>0.61081257354445473</c:v>
                </c:pt>
                <c:pt idx="47">
                  <c:v>0.83827740038724585</c:v>
                </c:pt>
                <c:pt idx="48">
                  <c:v>0.836575160998699</c:v>
                </c:pt>
                <c:pt idx="49">
                  <c:v>0.1</c:v>
                </c:pt>
                <c:pt idx="50">
                  <c:v>4.2000000000000003E-2</c:v>
                </c:pt>
                <c:pt idx="51">
                  <c:v>3.1E-2</c:v>
                </c:pt>
                <c:pt idx="52">
                  <c:v>0.123</c:v>
                </c:pt>
                <c:pt idx="53">
                  <c:v>#N/A</c:v>
                </c:pt>
                <c:pt idx="54">
                  <c:v>0.10260116958397697</c:v>
                </c:pt>
                <c:pt idx="55">
                  <c:v>4.2999999999999997E-2</c:v>
                </c:pt>
                <c:pt idx="56">
                  <c:v>0.13400000000000001</c:v>
                </c:pt>
                <c:pt idx="57">
                  <c:v>0.06</c:v>
                </c:pt>
                <c:pt idx="58">
                  <c:v>4.5999999999999999E-2</c:v>
                </c:pt>
                <c:pt idx="59">
                  <c:v>0.746</c:v>
                </c:pt>
                <c:pt idx="60">
                  <c:v>#N/A</c:v>
                </c:pt>
                <c:pt idx="61">
                  <c:v>0.45873630769756996</c:v>
                </c:pt>
                <c:pt idx="62">
                  <c:v>#N/A</c:v>
                </c:pt>
                <c:pt idx="63">
                  <c:v>6.3E-2</c:v>
                </c:pt>
                <c:pt idx="64">
                  <c:v>#N/A</c:v>
                </c:pt>
                <c:pt idx="65">
                  <c:v>#N/A</c:v>
                </c:pt>
                <c:pt idx="66">
                  <c:v>0.14899999999999999</c:v>
                </c:pt>
                <c:pt idx="67">
                  <c:v>#N/A</c:v>
                </c:pt>
                <c:pt idx="68">
                  <c:v>9.8000000000000004E-2</c:v>
                </c:pt>
                <c:pt idx="69">
                  <c:v>0.34200000000000003</c:v>
                </c:pt>
                <c:pt idx="70">
                  <c:v>0.38700000000000001</c:v>
                </c:pt>
                <c:pt idx="71">
                  <c:v>0.2106418761785035</c:v>
                </c:pt>
                <c:pt idx="72">
                  <c:v>#N/A</c:v>
                </c:pt>
                <c:pt idx="73">
                  <c:v>0.16136604351597644</c:v>
                </c:pt>
                <c:pt idx="74">
                  <c:v>0.38286159379075885</c:v>
                </c:pt>
                <c:pt idx="75">
                  <c:v>0.04</c:v>
                </c:pt>
                <c:pt idx="76">
                  <c:v>#N/A</c:v>
                </c:pt>
                <c:pt idx="77">
                  <c:v>0.17699999999999999</c:v>
                </c:pt>
                <c:pt idx="78">
                  <c:v>#N/A</c:v>
                </c:pt>
                <c:pt idx="79">
                  <c:v>#N/A</c:v>
                </c:pt>
                <c:pt idx="80">
                  <c:v>2.7E-2</c:v>
                </c:pt>
              </c:numCache>
            </c:numRef>
          </c:xVal>
          <c:yVal>
            <c:numRef>
              <c:f>'Biomass Calcs'!$K$89:$K$169</c:f>
              <c:numCache>
                <c:formatCode>General</c:formatCode>
                <c:ptCount val="81"/>
                <c:pt idx="0">
                  <c:v>0.26250847860996457</c:v>
                </c:pt>
                <c:pt idx="1">
                  <c:v>0.17142462468964201</c:v>
                </c:pt>
                <c:pt idx="2">
                  <c:v>0.32065579972712399</c:v>
                </c:pt>
                <c:pt idx="3">
                  <c:v>0.81144906992620658</c:v>
                </c:pt>
                <c:pt idx="4">
                  <c:v>8.4026724883578E-2</c:v>
                </c:pt>
                <c:pt idx="5">
                  <c:v>0.32580039488486101</c:v>
                </c:pt>
                <c:pt idx="6">
                  <c:v>0.95415399999999995</c:v>
                </c:pt>
                <c:pt idx="7">
                  <c:v>0.43854785542401187</c:v>
                </c:pt>
                <c:pt idx="8">
                  <c:v>7.5853000000000004E-2</c:v>
                </c:pt>
                <c:pt idx="9">
                  <c:v>0.14711550019287567</c:v>
                </c:pt>
                <c:pt idx="10">
                  <c:v>9.8658999999999997E-2</c:v>
                </c:pt>
                <c:pt idx="11">
                  <c:v>3.2521000000000001E-2</c:v>
                </c:pt>
                <c:pt idx="12">
                  <c:v>0.19994032073596363</c:v>
                </c:pt>
                <c:pt idx="13">
                  <c:v>0.17761199999999999</c:v>
                </c:pt>
                <c:pt idx="14">
                  <c:v>8.6301000000000003E-2</c:v>
                </c:pt>
                <c:pt idx="15">
                  <c:v>0.31379400000000002</c:v>
                </c:pt>
                <c:pt idx="16">
                  <c:v>0.26653300000000002</c:v>
                </c:pt>
                <c:pt idx="17">
                  <c:v>0.52017199999999997</c:v>
                </c:pt>
                <c:pt idx="18">
                  <c:v>#N/A</c:v>
                </c:pt>
                <c:pt idx="19">
                  <c:v>0.50263159058756701</c:v>
                </c:pt>
                <c:pt idx="20">
                  <c:v>0.39947534756974001</c:v>
                </c:pt>
                <c:pt idx="21">
                  <c:v>0.290196681076764</c:v>
                </c:pt>
                <c:pt idx="22">
                  <c:v>0.57481053796556703</c:v>
                </c:pt>
                <c:pt idx="23">
                  <c:v>0.359674810764049</c:v>
                </c:pt>
                <c:pt idx="24">
                  <c:v>0</c:v>
                </c:pt>
                <c:pt idx="25">
                  <c:v>0.43879488173376602</c:v>
                </c:pt>
                <c:pt idx="26">
                  <c:v>#N/A</c:v>
                </c:pt>
                <c:pt idx="27">
                  <c:v>#N/A</c:v>
                </c:pt>
                <c:pt idx="28">
                  <c:v>0.52420286499511304</c:v>
                </c:pt>
                <c:pt idx="29">
                  <c:v>0.448922766648643</c:v>
                </c:pt>
                <c:pt idx="30">
                  <c:v>0.61061580782171276</c:v>
                </c:pt>
                <c:pt idx="31">
                  <c:v>0.31250432941480988</c:v>
                </c:pt>
                <c:pt idx="32">
                  <c:v>0.47589148703207512</c:v>
                </c:pt>
                <c:pt idx="33">
                  <c:v>#N/A</c:v>
                </c:pt>
                <c:pt idx="34">
                  <c:v>0.40575123337985436</c:v>
                </c:pt>
                <c:pt idx="35">
                  <c:v>0.337008559451065</c:v>
                </c:pt>
                <c:pt idx="36">
                  <c:v>0.29885026967557526</c:v>
                </c:pt>
                <c:pt idx="37">
                  <c:v>0.30838308026487399</c:v>
                </c:pt>
                <c:pt idx="38">
                  <c:v>0.38514455751494053</c:v>
                </c:pt>
                <c:pt idx="39">
                  <c:v>0.41157524853162902</c:v>
                </c:pt>
                <c:pt idx="40">
                  <c:v>0.11365509998630099</c:v>
                </c:pt>
                <c:pt idx="41">
                  <c:v>0.69444430196134599</c:v>
                </c:pt>
                <c:pt idx="42">
                  <c:v>0.56310853136793249</c:v>
                </c:pt>
                <c:pt idx="43">
                  <c:v>#N/A</c:v>
                </c:pt>
                <c:pt idx="44">
                  <c:v>0.61544881485006497</c:v>
                </c:pt>
                <c:pt idx="45">
                  <c:v>0.54802051731561352</c:v>
                </c:pt>
                <c:pt idx="46">
                  <c:v>0.51702523988146742</c:v>
                </c:pt>
                <c:pt idx="47">
                  <c:v>0.82021094865869382</c:v>
                </c:pt>
                <c:pt idx="48">
                  <c:v>0.75325191821260917</c:v>
                </c:pt>
                <c:pt idx="49">
                  <c:v>0.11525100000000001</c:v>
                </c:pt>
                <c:pt idx="50">
                  <c:v>5.5622999999999999E-2</c:v>
                </c:pt>
                <c:pt idx="51">
                  <c:v>7.1114999999999998E-2</c:v>
                </c:pt>
                <c:pt idx="52">
                  <c:v>0.13206499999999999</c:v>
                </c:pt>
                <c:pt idx="53">
                  <c:v>#N/A</c:v>
                </c:pt>
                <c:pt idx="54">
                  <c:v>0.14129018866856963</c:v>
                </c:pt>
                <c:pt idx="55">
                  <c:v>5.3754999999999997E-2</c:v>
                </c:pt>
                <c:pt idx="56">
                  <c:v>0.128414</c:v>
                </c:pt>
                <c:pt idx="57">
                  <c:v>5.8106999999999999E-2</c:v>
                </c:pt>
                <c:pt idx="58">
                  <c:v>5.2110999999999998E-2</c:v>
                </c:pt>
                <c:pt idx="59">
                  <c:v>0.72011899999999995</c:v>
                </c:pt>
                <c:pt idx="60">
                  <c:v>7.26102747168033E-2</c:v>
                </c:pt>
                <c:pt idx="61">
                  <c:v>0.40570165475602199</c:v>
                </c:pt>
                <c:pt idx="62">
                  <c:v>0.232445329431301</c:v>
                </c:pt>
                <c:pt idx="63">
                  <c:v>7.7751000000000001E-2</c:v>
                </c:pt>
                <c:pt idx="64">
                  <c:v>9.0177999999999994E-2</c:v>
                </c:pt>
                <c:pt idx="65">
                  <c:v>5.4230102218448401E-2</c:v>
                </c:pt>
                <c:pt idx="66">
                  <c:v>0.15962999999999999</c:v>
                </c:pt>
                <c:pt idx="67">
                  <c:v>9.7415755709861995E-2</c:v>
                </c:pt>
                <c:pt idx="68">
                  <c:v>9.91045572118541E-2</c:v>
                </c:pt>
                <c:pt idx="69">
                  <c:v>0.31484960302383502</c:v>
                </c:pt>
                <c:pt idx="70">
                  <c:v>0.376305840101119</c:v>
                </c:pt>
                <c:pt idx="71">
                  <c:v>0.24117363308149423</c:v>
                </c:pt>
                <c:pt idx="72">
                  <c:v>5.6307791381785002E-2</c:v>
                </c:pt>
                <c:pt idx="73">
                  <c:v>0.14718126570193071</c:v>
                </c:pt>
                <c:pt idx="74">
                  <c:v>0.31015289365180687</c:v>
                </c:pt>
                <c:pt idx="75">
                  <c:v>5.3779423694049797E-2</c:v>
                </c:pt>
                <c:pt idx="76">
                  <c:v>0.13472003303803801</c:v>
                </c:pt>
                <c:pt idx="77">
                  <c:v>0.14835543995387299</c:v>
                </c:pt>
                <c:pt idx="78">
                  <c:v>#N/A</c:v>
                </c:pt>
                <c:pt idx="79">
                  <c:v>5.82884209744551E-2</c:v>
                </c:pt>
                <c:pt idx="80">
                  <c:v>2.9136229293112399E-2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D1-4F24-821E-09833300A0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flat" cmpd="sng" algn="ctr">
                <a:solidFill>
                  <a:srgbClr val="ED7D31"/>
                </a:solidFill>
                <a:prstDash val="lgDash"/>
                <a:round/>
                <a:headEnd type="none" w="med" len="med"/>
                <a:tailEnd type="none" w="med" len="me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'Biomass Calcs'!Y89:Y169</c:f>
              <c:numCache>
                <c:formatCode>#,##0.00</c:formatCode>
                <c:ptCount val="81"/>
                <c:pt idx="0">
                  <c:v>1.2345679012345678E-2</c:v>
                </c:pt>
                <c:pt idx="1">
                  <c:v>2.4691358024691357E-2</c:v>
                </c:pt>
                <c:pt idx="2">
                  <c:v>3.7037037037037035E-2</c:v>
                </c:pt>
                <c:pt idx="3">
                  <c:v>4.9382716049382713E-2</c:v>
                </c:pt>
                <c:pt idx="4">
                  <c:v>6.1728395061728392E-2</c:v>
                </c:pt>
                <c:pt idx="5">
                  <c:v>7.407407407407407E-2</c:v>
                </c:pt>
                <c:pt idx="6">
                  <c:v>8.6419753086419748E-2</c:v>
                </c:pt>
                <c:pt idx="7">
                  <c:v>9.8765432098765427E-2</c:v>
                </c:pt>
                <c:pt idx="8">
                  <c:v>0.1111111111111111</c:v>
                </c:pt>
                <c:pt idx="9">
                  <c:v>0.12345679012345678</c:v>
                </c:pt>
                <c:pt idx="10">
                  <c:v>0.13580246913580246</c:v>
                </c:pt>
                <c:pt idx="11">
                  <c:v>0.14814814814814814</c:v>
                </c:pt>
                <c:pt idx="12">
                  <c:v>0.16049382716049382</c:v>
                </c:pt>
                <c:pt idx="13">
                  <c:v>0.1728395061728395</c:v>
                </c:pt>
                <c:pt idx="14">
                  <c:v>0.18518518518518517</c:v>
                </c:pt>
                <c:pt idx="15">
                  <c:v>0.19753086419753085</c:v>
                </c:pt>
                <c:pt idx="16">
                  <c:v>0.20987654320987653</c:v>
                </c:pt>
                <c:pt idx="17">
                  <c:v>0.22222222222222221</c:v>
                </c:pt>
                <c:pt idx="18">
                  <c:v>0.23456790123456789</c:v>
                </c:pt>
                <c:pt idx="19">
                  <c:v>0.24691358024691357</c:v>
                </c:pt>
                <c:pt idx="20">
                  <c:v>0.25925925925925924</c:v>
                </c:pt>
                <c:pt idx="21">
                  <c:v>0.27160493827160492</c:v>
                </c:pt>
                <c:pt idx="22">
                  <c:v>0.2839506172839506</c:v>
                </c:pt>
                <c:pt idx="23">
                  <c:v>0.29629629629629628</c:v>
                </c:pt>
                <c:pt idx="24">
                  <c:v>0.30864197530864196</c:v>
                </c:pt>
                <c:pt idx="25">
                  <c:v>0.32098765432098764</c:v>
                </c:pt>
                <c:pt idx="26">
                  <c:v>0.33333333333333331</c:v>
                </c:pt>
                <c:pt idx="27">
                  <c:v>0.34567901234567899</c:v>
                </c:pt>
                <c:pt idx="28">
                  <c:v>0.35802469135802467</c:v>
                </c:pt>
                <c:pt idx="29">
                  <c:v>0.37037037037037035</c:v>
                </c:pt>
                <c:pt idx="30">
                  <c:v>0.38271604938271603</c:v>
                </c:pt>
                <c:pt idx="31">
                  <c:v>0.39506172839506171</c:v>
                </c:pt>
                <c:pt idx="32">
                  <c:v>0.40740740740740738</c:v>
                </c:pt>
                <c:pt idx="33">
                  <c:v>0.41975308641975306</c:v>
                </c:pt>
                <c:pt idx="34">
                  <c:v>0.43209876543209874</c:v>
                </c:pt>
                <c:pt idx="35">
                  <c:v>0.44444444444444442</c:v>
                </c:pt>
                <c:pt idx="36">
                  <c:v>0.4567901234567901</c:v>
                </c:pt>
                <c:pt idx="37">
                  <c:v>0.46913580246913578</c:v>
                </c:pt>
                <c:pt idx="38">
                  <c:v>0.48148148148148145</c:v>
                </c:pt>
                <c:pt idx="39">
                  <c:v>0.49382716049382713</c:v>
                </c:pt>
                <c:pt idx="40">
                  <c:v>0.50617283950617287</c:v>
                </c:pt>
                <c:pt idx="41">
                  <c:v>0.5185185185185186</c:v>
                </c:pt>
                <c:pt idx="42">
                  <c:v>0.53086419753086433</c:v>
                </c:pt>
                <c:pt idx="43">
                  <c:v>0.54320987654321007</c:v>
                </c:pt>
                <c:pt idx="44">
                  <c:v>0.5555555555555558</c:v>
                </c:pt>
                <c:pt idx="45">
                  <c:v>0.56790123456790154</c:v>
                </c:pt>
                <c:pt idx="46">
                  <c:v>0.58024691358024727</c:v>
                </c:pt>
                <c:pt idx="47">
                  <c:v>0.592592592592593</c:v>
                </c:pt>
                <c:pt idx="48">
                  <c:v>0.60493827160493874</c:v>
                </c:pt>
                <c:pt idx="49">
                  <c:v>0.61728395061728447</c:v>
                </c:pt>
                <c:pt idx="50">
                  <c:v>0.62962962962963021</c:v>
                </c:pt>
                <c:pt idx="51">
                  <c:v>0.64197530864197594</c:v>
                </c:pt>
                <c:pt idx="52">
                  <c:v>0.65432098765432167</c:v>
                </c:pt>
                <c:pt idx="53">
                  <c:v>0.66666666666666741</c:v>
                </c:pt>
                <c:pt idx="54">
                  <c:v>0.67901234567901314</c:v>
                </c:pt>
                <c:pt idx="55">
                  <c:v>0.69135802469135887</c:v>
                </c:pt>
                <c:pt idx="56">
                  <c:v>0.70370370370370461</c:v>
                </c:pt>
                <c:pt idx="57">
                  <c:v>0.71604938271605034</c:v>
                </c:pt>
                <c:pt idx="58">
                  <c:v>0.72839506172839608</c:v>
                </c:pt>
                <c:pt idx="59">
                  <c:v>0.74074074074074181</c:v>
                </c:pt>
                <c:pt idx="60">
                  <c:v>0.75308641975308754</c:v>
                </c:pt>
                <c:pt idx="61">
                  <c:v>0.76543209876543328</c:v>
                </c:pt>
                <c:pt idx="62">
                  <c:v>0.77777777777777901</c:v>
                </c:pt>
                <c:pt idx="63">
                  <c:v>0.79012345679012475</c:v>
                </c:pt>
                <c:pt idx="64">
                  <c:v>0.80246913580247048</c:v>
                </c:pt>
                <c:pt idx="65">
                  <c:v>0.81481481481481621</c:v>
                </c:pt>
                <c:pt idx="66">
                  <c:v>0.82716049382716195</c:v>
                </c:pt>
                <c:pt idx="67">
                  <c:v>0.83950617283950768</c:v>
                </c:pt>
                <c:pt idx="68">
                  <c:v>0.85185185185185341</c:v>
                </c:pt>
                <c:pt idx="69">
                  <c:v>0.86419753086419915</c:v>
                </c:pt>
                <c:pt idx="70">
                  <c:v>0.87654320987654488</c:v>
                </c:pt>
                <c:pt idx="71">
                  <c:v>0.88888888888889062</c:v>
                </c:pt>
                <c:pt idx="72">
                  <c:v>0.90123456790123635</c:v>
                </c:pt>
                <c:pt idx="73">
                  <c:v>0.91358024691358208</c:v>
                </c:pt>
                <c:pt idx="74">
                  <c:v>0.92592592592592782</c:v>
                </c:pt>
                <c:pt idx="75">
                  <c:v>0.93827160493827355</c:v>
                </c:pt>
                <c:pt idx="76">
                  <c:v>0.95061728395061929</c:v>
                </c:pt>
                <c:pt idx="77">
                  <c:v>0.96296296296296502</c:v>
                </c:pt>
                <c:pt idx="78">
                  <c:v>0.97530864197531075</c:v>
                </c:pt>
                <c:pt idx="79">
                  <c:v>0.98765432098765649</c:v>
                </c:pt>
                <c:pt idx="80">
                  <c:v>1.0000000000000022</c:v>
                </c:pt>
              </c:numCache>
            </c:numRef>
          </c:xVal>
          <c:yVal>
            <c:numRef>
              <c:f>'Biomass Calcs'!Z89:Z169</c:f>
              <c:numCache>
                <c:formatCode>#,##0.00</c:formatCode>
                <c:ptCount val="81"/>
                <c:pt idx="0">
                  <c:v>1.2345679012345678E-2</c:v>
                </c:pt>
                <c:pt idx="1">
                  <c:v>2.4691358024691357E-2</c:v>
                </c:pt>
                <c:pt idx="2">
                  <c:v>3.7037037037037035E-2</c:v>
                </c:pt>
                <c:pt idx="3">
                  <c:v>4.9382716049382713E-2</c:v>
                </c:pt>
                <c:pt idx="4">
                  <c:v>6.1728395061728392E-2</c:v>
                </c:pt>
                <c:pt idx="5">
                  <c:v>7.407407407407407E-2</c:v>
                </c:pt>
                <c:pt idx="6">
                  <c:v>8.6419753086419748E-2</c:v>
                </c:pt>
                <c:pt idx="7">
                  <c:v>9.8765432098765427E-2</c:v>
                </c:pt>
                <c:pt idx="8">
                  <c:v>0.1111111111111111</c:v>
                </c:pt>
                <c:pt idx="9">
                  <c:v>0.12345679012345678</c:v>
                </c:pt>
                <c:pt idx="10">
                  <c:v>0.13580246913580246</c:v>
                </c:pt>
                <c:pt idx="11">
                  <c:v>0.14814814814814814</c:v>
                </c:pt>
                <c:pt idx="12">
                  <c:v>0.16049382716049382</c:v>
                </c:pt>
                <c:pt idx="13">
                  <c:v>0.1728395061728395</c:v>
                </c:pt>
                <c:pt idx="14">
                  <c:v>0.18518518518518517</c:v>
                </c:pt>
                <c:pt idx="15">
                  <c:v>0.19753086419753085</c:v>
                </c:pt>
                <c:pt idx="16">
                  <c:v>0.20987654320987653</c:v>
                </c:pt>
                <c:pt idx="17">
                  <c:v>0.22222222222222221</c:v>
                </c:pt>
                <c:pt idx="18">
                  <c:v>0.23456790123456789</c:v>
                </c:pt>
                <c:pt idx="19">
                  <c:v>0.24691358024691357</c:v>
                </c:pt>
                <c:pt idx="20">
                  <c:v>0.25925925925925924</c:v>
                </c:pt>
                <c:pt idx="21">
                  <c:v>0.27160493827160492</c:v>
                </c:pt>
                <c:pt idx="22">
                  <c:v>0.2839506172839506</c:v>
                </c:pt>
                <c:pt idx="23">
                  <c:v>0.29629629629629628</c:v>
                </c:pt>
                <c:pt idx="24">
                  <c:v>0.30864197530864196</c:v>
                </c:pt>
                <c:pt idx="25">
                  <c:v>0.32098765432098764</c:v>
                </c:pt>
                <c:pt idx="26">
                  <c:v>0.33333333333333331</c:v>
                </c:pt>
                <c:pt idx="27">
                  <c:v>0.34567901234567899</c:v>
                </c:pt>
                <c:pt idx="28">
                  <c:v>0.35802469135802467</c:v>
                </c:pt>
                <c:pt idx="29">
                  <c:v>0.37037037037037035</c:v>
                </c:pt>
                <c:pt idx="30">
                  <c:v>0.38271604938271603</c:v>
                </c:pt>
                <c:pt idx="31">
                  <c:v>0.39506172839506171</c:v>
                </c:pt>
                <c:pt idx="32">
                  <c:v>0.40740740740740738</c:v>
                </c:pt>
                <c:pt idx="33">
                  <c:v>0.41975308641975306</c:v>
                </c:pt>
                <c:pt idx="34">
                  <c:v>0.43209876543209874</c:v>
                </c:pt>
                <c:pt idx="35">
                  <c:v>0.44444444444444442</c:v>
                </c:pt>
                <c:pt idx="36">
                  <c:v>0.4567901234567901</c:v>
                </c:pt>
                <c:pt idx="37">
                  <c:v>0.46913580246913578</c:v>
                </c:pt>
                <c:pt idx="38">
                  <c:v>0.48148148148148145</c:v>
                </c:pt>
                <c:pt idx="39">
                  <c:v>0.49382716049382713</c:v>
                </c:pt>
                <c:pt idx="40">
                  <c:v>0.50617283950617287</c:v>
                </c:pt>
                <c:pt idx="41">
                  <c:v>0.5185185185185186</c:v>
                </c:pt>
                <c:pt idx="42">
                  <c:v>0.53086419753086433</c:v>
                </c:pt>
                <c:pt idx="43">
                  <c:v>0.54320987654321007</c:v>
                </c:pt>
                <c:pt idx="44">
                  <c:v>0.5555555555555558</c:v>
                </c:pt>
                <c:pt idx="45">
                  <c:v>0.56790123456790154</c:v>
                </c:pt>
                <c:pt idx="46">
                  <c:v>0.58024691358024727</c:v>
                </c:pt>
                <c:pt idx="47">
                  <c:v>0.592592592592593</c:v>
                </c:pt>
                <c:pt idx="48">
                  <c:v>0.60493827160493874</c:v>
                </c:pt>
                <c:pt idx="49">
                  <c:v>0.61728395061728447</c:v>
                </c:pt>
                <c:pt idx="50">
                  <c:v>0.62962962962963021</c:v>
                </c:pt>
                <c:pt idx="51">
                  <c:v>0.64197530864197594</c:v>
                </c:pt>
                <c:pt idx="52">
                  <c:v>0.65432098765432167</c:v>
                </c:pt>
                <c:pt idx="53">
                  <c:v>0.66666666666666741</c:v>
                </c:pt>
                <c:pt idx="54">
                  <c:v>0.67901234567901314</c:v>
                </c:pt>
                <c:pt idx="55">
                  <c:v>0.69135802469135887</c:v>
                </c:pt>
                <c:pt idx="56">
                  <c:v>0.70370370370370461</c:v>
                </c:pt>
                <c:pt idx="57">
                  <c:v>0.71604938271605034</c:v>
                </c:pt>
                <c:pt idx="58">
                  <c:v>0.72839506172839608</c:v>
                </c:pt>
                <c:pt idx="59">
                  <c:v>0.74074074074074181</c:v>
                </c:pt>
                <c:pt idx="60">
                  <c:v>0.75308641975308754</c:v>
                </c:pt>
                <c:pt idx="61">
                  <c:v>0.76543209876543328</c:v>
                </c:pt>
                <c:pt idx="62">
                  <c:v>0.77777777777777901</c:v>
                </c:pt>
                <c:pt idx="63">
                  <c:v>0.79012345679012475</c:v>
                </c:pt>
                <c:pt idx="64">
                  <c:v>0.80246913580247048</c:v>
                </c:pt>
                <c:pt idx="65">
                  <c:v>0.81481481481481621</c:v>
                </c:pt>
                <c:pt idx="66">
                  <c:v>0.82716049382716195</c:v>
                </c:pt>
                <c:pt idx="67">
                  <c:v>0.83950617283950768</c:v>
                </c:pt>
                <c:pt idx="68">
                  <c:v>0.85185185185185341</c:v>
                </c:pt>
                <c:pt idx="69">
                  <c:v>0.86419753086419915</c:v>
                </c:pt>
                <c:pt idx="70">
                  <c:v>0.87654320987654488</c:v>
                </c:pt>
                <c:pt idx="71">
                  <c:v>0.88888888888889062</c:v>
                </c:pt>
                <c:pt idx="72">
                  <c:v>0.90123456790123635</c:v>
                </c:pt>
                <c:pt idx="73">
                  <c:v>0.91358024691358208</c:v>
                </c:pt>
                <c:pt idx="74">
                  <c:v>0.92592592592592782</c:v>
                </c:pt>
                <c:pt idx="75">
                  <c:v>0.93827160493827355</c:v>
                </c:pt>
                <c:pt idx="76">
                  <c:v>0.95061728395061929</c:v>
                </c:pt>
                <c:pt idx="77">
                  <c:v>0.96296296296296502</c:v>
                </c:pt>
                <c:pt idx="78">
                  <c:v>0.97530864197531075</c:v>
                </c:pt>
                <c:pt idx="79">
                  <c:v>0.98765432098765649</c:v>
                </c:pt>
                <c:pt idx="80">
                  <c:v>1.0000000000000022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6D-43E6-A143-82BF5B279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974087"/>
        <c:axId val="744029703"/>
      </c:scatterChart>
      <c:valAx>
        <c:axId val="684974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 Tape DBH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9703"/>
        <c:crosses val="autoZero"/>
        <c:crossBetween val="midCat"/>
      </c:valAx>
      <c:valAx>
        <c:axId val="744029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 DBH (ADM Fixed Percent)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74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Height (Hypsometer vs WT App)</a:t>
            </a:r>
          </a:p>
        </c:rich>
      </c:tx>
      <c:layout>
        <c:manualLayout>
          <c:xMode val="edge"/>
          <c:yMode val="edge"/>
          <c:x val="0.25229155730533681"/>
          <c:y val="2.5462962962962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'Biomass Calcs'!$I$88</c:f>
              <c:strCache>
                <c:ptCount val="1"/>
                <c:pt idx="0">
                  <c:v>WT Height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D3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319860017497813"/>
                  <c:y val="7.015610651974288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'Biomass Calcs'!$H$89:$H$169</c:f>
              <c:numCache>
                <c:formatCode>General</c:formatCode>
                <c:ptCount val="81"/>
                <c:pt idx="0">
                  <c:v>10.8</c:v>
                </c:pt>
                <c:pt idx="1">
                  <c:v>10</c:v>
                </c:pt>
                <c:pt idx="2">
                  <c:v>13.7</c:v>
                </c:pt>
                <c:pt idx="3">
                  <c:v>13.3</c:v>
                </c:pt>
                <c:pt idx="4">
                  <c:v>13.9</c:v>
                </c:pt>
                <c:pt idx="5">
                  <c:v>10.5</c:v>
                </c:pt>
                <c:pt idx="6">
                  <c:v>19.5</c:v>
                </c:pt>
                <c:pt idx="7">
                  <c:v>5.2</c:v>
                </c:pt>
                <c:pt idx="8">
                  <c:v>8.1999999999999993</c:v>
                </c:pt>
                <c:pt idx="9">
                  <c:v>8.1999999999999993</c:v>
                </c:pt>
                <c:pt idx="10">
                  <c:v>4.0999999999999996</c:v>
                </c:pt>
                <c:pt idx="11">
                  <c:v>4.2</c:v>
                </c:pt>
                <c:pt idx="12">
                  <c:v>11.3</c:v>
                </c:pt>
                <c:pt idx="13">
                  <c:v>8.3000000000000007</c:v>
                </c:pt>
                <c:pt idx="14">
                  <c:v>6.2</c:v>
                </c:pt>
                <c:pt idx="15">
                  <c:v>10.5</c:v>
                </c:pt>
                <c:pt idx="16">
                  <c:v>9.6</c:v>
                </c:pt>
                <c:pt idx="17">
                  <c:v>7.7</c:v>
                </c:pt>
                <c:pt idx="18">
                  <c:v>#N/A</c:v>
                </c:pt>
                <c:pt idx="19">
                  <c:v>15</c:v>
                </c:pt>
                <c:pt idx="20">
                  <c:v>13.7</c:v>
                </c:pt>
                <c:pt idx="21">
                  <c:v>12.2</c:v>
                </c:pt>
                <c:pt idx="22">
                  <c:v>4.3</c:v>
                </c:pt>
                <c:pt idx="23">
                  <c:v>23.7</c:v>
                </c:pt>
                <c:pt idx="24">
                  <c:v>6.5</c:v>
                </c:pt>
                <c:pt idx="25">
                  <c:v>7.8</c:v>
                </c:pt>
                <c:pt idx="26">
                  <c:v>#N/A</c:v>
                </c:pt>
                <c:pt idx="27">
                  <c:v>6.2</c:v>
                </c:pt>
                <c:pt idx="28">
                  <c:v>13.1</c:v>
                </c:pt>
                <c:pt idx="29">
                  <c:v>15.2</c:v>
                </c:pt>
                <c:pt idx="30">
                  <c:v>13.5</c:v>
                </c:pt>
                <c:pt idx="31">
                  <c:v>5.0999999999999996</c:v>
                </c:pt>
                <c:pt idx="32">
                  <c:v>12.4</c:v>
                </c:pt>
                <c:pt idx="33">
                  <c:v>4.2</c:v>
                </c:pt>
                <c:pt idx="34">
                  <c:v>10.7</c:v>
                </c:pt>
                <c:pt idx="35">
                  <c:v>13.2</c:v>
                </c:pt>
                <c:pt idx="36">
                  <c:v>13</c:v>
                </c:pt>
                <c:pt idx="37">
                  <c:v>15.3</c:v>
                </c:pt>
                <c:pt idx="38">
                  <c:v>13.2</c:v>
                </c:pt>
                <c:pt idx="39">
                  <c:v>14</c:v>
                </c:pt>
                <c:pt idx="40">
                  <c:v>3.1</c:v>
                </c:pt>
                <c:pt idx="41">
                  <c:v>17.899999999999999</c:v>
                </c:pt>
                <c:pt idx="42">
                  <c:v>16.8</c:v>
                </c:pt>
                <c:pt idx="43">
                  <c:v>4</c:v>
                </c:pt>
                <c:pt idx="44">
                  <c:v>11.8</c:v>
                </c:pt>
                <c:pt idx="45">
                  <c:v>11.7</c:v>
                </c:pt>
                <c:pt idx="46">
                  <c:v>13.2</c:v>
                </c:pt>
                <c:pt idx="47">
                  <c:v>14.1</c:v>
                </c:pt>
                <c:pt idx="48">
                  <c:v>13</c:v>
                </c:pt>
                <c:pt idx="49">
                  <c:v>3</c:v>
                </c:pt>
                <c:pt idx="50">
                  <c:v>2.5</c:v>
                </c:pt>
                <c:pt idx="51">
                  <c:v>2.5</c:v>
                </c:pt>
                <c:pt idx="52">
                  <c:v>3.4</c:v>
                </c:pt>
                <c:pt idx="53">
                  <c:v>3.1</c:v>
                </c:pt>
                <c:pt idx="54">
                  <c:v>4.0999999999999996</c:v>
                </c:pt>
                <c:pt idx="55">
                  <c:v>4.2</c:v>
                </c:pt>
                <c:pt idx="56">
                  <c:v>3.4</c:v>
                </c:pt>
                <c:pt idx="57">
                  <c:v>4.0999999999999996</c:v>
                </c:pt>
                <c:pt idx="58">
                  <c:v>4</c:v>
                </c:pt>
                <c:pt idx="59">
                  <c:v>9.4</c:v>
                </c:pt>
                <c:pt idx="60">
                  <c:v>4.3</c:v>
                </c:pt>
                <c:pt idx="61">
                  <c:v>10.1</c:v>
                </c:pt>
                <c:pt idx="62">
                  <c:v>4.4000000000000004</c:v>
                </c:pt>
                <c:pt idx="63">
                  <c:v>2.4</c:v>
                </c:pt>
                <c:pt idx="64">
                  <c:v>3.3</c:v>
                </c:pt>
                <c:pt idx="65">
                  <c:v>3.1</c:v>
                </c:pt>
                <c:pt idx="66">
                  <c:v>3.5</c:v>
                </c:pt>
                <c:pt idx="67">
                  <c:v>3.1</c:v>
                </c:pt>
                <c:pt idx="68">
                  <c:v>4.5999999999999996</c:v>
                </c:pt>
                <c:pt idx="69">
                  <c:v>10</c:v>
                </c:pt>
                <c:pt idx="70">
                  <c:v>9.9</c:v>
                </c:pt>
                <c:pt idx="71">
                  <c:v>3.2</c:v>
                </c:pt>
                <c:pt idx="72">
                  <c:v>6.1</c:v>
                </c:pt>
                <c:pt idx="73">
                  <c:v>3</c:v>
                </c:pt>
                <c:pt idx="74">
                  <c:v>5</c:v>
                </c:pt>
                <c:pt idx="75">
                  <c:v>2.6</c:v>
                </c:pt>
                <c:pt idx="76">
                  <c:v>4.8</c:v>
                </c:pt>
                <c:pt idx="77">
                  <c:v>4.0999999999999996</c:v>
                </c:pt>
                <c:pt idx="78">
                  <c:v>#N/A</c:v>
                </c:pt>
                <c:pt idx="79">
                  <c:v>2.9</c:v>
                </c:pt>
                <c:pt idx="80">
                  <c:v>2.9</c:v>
                </c:pt>
              </c:numCache>
            </c:numRef>
          </c:xVal>
          <c:yVal>
            <c:numRef>
              <c:f>'Biomass Calcs'!$I$89:$I$169</c:f>
              <c:numCache>
                <c:formatCode>General</c:formatCode>
                <c:ptCount val="81"/>
                <c:pt idx="0">
                  <c:v>9.8815746307372994</c:v>
                </c:pt>
                <c:pt idx="1">
                  <c:v>10.6524505615234</c:v>
                </c:pt>
                <c:pt idx="2">
                  <c:v>13.2140302658081</c:v>
                </c:pt>
                <c:pt idx="3">
                  <c:v>13.1925754547119</c:v>
                </c:pt>
                <c:pt idx="4">
                  <c:v>14.3659677505493</c:v>
                </c:pt>
                <c:pt idx="5">
                  <c:v>11.0961189270019</c:v>
                </c:pt>
                <c:pt idx="6">
                  <c:v>20.15184</c:v>
                </c:pt>
                <c:pt idx="7">
                  <c:v>5.4205170000000003</c:v>
                </c:pt>
                <c:pt idx="8">
                  <c:v>9.5770389999999992</c:v>
                </c:pt>
                <c:pt idx="9">
                  <c:v>8.8925149999999995</c:v>
                </c:pt>
                <c:pt idx="10">
                  <c:v>4.456283</c:v>
                </c:pt>
                <c:pt idx="11">
                  <c:v>4.1664709999999996</c:v>
                </c:pt>
                <c:pt idx="12">
                  <c:v>12.53917</c:v>
                </c:pt>
                <c:pt idx="13">
                  <c:v>8.4869979999999998</c:v>
                </c:pt>
                <c:pt idx="14">
                  <c:v>6.6151340000000003</c:v>
                </c:pt>
                <c:pt idx="15">
                  <c:v>10.370570000000001</c:v>
                </c:pt>
                <c:pt idx="16">
                  <c:v>10.902290000000001</c:v>
                </c:pt>
                <c:pt idx="17">
                  <c:v>8.0154589999999999</c:v>
                </c:pt>
                <c:pt idx="18">
                  <c:v>#N/A</c:v>
                </c:pt>
                <c:pt idx="19">
                  <c:v>16.0622043609619</c:v>
                </c:pt>
                <c:pt idx="20">
                  <c:v>14.0765838623046</c:v>
                </c:pt>
                <c:pt idx="21">
                  <c:v>12.2070198059082</c:v>
                </c:pt>
                <c:pt idx="22">
                  <c:v>4.4393973350524902</c:v>
                </c:pt>
                <c:pt idx="23">
                  <c:v>24.813697814941399</c:v>
                </c:pt>
                <c:pt idx="24">
                  <c:v>6.5767874717712402</c:v>
                </c:pt>
                <c:pt idx="25">
                  <c:v>7.6719403266906703</c:v>
                </c:pt>
                <c:pt idx="26">
                  <c:v>#N/A</c:v>
                </c:pt>
                <c:pt idx="27">
                  <c:v>6.6830124855041504</c:v>
                </c:pt>
                <c:pt idx="28">
                  <c:v>13.056458473205501</c:v>
                </c:pt>
                <c:pt idx="29">
                  <c:v>15.740143775939901</c:v>
                </c:pt>
                <c:pt idx="30">
                  <c:v>13.365461349487299</c:v>
                </c:pt>
                <c:pt idx="31">
                  <c:v>4.8240850000000002</c:v>
                </c:pt>
                <c:pt idx="32">
                  <c:v>12.976625442504799</c:v>
                </c:pt>
                <c:pt idx="33">
                  <c:v>#N/A</c:v>
                </c:pt>
                <c:pt idx="34">
                  <c:v>11.3740901947021</c:v>
                </c:pt>
                <c:pt idx="35">
                  <c:v>13.874636650085399</c:v>
                </c:pt>
                <c:pt idx="36">
                  <c:v>13.894880294799799</c:v>
                </c:pt>
                <c:pt idx="37">
                  <c:v>15.126721382141101</c:v>
                </c:pt>
                <c:pt idx="38">
                  <c:v>12.241008758544901</c:v>
                </c:pt>
                <c:pt idx="39">
                  <c:v>13.9149875640869</c:v>
                </c:pt>
                <c:pt idx="40">
                  <c:v>3.3631234169006299</c:v>
                </c:pt>
                <c:pt idx="41">
                  <c:v>18.2246398925781</c:v>
                </c:pt>
                <c:pt idx="42">
                  <c:v>16.29150390625</c:v>
                </c:pt>
                <c:pt idx="43">
                  <c:v>#N/A</c:v>
                </c:pt>
                <c:pt idx="44">
                  <c:v>12.9264621734619</c:v>
                </c:pt>
                <c:pt idx="45">
                  <c:v>12.026494026184</c:v>
                </c:pt>
                <c:pt idx="46">
                  <c:v>13.942717552185</c:v>
                </c:pt>
                <c:pt idx="47">
                  <c:v>14.3909034729003</c:v>
                </c:pt>
                <c:pt idx="48">
                  <c:v>13.256700515746999</c:v>
                </c:pt>
                <c:pt idx="49">
                  <c:v>3.3028759999999999</c:v>
                </c:pt>
                <c:pt idx="50">
                  <c:v>2.458907</c:v>
                </c:pt>
                <c:pt idx="51">
                  <c:v>2.8698619999999999</c:v>
                </c:pt>
                <c:pt idx="52">
                  <c:v>3.4712320000000001</c:v>
                </c:pt>
                <c:pt idx="53">
                  <c:v>#N/A</c:v>
                </c:pt>
                <c:pt idx="54">
                  <c:v>4.318683</c:v>
                </c:pt>
                <c:pt idx="55">
                  <c:v>4.9751570000000003</c:v>
                </c:pt>
                <c:pt idx="56">
                  <c:v>3.181546</c:v>
                </c:pt>
                <c:pt idx="57">
                  <c:v>4.3639279999999996</c:v>
                </c:pt>
                <c:pt idx="58">
                  <c:v>3.8706119999999999</c:v>
                </c:pt>
                <c:pt idx="59">
                  <c:v>10.09027</c:v>
                </c:pt>
                <c:pt idx="60">
                  <c:v>4.3274192810058496</c:v>
                </c:pt>
                <c:pt idx="61">
                  <c:v>11.3087148666381</c:v>
                </c:pt>
                <c:pt idx="62">
                  <c:v>5.1155753135681099</c:v>
                </c:pt>
                <c:pt idx="63">
                  <c:v>2.3333390000000001</c:v>
                </c:pt>
                <c:pt idx="64">
                  <c:v>2.9577469999999999</c:v>
                </c:pt>
                <c:pt idx="65">
                  <c:v>2.9521360397338801</c:v>
                </c:pt>
                <c:pt idx="66">
                  <c:v>3.5228480000000002</c:v>
                </c:pt>
                <c:pt idx="67">
                  <c:v>3.0311982631683301</c:v>
                </c:pt>
                <c:pt idx="68">
                  <c:v>5.3603625297546298</c:v>
                </c:pt>
                <c:pt idx="69">
                  <c:v>10.509901046752899</c:v>
                </c:pt>
                <c:pt idx="70">
                  <c:v>10.4095745086669</c:v>
                </c:pt>
                <c:pt idx="71">
                  <c:v>4.0904731750488201</c:v>
                </c:pt>
                <c:pt idx="72">
                  <c:v>6.2746605873107901</c:v>
                </c:pt>
                <c:pt idx="73">
                  <c:v>2.9571454524993799</c:v>
                </c:pt>
                <c:pt idx="74">
                  <c:v>5.1600165367126403</c:v>
                </c:pt>
                <c:pt idx="75">
                  <c:v>2.4823970794677699</c:v>
                </c:pt>
                <c:pt idx="76">
                  <c:v>5.3009014129638601</c:v>
                </c:pt>
                <c:pt idx="77">
                  <c:v>4.1654396057128897</c:v>
                </c:pt>
                <c:pt idx="78">
                  <c:v>#N/A</c:v>
                </c:pt>
                <c:pt idx="79">
                  <c:v>3.0357577800750701</c:v>
                </c:pt>
                <c:pt idx="80">
                  <c:v>3.0467600822448699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43-4C08-A90D-AD947EFE502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5B9BD5"/>
                </a:solidFill>
                <a:prstDash val="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3626421697287738E-2"/>
                  <c:y val="7.79757488991562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5B9BD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'Biomass Calcs'!AA89:AA169</c:f>
              <c:numCache>
                <c:formatCode>0.00</c:formatCode>
                <c:ptCount val="81"/>
                <c:pt idx="0">
                  <c:v>0.29629629629629628</c:v>
                </c:pt>
                <c:pt idx="1">
                  <c:v>0.59259259259259256</c:v>
                </c:pt>
                <c:pt idx="2">
                  <c:v>0.88888888888888884</c:v>
                </c:pt>
                <c:pt idx="3">
                  <c:v>1.1851851851851851</c:v>
                </c:pt>
                <c:pt idx="4">
                  <c:v>1.4814814814814814</c:v>
                </c:pt>
                <c:pt idx="5">
                  <c:v>1.7777777777777777</c:v>
                </c:pt>
                <c:pt idx="6">
                  <c:v>2.074074074074074</c:v>
                </c:pt>
                <c:pt idx="7">
                  <c:v>2.3703703703703702</c:v>
                </c:pt>
                <c:pt idx="8">
                  <c:v>2.6666666666666665</c:v>
                </c:pt>
                <c:pt idx="9">
                  <c:v>2.9629629629629628</c:v>
                </c:pt>
                <c:pt idx="10">
                  <c:v>3.2592592592592591</c:v>
                </c:pt>
                <c:pt idx="11">
                  <c:v>3.5555555555555554</c:v>
                </c:pt>
                <c:pt idx="12">
                  <c:v>3.8518518518518516</c:v>
                </c:pt>
                <c:pt idx="13">
                  <c:v>4.1481481481481479</c:v>
                </c:pt>
                <c:pt idx="14">
                  <c:v>4.4444444444444446</c:v>
                </c:pt>
                <c:pt idx="15">
                  <c:v>4.7407407407407405</c:v>
                </c:pt>
                <c:pt idx="16">
                  <c:v>5.0370370370370363</c:v>
                </c:pt>
                <c:pt idx="17">
                  <c:v>5.3333333333333321</c:v>
                </c:pt>
                <c:pt idx="18">
                  <c:v>5.629629629629628</c:v>
                </c:pt>
                <c:pt idx="19">
                  <c:v>5.9259259259259238</c:v>
                </c:pt>
                <c:pt idx="20">
                  <c:v>6.2222222222222197</c:v>
                </c:pt>
                <c:pt idx="21">
                  <c:v>6.5185185185185155</c:v>
                </c:pt>
                <c:pt idx="22">
                  <c:v>6.8148148148148113</c:v>
                </c:pt>
                <c:pt idx="23">
                  <c:v>7.1111111111111072</c:v>
                </c:pt>
                <c:pt idx="24">
                  <c:v>7.407407407407403</c:v>
                </c:pt>
                <c:pt idx="25">
                  <c:v>7.7037037037036988</c:v>
                </c:pt>
                <c:pt idx="26">
                  <c:v>7.9999999999999947</c:v>
                </c:pt>
                <c:pt idx="27">
                  <c:v>8.2962962962962905</c:v>
                </c:pt>
                <c:pt idx="28">
                  <c:v>8.5925925925925863</c:v>
                </c:pt>
                <c:pt idx="29">
                  <c:v>8.8888888888888822</c:v>
                </c:pt>
                <c:pt idx="30">
                  <c:v>9.185185185185178</c:v>
                </c:pt>
                <c:pt idx="31">
                  <c:v>9.4814814814814738</c:v>
                </c:pt>
                <c:pt idx="32">
                  <c:v>9.7777777777777697</c:v>
                </c:pt>
                <c:pt idx="33">
                  <c:v>10.074074074074066</c:v>
                </c:pt>
                <c:pt idx="34">
                  <c:v>10.370370370370361</c:v>
                </c:pt>
                <c:pt idx="35">
                  <c:v>10.666666666666657</c:v>
                </c:pt>
                <c:pt idx="36">
                  <c:v>10.962962962962953</c:v>
                </c:pt>
                <c:pt idx="37">
                  <c:v>11.259259259259249</c:v>
                </c:pt>
                <c:pt idx="38">
                  <c:v>11.555555555555545</c:v>
                </c:pt>
                <c:pt idx="39">
                  <c:v>11.851851851851841</c:v>
                </c:pt>
                <c:pt idx="40">
                  <c:v>12.148148148148136</c:v>
                </c:pt>
                <c:pt idx="41">
                  <c:v>12.444444444444432</c:v>
                </c:pt>
                <c:pt idx="42">
                  <c:v>12.740740740740728</c:v>
                </c:pt>
                <c:pt idx="43">
                  <c:v>13.037037037037024</c:v>
                </c:pt>
                <c:pt idx="44">
                  <c:v>13.33333333333332</c:v>
                </c:pt>
                <c:pt idx="45">
                  <c:v>13.629629629629616</c:v>
                </c:pt>
                <c:pt idx="46">
                  <c:v>13.925925925925911</c:v>
                </c:pt>
                <c:pt idx="47">
                  <c:v>14.222222222222207</c:v>
                </c:pt>
                <c:pt idx="48">
                  <c:v>14.518518518518503</c:v>
                </c:pt>
                <c:pt idx="49">
                  <c:v>14.814814814814799</c:v>
                </c:pt>
                <c:pt idx="50">
                  <c:v>15.111111111111095</c:v>
                </c:pt>
                <c:pt idx="51">
                  <c:v>15.407407407407391</c:v>
                </c:pt>
                <c:pt idx="52">
                  <c:v>15.703703703703686</c:v>
                </c:pt>
                <c:pt idx="53">
                  <c:v>15.999999999999982</c:v>
                </c:pt>
                <c:pt idx="54">
                  <c:v>16.29629629629628</c:v>
                </c:pt>
                <c:pt idx="55">
                  <c:v>16.592592592592577</c:v>
                </c:pt>
                <c:pt idx="56">
                  <c:v>16.888888888888875</c:v>
                </c:pt>
                <c:pt idx="57">
                  <c:v>17.185185185185173</c:v>
                </c:pt>
                <c:pt idx="58">
                  <c:v>17.48148148148147</c:v>
                </c:pt>
                <c:pt idx="59">
                  <c:v>17.777777777777768</c:v>
                </c:pt>
                <c:pt idx="60">
                  <c:v>18.074074074074066</c:v>
                </c:pt>
                <c:pt idx="61">
                  <c:v>18.370370370370363</c:v>
                </c:pt>
                <c:pt idx="62">
                  <c:v>18.666666666666661</c:v>
                </c:pt>
                <c:pt idx="63">
                  <c:v>18.962962962962958</c:v>
                </c:pt>
                <c:pt idx="64">
                  <c:v>19.259259259259256</c:v>
                </c:pt>
                <c:pt idx="65">
                  <c:v>19.555555555555554</c:v>
                </c:pt>
                <c:pt idx="66">
                  <c:v>19.851851851851851</c:v>
                </c:pt>
                <c:pt idx="67">
                  <c:v>20.148148148148149</c:v>
                </c:pt>
                <c:pt idx="68">
                  <c:v>20.444444444444446</c:v>
                </c:pt>
                <c:pt idx="69">
                  <c:v>20.740740740740744</c:v>
                </c:pt>
                <c:pt idx="70">
                  <c:v>21.037037037037042</c:v>
                </c:pt>
                <c:pt idx="71">
                  <c:v>21.333333333333339</c:v>
                </c:pt>
                <c:pt idx="72">
                  <c:v>21.629629629629637</c:v>
                </c:pt>
                <c:pt idx="73">
                  <c:v>21.925925925925934</c:v>
                </c:pt>
                <c:pt idx="74">
                  <c:v>22.222222222222232</c:v>
                </c:pt>
                <c:pt idx="75">
                  <c:v>22.51851851851853</c:v>
                </c:pt>
                <c:pt idx="76">
                  <c:v>22.814814814814827</c:v>
                </c:pt>
                <c:pt idx="77">
                  <c:v>23.111111111111125</c:v>
                </c:pt>
                <c:pt idx="78">
                  <c:v>23.407407407407423</c:v>
                </c:pt>
                <c:pt idx="79">
                  <c:v>23.70370370370372</c:v>
                </c:pt>
                <c:pt idx="80">
                  <c:v>24.000000000000018</c:v>
                </c:pt>
              </c:numCache>
            </c:numRef>
          </c:xVal>
          <c:yVal>
            <c:numRef>
              <c:f>'Biomass Calcs'!AB89:AB169</c:f>
              <c:numCache>
                <c:formatCode>0.00</c:formatCode>
                <c:ptCount val="81"/>
                <c:pt idx="0">
                  <c:v>0.29629629629629628</c:v>
                </c:pt>
                <c:pt idx="1">
                  <c:v>0.59259259259259256</c:v>
                </c:pt>
                <c:pt idx="2">
                  <c:v>0.88888888888888884</c:v>
                </c:pt>
                <c:pt idx="3">
                  <c:v>1.1851851851851851</c:v>
                </c:pt>
                <c:pt idx="4">
                  <c:v>1.4814814814814814</c:v>
                </c:pt>
                <c:pt idx="5">
                  <c:v>1.7777777777777777</c:v>
                </c:pt>
                <c:pt idx="6">
                  <c:v>2.074074074074074</c:v>
                </c:pt>
                <c:pt idx="7">
                  <c:v>2.3703703703703702</c:v>
                </c:pt>
                <c:pt idx="8">
                  <c:v>2.6666666666666665</c:v>
                </c:pt>
                <c:pt idx="9">
                  <c:v>2.9629629629629628</c:v>
                </c:pt>
                <c:pt idx="10">
                  <c:v>3.2592592592592591</c:v>
                </c:pt>
                <c:pt idx="11">
                  <c:v>3.5555555555555554</c:v>
                </c:pt>
                <c:pt idx="12">
                  <c:v>3.8518518518518516</c:v>
                </c:pt>
                <c:pt idx="13">
                  <c:v>4.1481481481481479</c:v>
                </c:pt>
                <c:pt idx="14">
                  <c:v>4.4444444444444446</c:v>
                </c:pt>
                <c:pt idx="15">
                  <c:v>4.7407407407407405</c:v>
                </c:pt>
                <c:pt idx="16">
                  <c:v>5.0370370370370363</c:v>
                </c:pt>
                <c:pt idx="17">
                  <c:v>5.3333333333333321</c:v>
                </c:pt>
                <c:pt idx="18">
                  <c:v>5.629629629629628</c:v>
                </c:pt>
                <c:pt idx="19">
                  <c:v>5.9259259259259238</c:v>
                </c:pt>
                <c:pt idx="20">
                  <c:v>6.2222222222222197</c:v>
                </c:pt>
                <c:pt idx="21">
                  <c:v>6.5185185185185155</c:v>
                </c:pt>
                <c:pt idx="22">
                  <c:v>6.8148148148148113</c:v>
                </c:pt>
                <c:pt idx="23">
                  <c:v>7.1111111111111072</c:v>
                </c:pt>
                <c:pt idx="24">
                  <c:v>7.407407407407403</c:v>
                </c:pt>
                <c:pt idx="25">
                  <c:v>7.7037037037036988</c:v>
                </c:pt>
                <c:pt idx="26">
                  <c:v>7.9999999999999947</c:v>
                </c:pt>
                <c:pt idx="27">
                  <c:v>8.2962962962962905</c:v>
                </c:pt>
                <c:pt idx="28">
                  <c:v>8.5925925925925863</c:v>
                </c:pt>
                <c:pt idx="29">
                  <c:v>8.8888888888888822</c:v>
                </c:pt>
                <c:pt idx="30">
                  <c:v>9.185185185185178</c:v>
                </c:pt>
                <c:pt idx="31">
                  <c:v>9.4814814814814738</c:v>
                </c:pt>
                <c:pt idx="32">
                  <c:v>9.7777777777777697</c:v>
                </c:pt>
                <c:pt idx="33">
                  <c:v>10.074074074074066</c:v>
                </c:pt>
                <c:pt idx="34">
                  <c:v>10.370370370370361</c:v>
                </c:pt>
                <c:pt idx="35">
                  <c:v>10.666666666666657</c:v>
                </c:pt>
                <c:pt idx="36">
                  <c:v>10.962962962962953</c:v>
                </c:pt>
                <c:pt idx="37">
                  <c:v>11.259259259259249</c:v>
                </c:pt>
                <c:pt idx="38">
                  <c:v>11.555555555555545</c:v>
                </c:pt>
                <c:pt idx="39">
                  <c:v>11.851851851851841</c:v>
                </c:pt>
                <c:pt idx="40">
                  <c:v>12.148148148148136</c:v>
                </c:pt>
                <c:pt idx="41">
                  <c:v>12.444444444444432</c:v>
                </c:pt>
                <c:pt idx="42">
                  <c:v>12.740740740740728</c:v>
                </c:pt>
                <c:pt idx="43">
                  <c:v>13.037037037037024</c:v>
                </c:pt>
                <c:pt idx="44">
                  <c:v>13.33333333333332</c:v>
                </c:pt>
                <c:pt idx="45">
                  <c:v>13.629629629629616</c:v>
                </c:pt>
                <c:pt idx="46">
                  <c:v>13.925925925925911</c:v>
                </c:pt>
                <c:pt idx="47">
                  <c:v>14.222222222222207</c:v>
                </c:pt>
                <c:pt idx="48">
                  <c:v>14.518518518518503</c:v>
                </c:pt>
                <c:pt idx="49">
                  <c:v>14.814814814814799</c:v>
                </c:pt>
                <c:pt idx="50">
                  <c:v>15.111111111111095</c:v>
                </c:pt>
                <c:pt idx="51">
                  <c:v>15.407407407407391</c:v>
                </c:pt>
                <c:pt idx="52">
                  <c:v>15.703703703703686</c:v>
                </c:pt>
                <c:pt idx="53">
                  <c:v>15.999999999999982</c:v>
                </c:pt>
                <c:pt idx="54">
                  <c:v>16.29629629629628</c:v>
                </c:pt>
                <c:pt idx="55">
                  <c:v>16.592592592592577</c:v>
                </c:pt>
                <c:pt idx="56">
                  <c:v>16.888888888888875</c:v>
                </c:pt>
                <c:pt idx="57">
                  <c:v>17.185185185185173</c:v>
                </c:pt>
                <c:pt idx="58">
                  <c:v>17.48148148148147</c:v>
                </c:pt>
                <c:pt idx="59">
                  <c:v>17.777777777777768</c:v>
                </c:pt>
                <c:pt idx="60">
                  <c:v>18.074074074074066</c:v>
                </c:pt>
                <c:pt idx="61">
                  <c:v>18.370370370370363</c:v>
                </c:pt>
                <c:pt idx="62">
                  <c:v>18.666666666666661</c:v>
                </c:pt>
                <c:pt idx="63">
                  <c:v>18.962962962962958</c:v>
                </c:pt>
                <c:pt idx="64">
                  <c:v>19.259259259259256</c:v>
                </c:pt>
                <c:pt idx="65">
                  <c:v>19.555555555555554</c:v>
                </c:pt>
                <c:pt idx="66">
                  <c:v>19.851851851851851</c:v>
                </c:pt>
                <c:pt idx="67">
                  <c:v>20.148148148148149</c:v>
                </c:pt>
                <c:pt idx="68">
                  <c:v>20.444444444444446</c:v>
                </c:pt>
                <c:pt idx="69">
                  <c:v>20.740740740740744</c:v>
                </c:pt>
                <c:pt idx="70">
                  <c:v>21.037037037037042</c:v>
                </c:pt>
                <c:pt idx="71">
                  <c:v>21.333333333333339</c:v>
                </c:pt>
                <c:pt idx="72">
                  <c:v>21.629629629629637</c:v>
                </c:pt>
                <c:pt idx="73">
                  <c:v>21.925925925925934</c:v>
                </c:pt>
                <c:pt idx="74">
                  <c:v>22.222222222222232</c:v>
                </c:pt>
                <c:pt idx="75">
                  <c:v>22.51851851851853</c:v>
                </c:pt>
                <c:pt idx="76">
                  <c:v>22.814814814814827</c:v>
                </c:pt>
                <c:pt idx="77">
                  <c:v>23.111111111111125</c:v>
                </c:pt>
                <c:pt idx="78">
                  <c:v>23.407407407407423</c:v>
                </c:pt>
                <c:pt idx="79">
                  <c:v>23.70370370370372</c:v>
                </c:pt>
                <c:pt idx="80">
                  <c:v>24.000000000000018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C3-4BC0-BF1E-1960792AB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974087"/>
        <c:axId val="744029703"/>
      </c:scatterChart>
      <c:valAx>
        <c:axId val="684974087"/>
        <c:scaling>
          <c:orientation val="minMax"/>
          <c:max val="2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Hypsometer 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9703"/>
        <c:crosses val="autoZero"/>
        <c:crossBetween val="midCat"/>
      </c:valAx>
      <c:valAx>
        <c:axId val="744029703"/>
        <c:scaling>
          <c:orientation val="minMax"/>
          <c:max val="2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 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74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Biomass from Allometric Equations using Manual vs WT App Data</a:t>
            </a:r>
          </a:p>
        </c:rich>
      </c:tx>
      <c:layout>
        <c:manualLayout>
          <c:xMode val="edge"/>
          <c:yMode val="edge"/>
          <c:x val="0.12827350427350429"/>
          <c:y val="3.3547051210546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'Biomass Calcs'!$M$88</c:f>
              <c:strCache>
                <c:ptCount val="1"/>
                <c:pt idx="0">
                  <c:v>Filtered WT Biomass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70AD47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947600780671647"/>
                  <c:y val="-5.5199042840408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54823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'Biomass Calcs'!$L$89:$L$147</c:f>
              <c:numCache>
                <c:formatCode>General</c:formatCode>
                <c:ptCount val="59"/>
                <c:pt idx="0">
                  <c:v>488.73</c:v>
                </c:pt>
                <c:pt idx="1">
                  <c:v>46.02</c:v>
                </c:pt>
                <c:pt idx="2">
                  <c:v>178.71</c:v>
                </c:pt>
                <c:pt idx="3">
                  <c:v>1543.94</c:v>
                </c:pt>
                <c:pt idx="4">
                  <c:v>421.31</c:v>
                </c:pt>
                <c:pt idx="5">
                  <c:v>355.15</c:v>
                </c:pt>
                <c:pt idx="6">
                  <c:v>4124.74</c:v>
                </c:pt>
                <c:pt idx="7">
                  <c:v>459.06</c:v>
                </c:pt>
                <c:pt idx="8">
                  <c:v>11.64</c:v>
                </c:pt>
                <c:pt idx="9">
                  <c:v>120.85</c:v>
                </c:pt>
                <c:pt idx="10">
                  <c:v>10.1</c:v>
                </c:pt>
                <c:pt idx="11">
                  <c:v>9.27</c:v>
                </c:pt>
                <c:pt idx="12">
                  <c:v>191.6</c:v>
                </c:pt>
                <c:pt idx="13">
                  <c:v>36.590000000000003</c:v>
                </c:pt>
                <c:pt idx="14">
                  <c:v>25.97</c:v>
                </c:pt>
                <c:pt idx="15">
                  <c:v>369.86</c:v>
                </c:pt>
                <c:pt idx="16">
                  <c:v>326.73</c:v>
                </c:pt>
                <c:pt idx="17">
                  <c:v>231.73</c:v>
                </c:pt>
                <c:pt idx="18">
                  <c:v>1073.1099999999999</c:v>
                </c:pt>
                <c:pt idx="19">
                  <c:v>579.17999999999995</c:v>
                </c:pt>
                <c:pt idx="20">
                  <c:v>324.42</c:v>
                </c:pt>
                <c:pt idx="21">
                  <c:v>30.94</c:v>
                </c:pt>
                <c:pt idx="22">
                  <c:v>54.74</c:v>
                </c:pt>
                <c:pt idx="23">
                  <c:v>1470.98</c:v>
                </c:pt>
                <c:pt idx="24">
                  <c:v>923.36</c:v>
                </c:pt>
                <c:pt idx="25">
                  <c:v>2066.58</c:v>
                </c:pt>
                <c:pt idx="26">
                  <c:v>453.62</c:v>
                </c:pt>
                <c:pt idx="27">
                  <c:v>2056.7199999999998</c:v>
                </c:pt>
                <c:pt idx="28">
                  <c:v>702.71</c:v>
                </c:pt>
                <c:pt idx="29">
                  <c:v>481.68</c:v>
                </c:pt>
                <c:pt idx="30">
                  <c:v>291.81</c:v>
                </c:pt>
                <c:pt idx="31">
                  <c:v>347.86</c:v>
                </c:pt>
                <c:pt idx="32">
                  <c:v>741.26</c:v>
                </c:pt>
                <c:pt idx="33">
                  <c:v>938.79</c:v>
                </c:pt>
                <c:pt idx="34">
                  <c:v>16.34</c:v>
                </c:pt>
                <c:pt idx="35">
                  <c:v>2580.61</c:v>
                </c:pt>
                <c:pt idx="36">
                  <c:v>2057.02</c:v>
                </c:pt>
                <c:pt idx="37">
                  <c:v>1079.3800000000001</c:v>
                </c:pt>
                <c:pt idx="38">
                  <c:v>944.21</c:v>
                </c:pt>
                <c:pt idx="39">
                  <c:v>1086.96</c:v>
                </c:pt>
                <c:pt idx="40">
                  <c:v>2308.17</c:v>
                </c:pt>
                <c:pt idx="41">
                  <c:v>2179.59</c:v>
                </c:pt>
                <c:pt idx="42">
                  <c:v>9.69</c:v>
                </c:pt>
                <c:pt idx="43">
                  <c:v>1.28</c:v>
                </c:pt>
                <c:pt idx="44">
                  <c:v>0.63</c:v>
                </c:pt>
                <c:pt idx="45">
                  <c:v>15.7</c:v>
                </c:pt>
                <c:pt idx="46">
                  <c:v>30.17</c:v>
                </c:pt>
                <c:pt idx="47">
                  <c:v>19.18</c:v>
                </c:pt>
                <c:pt idx="48">
                  <c:v>65.62</c:v>
                </c:pt>
                <c:pt idx="49">
                  <c:v>803.24</c:v>
                </c:pt>
                <c:pt idx="50">
                  <c:v>30.38</c:v>
                </c:pt>
                <c:pt idx="51">
                  <c:v>31.72</c:v>
                </c:pt>
                <c:pt idx="52">
                  <c:v>603.27</c:v>
                </c:pt>
                <c:pt idx="53">
                  <c:v>743.11</c:v>
                </c:pt>
                <c:pt idx="54">
                  <c:v>226.42</c:v>
                </c:pt>
                <c:pt idx="55">
                  <c:v>220.71</c:v>
                </c:pt>
                <c:pt idx="56">
                  <c:v>270.19</c:v>
                </c:pt>
                <c:pt idx="57">
                  <c:v>2.12</c:v>
                </c:pt>
                <c:pt idx="58">
                  <c:v>1.5</c:v>
                </c:pt>
              </c:numCache>
            </c:numRef>
          </c:xVal>
          <c:yVal>
            <c:numRef>
              <c:f>'Biomass Calcs'!$M$89:$M$147</c:f>
              <c:numCache>
                <c:formatCode>General</c:formatCode>
                <c:ptCount val="59"/>
                <c:pt idx="0">
                  <c:v>365.96</c:v>
                </c:pt>
                <c:pt idx="1">
                  <c:v>48.5</c:v>
                </c:pt>
                <c:pt idx="2">
                  <c:v>170.76</c:v>
                </c:pt>
                <c:pt idx="3">
                  <c:v>1089.74</c:v>
                </c:pt>
                <c:pt idx="4">
                  <c:v>16.04</c:v>
                </c:pt>
                <c:pt idx="5">
                  <c:v>342.67</c:v>
                </c:pt>
                <c:pt idx="6">
                  <c:v>3883.05</c:v>
                </c:pt>
                <c:pt idx="7">
                  <c:v>668.68</c:v>
                </c:pt>
                <c:pt idx="8">
                  <c:v>18.11</c:v>
                </c:pt>
                <c:pt idx="9">
                  <c:v>110.19</c:v>
                </c:pt>
                <c:pt idx="10">
                  <c:v>10.57</c:v>
                </c:pt>
                <c:pt idx="11">
                  <c:v>1.1299999999999999</c:v>
                </c:pt>
                <c:pt idx="12">
                  <c:v>182.59</c:v>
                </c:pt>
                <c:pt idx="13">
                  <c:v>52.08</c:v>
                </c:pt>
                <c:pt idx="14">
                  <c:v>17.04</c:v>
                </c:pt>
                <c:pt idx="15">
                  <c:v>314.8</c:v>
                </c:pt>
                <c:pt idx="16">
                  <c:v>217.71</c:v>
                </c:pt>
                <c:pt idx="17">
                  <c:v>986.14</c:v>
                </c:pt>
                <c:pt idx="18">
                  <c:v>912.6</c:v>
                </c:pt>
                <c:pt idx="19">
                  <c:v>543.13</c:v>
                </c:pt>
                <c:pt idx="20">
                  <c:v>263.83999999999997</c:v>
                </c:pt>
                <c:pt idx="21">
                  <c:v>31.89</c:v>
                </c:pt>
                <c:pt idx="22">
                  <c:v>53.87</c:v>
                </c:pt>
                <c:pt idx="23">
                  <c:v>1280.5</c:v>
                </c:pt>
                <c:pt idx="24">
                  <c:v>1004.55</c:v>
                </c:pt>
                <c:pt idx="25">
                  <c:v>1851.17</c:v>
                </c:pt>
                <c:pt idx="26">
                  <c:v>484.06</c:v>
                </c:pt>
                <c:pt idx="27">
                  <c:v>1619.14</c:v>
                </c:pt>
                <c:pt idx="28">
                  <c:v>562.54</c:v>
                </c:pt>
                <c:pt idx="29">
                  <c:v>369.82</c:v>
                </c:pt>
                <c:pt idx="30">
                  <c:v>281.88</c:v>
                </c:pt>
                <c:pt idx="31">
                  <c:v>302.61</c:v>
                </c:pt>
                <c:pt idx="32">
                  <c:v>601.63</c:v>
                </c:pt>
                <c:pt idx="33">
                  <c:v>760.33</c:v>
                </c:pt>
                <c:pt idx="34">
                  <c:v>11.05</c:v>
                </c:pt>
                <c:pt idx="35">
                  <c:v>2319.9299999999998</c:v>
                </c:pt>
                <c:pt idx="36">
                  <c:v>1347.64</c:v>
                </c:pt>
                <c:pt idx="37">
                  <c:v>1090.6300000000001</c:v>
                </c:pt>
                <c:pt idx="38">
                  <c:v>802.14</c:v>
                </c:pt>
                <c:pt idx="39">
                  <c:v>774.87</c:v>
                </c:pt>
                <c:pt idx="40">
                  <c:v>2227.41</c:v>
                </c:pt>
                <c:pt idx="41">
                  <c:v>1744.46</c:v>
                </c:pt>
                <c:pt idx="42">
                  <c:v>13.49</c:v>
                </c:pt>
                <c:pt idx="43">
                  <c:v>2.4700000000000002</c:v>
                </c:pt>
                <c:pt idx="44">
                  <c:v>4.37</c:v>
                </c:pt>
                <c:pt idx="45">
                  <c:v>18.54</c:v>
                </c:pt>
                <c:pt idx="46">
                  <c:v>65.31</c:v>
                </c:pt>
                <c:pt idx="47">
                  <c:v>17.36</c:v>
                </c:pt>
                <c:pt idx="48">
                  <c:v>70.31</c:v>
                </c:pt>
                <c:pt idx="49">
                  <c:v>724.14</c:v>
                </c:pt>
                <c:pt idx="50">
                  <c:v>35.799999999999997</c:v>
                </c:pt>
                <c:pt idx="51">
                  <c:v>35.880000000000003</c:v>
                </c:pt>
                <c:pt idx="52">
                  <c:v>492.97</c:v>
                </c:pt>
                <c:pt idx="53">
                  <c:v>694.51</c:v>
                </c:pt>
                <c:pt idx="54">
                  <c:v>249.54</c:v>
                </c:pt>
                <c:pt idx="55">
                  <c:v>219.46</c:v>
                </c:pt>
                <c:pt idx="56">
                  <c:v>273.58</c:v>
                </c:pt>
                <c:pt idx="57">
                  <c:v>4.53</c:v>
                </c:pt>
                <c:pt idx="58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4E-49E2-A2ED-95B3106F051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flat" cmpd="sng" algn="ctr">
                <a:solidFill>
                  <a:srgbClr val="ED7D31"/>
                </a:solidFill>
                <a:prstDash val="lgDash"/>
                <a:round/>
                <a:headEnd type="none" w="med" len="med"/>
                <a:tailEnd type="none" w="med" len="me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165623527828253"/>
                  <c:y val="0.126714399363564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'Biomass Calcs'!AC89:AC169</c:f>
              <c:numCache>
                <c:formatCode>General</c:formatCode>
                <c:ptCount val="81"/>
                <c:pt idx="0">
                  <c:v>52.469135802469133</c:v>
                </c:pt>
                <c:pt idx="1">
                  <c:v>104.93827160493827</c:v>
                </c:pt>
                <c:pt idx="2">
                  <c:v>157.40740740740739</c:v>
                </c:pt>
                <c:pt idx="3">
                  <c:v>209.87654320987653</c:v>
                </c:pt>
                <c:pt idx="4">
                  <c:v>262.34567901234567</c:v>
                </c:pt>
                <c:pt idx="5">
                  <c:v>314.81481481481478</c:v>
                </c:pt>
                <c:pt idx="6">
                  <c:v>367.28395061728389</c:v>
                </c:pt>
                <c:pt idx="7">
                  <c:v>419.753086419753</c:v>
                </c:pt>
                <c:pt idx="8">
                  <c:v>472.22222222222211</c:v>
                </c:pt>
                <c:pt idx="9">
                  <c:v>524.69135802469123</c:v>
                </c:pt>
                <c:pt idx="10">
                  <c:v>577.16049382716039</c:v>
                </c:pt>
                <c:pt idx="11">
                  <c:v>629.62962962962956</c:v>
                </c:pt>
                <c:pt idx="12">
                  <c:v>682.09876543209873</c:v>
                </c:pt>
                <c:pt idx="13">
                  <c:v>734.5679012345679</c:v>
                </c:pt>
                <c:pt idx="14">
                  <c:v>787.03703703703707</c:v>
                </c:pt>
                <c:pt idx="15">
                  <c:v>839.50617283950623</c:v>
                </c:pt>
                <c:pt idx="16">
                  <c:v>891.9753086419754</c:v>
                </c:pt>
                <c:pt idx="17">
                  <c:v>944.44444444444457</c:v>
                </c:pt>
                <c:pt idx="18">
                  <c:v>996.91358024691374</c:v>
                </c:pt>
                <c:pt idx="19">
                  <c:v>1049.3827160493829</c:v>
                </c:pt>
                <c:pt idx="20">
                  <c:v>1101.851851851852</c:v>
                </c:pt>
                <c:pt idx="21">
                  <c:v>1154.320987654321</c:v>
                </c:pt>
                <c:pt idx="22">
                  <c:v>1206.7901234567901</c:v>
                </c:pt>
                <c:pt idx="23">
                  <c:v>1259.2592592592591</c:v>
                </c:pt>
                <c:pt idx="24">
                  <c:v>1311.7283950617282</c:v>
                </c:pt>
                <c:pt idx="25">
                  <c:v>1364.1975308641972</c:v>
                </c:pt>
                <c:pt idx="26">
                  <c:v>1416.6666666666663</c:v>
                </c:pt>
                <c:pt idx="27">
                  <c:v>1469.1358024691353</c:v>
                </c:pt>
                <c:pt idx="28">
                  <c:v>1521.6049382716044</c:v>
                </c:pt>
                <c:pt idx="29">
                  <c:v>1574.0740740740735</c:v>
                </c:pt>
                <c:pt idx="30">
                  <c:v>1626.5432098765425</c:v>
                </c:pt>
                <c:pt idx="31">
                  <c:v>1679.0123456790116</c:v>
                </c:pt>
                <c:pt idx="32">
                  <c:v>1731.4814814814806</c:v>
                </c:pt>
                <c:pt idx="33">
                  <c:v>1783.9506172839497</c:v>
                </c:pt>
                <c:pt idx="34">
                  <c:v>1836.4197530864187</c:v>
                </c:pt>
                <c:pt idx="35">
                  <c:v>1888.8888888888878</c:v>
                </c:pt>
                <c:pt idx="36">
                  <c:v>1941.3580246913568</c:v>
                </c:pt>
                <c:pt idx="37">
                  <c:v>1993.8271604938259</c:v>
                </c:pt>
                <c:pt idx="38">
                  <c:v>2046.2962962962949</c:v>
                </c:pt>
                <c:pt idx="39">
                  <c:v>2098.765432098764</c:v>
                </c:pt>
                <c:pt idx="40">
                  <c:v>2151.2345679012333</c:v>
                </c:pt>
                <c:pt idx="41">
                  <c:v>2203.7037037037026</c:v>
                </c:pt>
                <c:pt idx="42">
                  <c:v>2256.1728395061718</c:v>
                </c:pt>
                <c:pt idx="43">
                  <c:v>2308.6419753086411</c:v>
                </c:pt>
                <c:pt idx="44">
                  <c:v>2361.1111111111104</c:v>
                </c:pt>
                <c:pt idx="45">
                  <c:v>2413.5802469135797</c:v>
                </c:pt>
                <c:pt idx="46">
                  <c:v>2466.049382716049</c:v>
                </c:pt>
                <c:pt idx="47">
                  <c:v>2518.5185185185182</c:v>
                </c:pt>
                <c:pt idx="48">
                  <c:v>2570.9876543209875</c:v>
                </c:pt>
                <c:pt idx="49">
                  <c:v>2623.4567901234568</c:v>
                </c:pt>
                <c:pt idx="50">
                  <c:v>2675.9259259259261</c:v>
                </c:pt>
                <c:pt idx="51">
                  <c:v>2728.3950617283954</c:v>
                </c:pt>
                <c:pt idx="52">
                  <c:v>2780.8641975308647</c:v>
                </c:pt>
                <c:pt idx="53">
                  <c:v>2833.3333333333339</c:v>
                </c:pt>
                <c:pt idx="54">
                  <c:v>2885.8024691358032</c:v>
                </c:pt>
                <c:pt idx="55">
                  <c:v>2938.2716049382725</c:v>
                </c:pt>
                <c:pt idx="56">
                  <c:v>2990.7407407407418</c:v>
                </c:pt>
                <c:pt idx="57">
                  <c:v>3043.2098765432111</c:v>
                </c:pt>
                <c:pt idx="58">
                  <c:v>3095.6790123456803</c:v>
                </c:pt>
                <c:pt idx="59">
                  <c:v>3148.1481481481496</c:v>
                </c:pt>
                <c:pt idx="60">
                  <c:v>3200.6172839506189</c:v>
                </c:pt>
                <c:pt idx="61">
                  <c:v>3253.0864197530882</c:v>
                </c:pt>
                <c:pt idx="62">
                  <c:v>3305.5555555555575</c:v>
                </c:pt>
                <c:pt idx="63">
                  <c:v>3358.0246913580268</c:v>
                </c:pt>
                <c:pt idx="64">
                  <c:v>3410.493827160496</c:v>
                </c:pt>
                <c:pt idx="65">
                  <c:v>3462.9629629629653</c:v>
                </c:pt>
                <c:pt idx="66">
                  <c:v>3515.4320987654346</c:v>
                </c:pt>
                <c:pt idx="67">
                  <c:v>3567.9012345679039</c:v>
                </c:pt>
                <c:pt idx="68">
                  <c:v>3620.3703703703732</c:v>
                </c:pt>
                <c:pt idx="69">
                  <c:v>3672.8395061728424</c:v>
                </c:pt>
                <c:pt idx="70">
                  <c:v>3725.3086419753117</c:v>
                </c:pt>
                <c:pt idx="71">
                  <c:v>3777.777777777781</c:v>
                </c:pt>
                <c:pt idx="72">
                  <c:v>3830.2469135802503</c:v>
                </c:pt>
                <c:pt idx="73">
                  <c:v>3882.7160493827196</c:v>
                </c:pt>
                <c:pt idx="74">
                  <c:v>3935.1851851851889</c:v>
                </c:pt>
                <c:pt idx="75">
                  <c:v>3987.6543209876581</c:v>
                </c:pt>
                <c:pt idx="76">
                  <c:v>4040.1234567901274</c:v>
                </c:pt>
                <c:pt idx="77">
                  <c:v>4092.5925925925967</c:v>
                </c:pt>
                <c:pt idx="78">
                  <c:v>4145.061728395066</c:v>
                </c:pt>
                <c:pt idx="79">
                  <c:v>4197.5308641975353</c:v>
                </c:pt>
                <c:pt idx="80">
                  <c:v>4250.0000000000045</c:v>
                </c:pt>
              </c:numCache>
            </c:numRef>
          </c:xVal>
          <c:yVal>
            <c:numRef>
              <c:f>'Biomass Calcs'!AD89:AD169</c:f>
              <c:numCache>
                <c:formatCode>General</c:formatCode>
                <c:ptCount val="81"/>
                <c:pt idx="0">
                  <c:v>52.469135802469133</c:v>
                </c:pt>
                <c:pt idx="1">
                  <c:v>104.93827160493827</c:v>
                </c:pt>
                <c:pt idx="2">
                  <c:v>157.40740740740739</c:v>
                </c:pt>
                <c:pt idx="3">
                  <c:v>209.87654320987653</c:v>
                </c:pt>
                <c:pt idx="4">
                  <c:v>262.34567901234567</c:v>
                </c:pt>
                <c:pt idx="5">
                  <c:v>314.81481481481478</c:v>
                </c:pt>
                <c:pt idx="6">
                  <c:v>367.28395061728389</c:v>
                </c:pt>
                <c:pt idx="7">
                  <c:v>419.753086419753</c:v>
                </c:pt>
                <c:pt idx="8">
                  <c:v>472.22222222222211</c:v>
                </c:pt>
                <c:pt idx="9">
                  <c:v>524.69135802469123</c:v>
                </c:pt>
                <c:pt idx="10">
                  <c:v>577.16049382716039</c:v>
                </c:pt>
                <c:pt idx="11">
                  <c:v>629.62962962962956</c:v>
                </c:pt>
                <c:pt idx="12">
                  <c:v>682.09876543209873</c:v>
                </c:pt>
                <c:pt idx="13">
                  <c:v>734.5679012345679</c:v>
                </c:pt>
                <c:pt idx="14">
                  <c:v>787.03703703703707</c:v>
                </c:pt>
                <c:pt idx="15">
                  <c:v>839.50617283950623</c:v>
                </c:pt>
                <c:pt idx="16">
                  <c:v>891.9753086419754</c:v>
                </c:pt>
                <c:pt idx="17">
                  <c:v>944.44444444444457</c:v>
                </c:pt>
                <c:pt idx="18">
                  <c:v>996.91358024691374</c:v>
                </c:pt>
                <c:pt idx="19">
                  <c:v>1049.3827160493829</c:v>
                </c:pt>
                <c:pt idx="20">
                  <c:v>1101.851851851852</c:v>
                </c:pt>
                <c:pt idx="21">
                  <c:v>1154.320987654321</c:v>
                </c:pt>
                <c:pt idx="22">
                  <c:v>1206.7901234567901</c:v>
                </c:pt>
                <c:pt idx="23">
                  <c:v>1259.2592592592591</c:v>
                </c:pt>
                <c:pt idx="24">
                  <c:v>1311.7283950617282</c:v>
                </c:pt>
                <c:pt idx="25">
                  <c:v>1364.1975308641972</c:v>
                </c:pt>
                <c:pt idx="26">
                  <c:v>1416.6666666666663</c:v>
                </c:pt>
                <c:pt idx="27">
                  <c:v>1469.1358024691353</c:v>
                </c:pt>
                <c:pt idx="28">
                  <c:v>1521.6049382716044</c:v>
                </c:pt>
                <c:pt idx="29">
                  <c:v>1574.0740740740735</c:v>
                </c:pt>
                <c:pt idx="30">
                  <c:v>1626.5432098765425</c:v>
                </c:pt>
                <c:pt idx="31">
                  <c:v>1679.0123456790116</c:v>
                </c:pt>
                <c:pt idx="32">
                  <c:v>1731.4814814814806</c:v>
                </c:pt>
                <c:pt idx="33">
                  <c:v>1783.9506172839497</c:v>
                </c:pt>
                <c:pt idx="34">
                  <c:v>1836.4197530864187</c:v>
                </c:pt>
                <c:pt idx="35">
                  <c:v>1888.8888888888878</c:v>
                </c:pt>
                <c:pt idx="36">
                  <c:v>1941.3580246913568</c:v>
                </c:pt>
                <c:pt idx="37">
                  <c:v>1993.8271604938259</c:v>
                </c:pt>
                <c:pt idx="38">
                  <c:v>2046.2962962962949</c:v>
                </c:pt>
                <c:pt idx="39">
                  <c:v>2098.765432098764</c:v>
                </c:pt>
                <c:pt idx="40">
                  <c:v>2151.2345679012333</c:v>
                </c:pt>
                <c:pt idx="41">
                  <c:v>2203.7037037037026</c:v>
                </c:pt>
                <c:pt idx="42">
                  <c:v>2256.1728395061718</c:v>
                </c:pt>
                <c:pt idx="43">
                  <c:v>2308.6419753086411</c:v>
                </c:pt>
                <c:pt idx="44">
                  <c:v>2361.1111111111104</c:v>
                </c:pt>
                <c:pt idx="45">
                  <c:v>2413.5802469135797</c:v>
                </c:pt>
                <c:pt idx="46">
                  <c:v>2466.049382716049</c:v>
                </c:pt>
                <c:pt idx="47">
                  <c:v>2518.5185185185182</c:v>
                </c:pt>
                <c:pt idx="48">
                  <c:v>2570.9876543209875</c:v>
                </c:pt>
                <c:pt idx="49">
                  <c:v>2623.4567901234568</c:v>
                </c:pt>
                <c:pt idx="50">
                  <c:v>2675.9259259259261</c:v>
                </c:pt>
                <c:pt idx="51">
                  <c:v>2728.3950617283954</c:v>
                </c:pt>
                <c:pt idx="52">
                  <c:v>2780.8641975308647</c:v>
                </c:pt>
                <c:pt idx="53">
                  <c:v>2833.3333333333339</c:v>
                </c:pt>
                <c:pt idx="54">
                  <c:v>2885.8024691358032</c:v>
                </c:pt>
                <c:pt idx="55">
                  <c:v>2938.2716049382725</c:v>
                </c:pt>
                <c:pt idx="56">
                  <c:v>2990.7407407407418</c:v>
                </c:pt>
                <c:pt idx="57">
                  <c:v>3043.2098765432111</c:v>
                </c:pt>
                <c:pt idx="58">
                  <c:v>3095.6790123456803</c:v>
                </c:pt>
                <c:pt idx="59">
                  <c:v>3148.1481481481496</c:v>
                </c:pt>
                <c:pt idx="60">
                  <c:v>3200.6172839506189</c:v>
                </c:pt>
                <c:pt idx="61">
                  <c:v>3253.0864197530882</c:v>
                </c:pt>
                <c:pt idx="62">
                  <c:v>3305.5555555555575</c:v>
                </c:pt>
                <c:pt idx="63">
                  <c:v>3358.0246913580268</c:v>
                </c:pt>
                <c:pt idx="64">
                  <c:v>3410.493827160496</c:v>
                </c:pt>
                <c:pt idx="65">
                  <c:v>3462.9629629629653</c:v>
                </c:pt>
                <c:pt idx="66">
                  <c:v>3515.4320987654346</c:v>
                </c:pt>
                <c:pt idx="67">
                  <c:v>3567.9012345679039</c:v>
                </c:pt>
                <c:pt idx="68">
                  <c:v>3620.3703703703732</c:v>
                </c:pt>
                <c:pt idx="69">
                  <c:v>3672.8395061728424</c:v>
                </c:pt>
                <c:pt idx="70">
                  <c:v>3725.3086419753117</c:v>
                </c:pt>
                <c:pt idx="71">
                  <c:v>3777.777777777781</c:v>
                </c:pt>
                <c:pt idx="72">
                  <c:v>3830.2469135802503</c:v>
                </c:pt>
                <c:pt idx="73">
                  <c:v>3882.7160493827196</c:v>
                </c:pt>
                <c:pt idx="74">
                  <c:v>3935.1851851851889</c:v>
                </c:pt>
                <c:pt idx="75">
                  <c:v>3987.6543209876581</c:v>
                </c:pt>
                <c:pt idx="76">
                  <c:v>4040.1234567901274</c:v>
                </c:pt>
                <c:pt idx="77">
                  <c:v>4092.5925925925967</c:v>
                </c:pt>
                <c:pt idx="78">
                  <c:v>4145.061728395066</c:v>
                </c:pt>
                <c:pt idx="79">
                  <c:v>4197.5308641975353</c:v>
                </c:pt>
                <c:pt idx="80">
                  <c:v>4250.0000000000045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32-424B-9C00-58EE29D75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974087"/>
        <c:axId val="744029703"/>
      </c:scatterChart>
      <c:valAx>
        <c:axId val="684974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from Allometric Eqn. Using Manual Data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29703"/>
        <c:crosses val="autoZero"/>
        <c:crossBetween val="midCat"/>
      </c:valAx>
      <c:valAx>
        <c:axId val="744029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from Allometric Eqn. Using WT Data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974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0" i="0" u="none" strike="noStrike" kern="1200" spc="0" baseline="0">
                <a:solidFill>
                  <a:sysClr val="windowText" lastClr="00000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n-US" sz="3600" b="1">
                <a:solidFill>
                  <a:sysClr val="windowText" lastClr="000000"/>
                </a:solidFill>
              </a:rPr>
              <a:t>West California Garden DBH</a:t>
            </a:r>
            <a:r>
              <a:rPr lang="en-US" sz="3600" b="1" baseline="0">
                <a:solidFill>
                  <a:sysClr val="windowText" lastClr="000000"/>
                </a:solidFill>
              </a:rPr>
              <a:t>: 9 Species, 50 Trees, n = 85 Stems  </a:t>
            </a:r>
            <a:endParaRPr lang="en-US" sz="3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8184240854442316"/>
          <c:y val="2.435808386483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spc="0" baseline="0">
              <a:solidFill>
                <a:sysClr val="windowText" lastClr="00000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64642561591542"/>
          <c:y val="0.13760784313725491"/>
          <c:w val="0.79101932796806873"/>
          <c:h val="0.76394970911660065"/>
        </c:manualLayout>
      </c:layout>
      <c:scatterChart>
        <c:scatterStyle val="lineMarker"/>
        <c:varyColors val="0"/>
        <c:ser>
          <c:idx val="0"/>
          <c:order val="0"/>
          <c:tx>
            <c:strRef>
              <c:f>Graphs!$K$2</c:f>
              <c:strCache>
                <c:ptCount val="1"/>
                <c:pt idx="0">
                  <c:v>DBH (m)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154734"/>
              </a:solidFill>
              <a:ln w="1270">
                <a:solidFill>
                  <a:schemeClr val="bg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Graphs!$M$3:$M$99</c:f>
              <c:numCache>
                <c:formatCode>General</c:formatCode>
                <c:ptCount val="97"/>
                <c:pt idx="0">
                  <c:v>83.1</c:v>
                </c:pt>
                <c:pt idx="1">
                  <c:v>85</c:v>
                </c:pt>
                <c:pt idx="2">
                  <c:v>31.2</c:v>
                </c:pt>
                <c:pt idx="3">
                  <c:v>40.9</c:v>
                </c:pt>
                <c:pt idx="4">
                  <c:v>53.900000000000006</c:v>
                </c:pt>
                <c:pt idx="5">
                  <c:v>78.2</c:v>
                </c:pt>
                <c:pt idx="6">
                  <c:v>31.2</c:v>
                </c:pt>
                <c:pt idx="7">
                  <c:v>51.9</c:v>
                </c:pt>
                <c:pt idx="8">
                  <c:v>56.499999999999993</c:v>
                </c:pt>
                <c:pt idx="9">
                  <c:v>58.099999999999994</c:v>
                </c:pt>
                <c:pt idx="10">
                  <c:v>38.700000000000003</c:v>
                </c:pt>
                <c:pt idx="11">
                  <c:v>14.399999999999999</c:v>
                </c:pt>
                <c:pt idx="12">
                  <c:v>45</c:v>
                </c:pt>
                <c:pt idx="13">
                  <c:v>30.599999999999998</c:v>
                </c:pt>
                <c:pt idx="14">
                  <c:v>47.199999999999996</c:v>
                </c:pt>
                <c:pt idx="15">
                  <c:v>47.5</c:v>
                </c:pt>
                <c:pt idx="16">
                  <c:v>51.4</c:v>
                </c:pt>
                <c:pt idx="17">
                  <c:v>23.1</c:v>
                </c:pt>
                <c:pt idx="18">
                  <c:v>30</c:v>
                </c:pt>
                <c:pt idx="19">
                  <c:v>12.5</c:v>
                </c:pt>
                <c:pt idx="20">
                  <c:v>11</c:v>
                </c:pt>
                <c:pt idx="21">
                  <c:v>33.800000000000004</c:v>
                </c:pt>
                <c:pt idx="22">
                  <c:v>21.3</c:v>
                </c:pt>
                <c:pt idx="23">
                  <c:v>24</c:v>
                </c:pt>
                <c:pt idx="24">
                  <c:v>25.5</c:v>
                </c:pt>
                <c:pt idx="25">
                  <c:v>19.2</c:v>
                </c:pt>
                <c:pt idx="26">
                  <c:v>49.1</c:v>
                </c:pt>
                <c:pt idx="27">
                  <c:v>23.599999999999998</c:v>
                </c:pt>
                <c:pt idx="28">
                  <c:v>23.7</c:v>
                </c:pt>
                <c:pt idx="29">
                  <c:v>46</c:v>
                </c:pt>
                <c:pt idx="30">
                  <c:v>25.900000000000002</c:v>
                </c:pt>
                <c:pt idx="31">
                  <c:v>32.700000000000003</c:v>
                </c:pt>
                <c:pt idx="32">
                  <c:v>34.4</c:v>
                </c:pt>
                <c:pt idx="33">
                  <c:v>25.8</c:v>
                </c:pt>
                <c:pt idx="34">
                  <c:v>34</c:v>
                </c:pt>
                <c:pt idx="35">
                  <c:v>43.2</c:v>
                </c:pt>
                <c:pt idx="36">
                  <c:v>53</c:v>
                </c:pt>
                <c:pt idx="37">
                  <c:v>39.900000000000006</c:v>
                </c:pt>
                <c:pt idx="38">
                  <c:v>31</c:v>
                </c:pt>
                <c:pt idx="39">
                  <c:v>9</c:v>
                </c:pt>
                <c:pt idx="40">
                  <c:v>50.6</c:v>
                </c:pt>
                <c:pt idx="41">
                  <c:v>56.399999999999991</c:v>
                </c:pt>
                <c:pt idx="42">
                  <c:v>48.199999999999996</c:v>
                </c:pt>
                <c:pt idx="43">
                  <c:v>13.100000000000001</c:v>
                </c:pt>
                <c:pt idx="44">
                  <c:v>13.5</c:v>
                </c:pt>
                <c:pt idx="45">
                  <c:v>11.799999999999999</c:v>
                </c:pt>
                <c:pt idx="46">
                  <c:v>12.4</c:v>
                </c:pt>
                <c:pt idx="47">
                  <c:v>9.3000000000000007</c:v>
                </c:pt>
                <c:pt idx="48">
                  <c:v>13.5</c:v>
                </c:pt>
                <c:pt idx="49">
                  <c:v>6.3</c:v>
                </c:pt>
                <c:pt idx="50">
                  <c:v>32.800000000000004</c:v>
                </c:pt>
                <c:pt idx="51">
                  <c:v>25.2</c:v>
                </c:pt>
                <c:pt idx="52">
                  <c:v>14.499999999999998</c:v>
                </c:pt>
                <c:pt idx="53">
                  <c:v>15.7</c:v>
                </c:pt>
                <c:pt idx="54">
                  <c:v>15.8</c:v>
                </c:pt>
                <c:pt idx="55">
                  <c:v>6.7</c:v>
                </c:pt>
                <c:pt idx="56">
                  <c:v>13.100000000000001</c:v>
                </c:pt>
                <c:pt idx="57">
                  <c:v>17.399999999999999</c:v>
                </c:pt>
                <c:pt idx="58">
                  <c:v>12</c:v>
                </c:pt>
                <c:pt idx="59">
                  <c:v>35.199999999999996</c:v>
                </c:pt>
                <c:pt idx="60">
                  <c:v>14.000000000000002</c:v>
                </c:pt>
                <c:pt idx="61">
                  <c:v>28.000000000000004</c:v>
                </c:pt>
                <c:pt idx="62">
                  <c:v>11.700000000000001</c:v>
                </c:pt>
                <c:pt idx="63">
                  <c:v>32</c:v>
                </c:pt>
                <c:pt idx="64">
                  <c:v>41.8</c:v>
                </c:pt>
                <c:pt idx="65">
                  <c:v>21</c:v>
                </c:pt>
                <c:pt idx="66">
                  <c:v>9</c:v>
                </c:pt>
                <c:pt idx="67">
                  <c:v>28.000000000000004</c:v>
                </c:pt>
                <c:pt idx="68">
                  <c:v>15.5</c:v>
                </c:pt>
                <c:pt idx="69">
                  <c:v>22.3</c:v>
                </c:pt>
                <c:pt idx="70">
                  <c:v>32.6</c:v>
                </c:pt>
                <c:pt idx="71">
                  <c:v>24.5</c:v>
                </c:pt>
                <c:pt idx="72">
                  <c:v>16.7</c:v>
                </c:pt>
                <c:pt idx="73">
                  <c:v>17.7</c:v>
                </c:pt>
                <c:pt idx="74">
                  <c:v>22.2</c:v>
                </c:pt>
                <c:pt idx="75">
                  <c:v>21.9</c:v>
                </c:pt>
                <c:pt idx="76">
                  <c:v>19.5</c:v>
                </c:pt>
                <c:pt idx="77">
                  <c:v>20.3</c:v>
                </c:pt>
                <c:pt idx="78">
                  <c:v>11.600000000000001</c:v>
                </c:pt>
                <c:pt idx="79">
                  <c:v>9.9</c:v>
                </c:pt>
                <c:pt idx="80">
                  <c:v>42.5</c:v>
                </c:pt>
                <c:pt idx="81">
                  <c:v>17.5</c:v>
                </c:pt>
                <c:pt idx="82">
                  <c:v>25</c:v>
                </c:pt>
                <c:pt idx="83">
                  <c:v>3.9</c:v>
                </c:pt>
                <c:pt idx="84">
                  <c:v>4.8</c:v>
                </c:pt>
                <c:pt idx="85">
                  <c:v>16.900000000000002</c:v>
                </c:pt>
                <c:pt idx="86">
                  <c:v>14.099999999999998</c:v>
                </c:pt>
                <c:pt idx="87">
                  <c:v>5.0999999999999996</c:v>
                </c:pt>
                <c:pt idx="88">
                  <c:v>34.200000000000003</c:v>
                </c:pt>
                <c:pt idx="89">
                  <c:v>11.5</c:v>
                </c:pt>
                <c:pt idx="90">
                  <c:v>23.5</c:v>
                </c:pt>
                <c:pt idx="91">
                  <c:v>22.6</c:v>
                </c:pt>
                <c:pt idx="92">
                  <c:v>12.2</c:v>
                </c:pt>
                <c:pt idx="93">
                  <c:v>3.5000000000000004</c:v>
                </c:pt>
                <c:pt idx="94">
                  <c:v>5.3</c:v>
                </c:pt>
                <c:pt idx="95">
                  <c:v>5.5</c:v>
                </c:pt>
                <c:pt idx="96">
                  <c:v>9.7000000000000011</c:v>
                </c:pt>
              </c:numCache>
            </c:numRef>
          </c:xVal>
          <c:yVal>
            <c:numRef>
              <c:f>Graphs!$N$3:$N$99</c:f>
              <c:numCache>
                <c:formatCode>0.0</c:formatCode>
                <c:ptCount val="97"/>
                <c:pt idx="0">
                  <c:v>84.479811580441094</c:v>
                </c:pt>
                <c:pt idx="1">
                  <c:v>76.811853887826302</c:v>
                </c:pt>
                <c:pt idx="2">
                  <c:v>29.197999646534502</c:v>
                </c:pt>
                <c:pt idx="3">
                  <c:v>40.847131049311095</c:v>
                </c:pt>
                <c:pt idx="4">
                  <c:v>55.843697910515601</c:v>
                </c:pt>
                <c:pt idx="5">
                  <c:v>74.107102039967799</c:v>
                </c:pt>
                <c:pt idx="6">
                  <c:v>25.306192931507198</c:v>
                </c:pt>
                <c:pt idx="7">
                  <c:v>46.266606339849595</c:v>
                </c:pt>
                <c:pt idx="8">
                  <c:v>51.640786008651297</c:v>
                </c:pt>
                <c:pt idx="9">
                  <c:v>35.709720155387394</c:v>
                </c:pt>
                <c:pt idx="10">
                  <c:v>35.948565592226004</c:v>
                </c:pt>
                <c:pt idx="11">
                  <c:v>13.822587807469999</c:v>
                </c:pt>
                <c:pt idx="12">
                  <c:v>41.157524853162904</c:v>
                </c:pt>
                <c:pt idx="13">
                  <c:v>29.4164469151061</c:v>
                </c:pt>
                <c:pt idx="14">
                  <c:v>44.833852089518899</c:v>
                </c:pt>
                <c:pt idx="15">
                  <c:v>50.010013137087803</c:v>
                </c:pt>
                <c:pt idx="16">
                  <c:v>47.424681541060998</c:v>
                </c:pt>
                <c:pt idx="17">
                  <c:v>21.3655700434681</c:v>
                </c:pt>
                <c:pt idx="18">
                  <c:v>28.408539676588401</c:v>
                </c:pt>
                <c:pt idx="19">
                  <c:v>11.520452826521</c:v>
                </c:pt>
                <c:pt idx="20">
                  <c:v>10.228355362682299</c:v>
                </c:pt>
                <c:pt idx="21">
                  <c:v>28.040143397232796</c:v>
                </c:pt>
                <c:pt idx="22">
                  <c:v>18.495096359921401</c:v>
                </c:pt>
                <c:pt idx="23">
                  <c:v>22.3855853763577</c:v>
                </c:pt>
                <c:pt idx="24">
                  <c:v>24.117258157309198</c:v>
                </c:pt>
                <c:pt idx="25">
                  <c:v>16.812205594777698</c:v>
                </c:pt>
                <c:pt idx="26">
                  <c:v>43.914294885090399</c:v>
                </c:pt>
                <c:pt idx="27">
                  <c:v>21.061567724710699</c:v>
                </c:pt>
                <c:pt idx="28">
                  <c:v>18.681470632601499</c:v>
                </c:pt>
                <c:pt idx="29">
                  <c:v>42.1546313427679</c:v>
                </c:pt>
                <c:pt idx="30">
                  <c:v>26.523684436853102</c:v>
                </c:pt>
                <c:pt idx="31">
                  <c:v>28.0983437166058</c:v>
                </c:pt>
                <c:pt idx="32">
                  <c:v>34.173329062757603</c:v>
                </c:pt>
                <c:pt idx="33">
                  <c:v>21.662830278481099</c:v>
                </c:pt>
                <c:pt idx="34">
                  <c:v>29.312723074838498</c:v>
                </c:pt>
                <c:pt idx="35">
                  <c:v>37.384262345453301</c:v>
                </c:pt>
                <c:pt idx="36">
                  <c:v>49.099558511523298</c:v>
                </c:pt>
                <c:pt idx="37">
                  <c:v>40.315870807506997</c:v>
                </c:pt>
                <c:pt idx="38">
                  <c:v>31.8936152421823</c:v>
                </c:pt>
                <c:pt idx="39">
                  <c:v>8.6483989022523708</c:v>
                </c:pt>
                <c:pt idx="40">
                  <c:v>50.968585278216906</c:v>
                </c:pt>
                <c:pt idx="41">
                  <c:v>52.833857906884198</c:v>
                </c:pt>
                <c:pt idx="42">
                  <c:v>49.730935309728004</c:v>
                </c:pt>
                <c:pt idx="43">
                  <c:v>12.4135018719643</c:v>
                </c:pt>
                <c:pt idx="44">
                  <c:v>11.9537722413443</c:v>
                </c:pt>
                <c:pt idx="45">
                  <c:v>11.0198944024981</c:v>
                </c:pt>
                <c:pt idx="46">
                  <c:v>11.277393575941399</c:v>
                </c:pt>
                <c:pt idx="47">
                  <c:v>7.8797186380536708</c:v>
                </c:pt>
                <c:pt idx="48">
                  <c:v>12.439705906618199</c:v>
                </c:pt>
                <c:pt idx="49">
                  <c:v>6.10548779245239</c:v>
                </c:pt>
                <c:pt idx="50">
                  <c:v>30.8383080264874</c:v>
                </c:pt>
                <c:pt idx="51">
                  <c:v>22.118615125141698</c:v>
                </c:pt>
                <c:pt idx="52">
                  <c:v>13.553993788621399</c:v>
                </c:pt>
                <c:pt idx="53">
                  <c:v>14.918288691336501</c:v>
                </c:pt>
                <c:pt idx="54">
                  <c:v>13.9083605189611</c:v>
                </c:pt>
                <c:pt idx="55">
                  <c:v>7.4121627462758495</c:v>
                </c:pt>
                <c:pt idx="56">
                  <c:v>11.7513367990065</c:v>
                </c:pt>
                <c:pt idx="57">
                  <c:v>15.659395255515902</c:v>
                </c:pt>
                <c:pt idx="58">
                  <c:v>10.915502210329301</c:v>
                </c:pt>
                <c:pt idx="59">
                  <c:v>32.3603937858744</c:v>
                </c:pt>
                <c:pt idx="60">
                  <c:v>9.4102393941898086</c:v>
                </c:pt>
                <c:pt idx="61">
                  <c:v>27.565844900199298</c:v>
                </c:pt>
                <c:pt idx="62">
                  <c:v>11.5429212849173</c:v>
                </c:pt>
                <c:pt idx="63">
                  <c:v>27.981795898218099</c:v>
                </c:pt>
                <c:pt idx="64">
                  <c:v>36.687783854128497</c:v>
                </c:pt>
                <c:pt idx="65">
                  <c:v>16.636138531247401</c:v>
                </c:pt>
                <c:pt idx="66">
                  <c:v>8.4537044486569002</c:v>
                </c:pt>
                <c:pt idx="67">
                  <c:v>25.343617034204403</c:v>
                </c:pt>
                <c:pt idx="68">
                  <c:v>13.519412646124302</c:v>
                </c:pt>
                <c:pt idx="69">
                  <c:v>20.229396508562498</c:v>
                </c:pt>
                <c:pt idx="70">
                  <c:v>30.445444834844697</c:v>
                </c:pt>
                <c:pt idx="71">
                  <c:v>23.925096114201601</c:v>
                </c:pt>
                <c:pt idx="72">
                  <c:v>15.4639683686972</c:v>
                </c:pt>
                <c:pt idx="73">
                  <c:v>18.034055555130802</c:v>
                </c:pt>
                <c:pt idx="74">
                  <c:v>20.9370088154417</c:v>
                </c:pt>
                <c:pt idx="75">
                  <c:v>20.827903461986399</c:v>
                </c:pt>
                <c:pt idx="76">
                  <c:v>17.403961872036799</c:v>
                </c:pt>
                <c:pt idx="77">
                  <c:v>17.567112907094202</c:v>
                </c:pt>
                <c:pt idx="78">
                  <c:v>8.9052836755894003</c:v>
                </c:pt>
                <c:pt idx="79">
                  <c:v>9.5188062714119095</c:v>
                </c:pt>
                <c:pt idx="80">
                  <c:v>35.785694235348195</c:v>
                </c:pt>
                <c:pt idx="81">
                  <c:v>16.0301667269833</c:v>
                </c:pt>
                <c:pt idx="82">
                  <c:v>22.927824720952302</c:v>
                </c:pt>
                <c:pt idx="83">
                  <c:v>3.96455938959559</c:v>
                </c:pt>
                <c:pt idx="84">
                  <c:v>2.8992381822585402</c:v>
                </c:pt>
                <c:pt idx="85">
                  <c:v>15.1257359578925</c:v>
                </c:pt>
                <c:pt idx="86">
                  <c:v>11.602251948084801</c:v>
                </c:pt>
                <c:pt idx="87">
                  <c:v>5.6039711103442897</c:v>
                </c:pt>
                <c:pt idx="88">
                  <c:v>31.166328681907601</c:v>
                </c:pt>
                <c:pt idx="89">
                  <c:v>9.5518751656461607</c:v>
                </c:pt>
                <c:pt idx="90">
                  <c:v>20.726275094472399</c:v>
                </c:pt>
                <c:pt idx="91">
                  <c:v>9.9652277618944094</c:v>
                </c:pt>
                <c:pt idx="92">
                  <c:v>9.8544499776234691</c:v>
                </c:pt>
                <c:pt idx="93">
                  <c:v>3.4890233187223498</c:v>
                </c:pt>
                <c:pt idx="94">
                  <c:v>4.6117154475760795</c:v>
                </c:pt>
                <c:pt idx="95">
                  <c:v>6.0299719295750398</c:v>
                </c:pt>
                <c:pt idx="96">
                  <c:v>8.1575479689261812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8-4FF5-A607-51DF68AEE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61696"/>
        <c:axId val="585386560"/>
      </c:scatterChart>
      <c:valAx>
        <c:axId val="200861696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n-US" sz="3600"/>
                  <a:t>DBH with Measuring</a:t>
                </a:r>
                <a:r>
                  <a:rPr lang="en-US" sz="3600" baseline="0"/>
                  <a:t> Tape (cm)</a:t>
                </a:r>
                <a:endParaRPr lang="en-US" sz="3600"/>
              </a:p>
            </c:rich>
          </c:tx>
          <c:layout>
            <c:manualLayout>
              <c:xMode val="edge"/>
              <c:yMode val="edge"/>
              <c:x val="0.18189500256616095"/>
              <c:y val="0.94168813952401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ysClr val="windowText" lastClr="000000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585386560"/>
        <c:crosses val="autoZero"/>
        <c:crossBetween val="midCat"/>
        <c:majorUnit val="10"/>
      </c:valAx>
      <c:valAx>
        <c:axId val="5853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n-US" sz="3600"/>
                  <a:t>DBH</a:t>
                </a:r>
                <a:r>
                  <a:rPr lang="en-US" sz="3600" baseline="0"/>
                  <a:t> with Working Trees App (cm)</a:t>
                </a:r>
                <a:endParaRPr lang="en-US" sz="3600"/>
              </a:p>
            </c:rich>
          </c:tx>
          <c:layout>
            <c:manualLayout>
              <c:xMode val="edge"/>
              <c:yMode val="edge"/>
              <c:x val="1.205582989061931E-2"/>
              <c:y val="0.24606310427263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ysClr val="windowText" lastClr="000000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086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venir Next LT Pro" panose="020B05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2962275</xdr:colOff>
      <xdr:row>18</xdr:row>
      <xdr:rowOff>180975</xdr:rowOff>
    </xdr:from>
    <xdr:to>
      <xdr:col>22</xdr:col>
      <xdr:colOff>714375</xdr:colOff>
      <xdr:row>33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2895600</xdr:colOff>
      <xdr:row>13</xdr:row>
      <xdr:rowOff>104775</xdr:rowOff>
    </xdr:from>
    <xdr:to>
      <xdr:col>21</xdr:col>
      <xdr:colOff>666750</xdr:colOff>
      <xdr:row>28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AD512-0842-01A9-CCFE-572C844C6471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400578</xdr:colOff>
      <xdr:row>182</xdr:row>
      <xdr:rowOff>110066</xdr:rowOff>
    </xdr:from>
    <xdr:to>
      <xdr:col>21</xdr:col>
      <xdr:colOff>1822450</xdr:colOff>
      <xdr:row>216</xdr:row>
      <xdr:rowOff>3704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F4DA814-FCBF-FD91-95D0-561915FDE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390525</xdr:colOff>
      <xdr:row>87</xdr:row>
      <xdr:rowOff>57150</xdr:rowOff>
    </xdr:from>
    <xdr:to>
      <xdr:col>14</xdr:col>
      <xdr:colOff>1438275</xdr:colOff>
      <xdr:row>106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4F74E1-D27E-8009-387C-F1DFBF831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171450</xdr:colOff>
      <xdr:row>110</xdr:row>
      <xdr:rowOff>171450</xdr:rowOff>
    </xdr:from>
    <xdr:to>
      <xdr:col>6</xdr:col>
      <xdr:colOff>1600200</xdr:colOff>
      <xdr:row>129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C9652A-1AAD-4477-AFBB-39034E0D7D2C}"/>
            </a:ext>
            <a:ext uri="{147F2762-F138-4A5C-976F-8EAC2B608ADB}">
              <a16:predDERef xmlns:a16="http://schemas.microsoft.com/office/drawing/2014/main" pred="{A54F74E1-D27E-8009-387C-F1DFBF831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66675</xdr:colOff>
      <xdr:row>130</xdr:row>
      <xdr:rowOff>0</xdr:rowOff>
    </xdr:from>
    <xdr:to>
      <xdr:col>7</xdr:col>
      <xdr:colOff>180975</xdr:colOff>
      <xdr:row>150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8B9137-42AB-4E6B-A86D-B5B309F5C68A}"/>
            </a:ext>
            <a:ext uri="{147F2762-F138-4A5C-976F-8EAC2B608ADB}">
              <a16:predDERef xmlns:a16="http://schemas.microsoft.com/office/drawing/2014/main" pred="{8CC9652A-1AAD-4477-AFBB-39034E0D7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453571</xdr:colOff>
      <xdr:row>7</xdr:row>
      <xdr:rowOff>16711</xdr:rowOff>
    </xdr:from>
    <xdr:to>
      <xdr:col>34</xdr:col>
      <xdr:colOff>298583</xdr:colOff>
      <xdr:row>79</xdr:row>
      <xdr:rowOff>164087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0E0057-45D5-9730-FB1B-452054957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rebasestorage.googleapis.com/v0/b/wt-foundation-production.appspot.com/o/measurements%2FMeasureMethod.ADM_FIXED_PCT%2Fdepth%2F1773947057141?alt=media&amp;token=8160b619-16a1-4a62-a9a3-3f66c2f7cb82" TargetMode="External"/><Relationship Id="rId21" Type="http://schemas.openxmlformats.org/officeDocument/2006/relationships/hyperlink" Target="https://firebasestorage.googleapis.com/v0/b/wt-foundation-production.appspot.com/o/measurements%2FMeasureMethod.ADM_FIXED_PCT%2Fdepth%2F1773895960152?alt=media&amp;token=ac4a7445-c880-491d-9980-6503faaa97f7" TargetMode="External"/><Relationship Id="rId324" Type="http://schemas.openxmlformats.org/officeDocument/2006/relationships/hyperlink" Target="https://firebasestorage.googleapis.com/v0/b/wt-foundation-production.appspot.com/o/measurements%2FMeasureMethod.ADM_FIXED_PCT%2FheightPhoto%2F1776654469303?alt=media&amp;token=eec5b477-0dc8-4e3f-b429-38ebe88161ce" TargetMode="External"/><Relationship Id="rId170" Type="http://schemas.openxmlformats.org/officeDocument/2006/relationships/hyperlink" Target="https://firebasestorage.googleapis.com/v0/b/wt-foundation-production.appspot.com/o/measurements%2FMeasureMethod.ADM_FIXED_PCT%2FheightPhoto%2F1773950859411?alt=media&amp;token=866c1a6e-abd2-4a53-847a-1e064672b9ba" TargetMode="External"/><Relationship Id="rId268" Type="http://schemas.openxmlformats.org/officeDocument/2006/relationships/hyperlink" Target="https://firebasestorage.googleapis.com/v0/b/wt-foundation-production.appspot.com/o/measurements%2FMeasureMethod.ADM_FIXED_PCT%2FdbhPhoto%2F1773953216242?alt=media&amp;token=0860748b-f803-47db-8016-69ad646e446c" TargetMode="External"/><Relationship Id="rId475" Type="http://schemas.openxmlformats.org/officeDocument/2006/relationships/hyperlink" Target="https://firebasestorage.googleapis.com/v0/b/wt-foundation-production.appspot.com/o/measurements%2FMeasureMethod.ADM_FIXED_PCT%2FdbhPhoto%2F1778363927229?alt=media&amp;token=a5107aec-5bf7-4aee-9501-b1ce4a49311c" TargetMode="External"/><Relationship Id="rId32" Type="http://schemas.openxmlformats.org/officeDocument/2006/relationships/hyperlink" Target="https://firebasestorage.googleapis.com/v0/b/wt-foundation-production.appspot.com/o/measurements%2FMeasureMethod.ADM_FIXED_PCT%2FheightPhoto%2F1773896116710?alt=media&amp;token=ea46caa3-c378-478f-8160-7efd3a5364ff" TargetMode="External"/><Relationship Id="rId74" Type="http://schemas.openxmlformats.org/officeDocument/2006/relationships/hyperlink" Target="https://firebasestorage.googleapis.com/v0/b/wt-foundation-production.appspot.com/o/measurements%2FMeasureMethod.ADM_FIXED_PCT%2FheightPhoto%2F1773954061339?alt=media&amp;token=223e9c84-fcce-4fd7-a4f0-9c65e000d064" TargetMode="External"/><Relationship Id="rId128" Type="http://schemas.openxmlformats.org/officeDocument/2006/relationships/hyperlink" Target="https://firebasestorage.googleapis.com/v0/b/wt-foundation-production.appspot.com/o/measurements%2FMeasureMethod.ADM_FIXED_PCT%2FheightPhoto%2F1773947280679?alt=media&amp;token=98476da9-3b03-49e1-8c92-a868ff994713" TargetMode="External"/><Relationship Id="rId335" Type="http://schemas.openxmlformats.org/officeDocument/2006/relationships/hyperlink" Target="https://firebasestorage.googleapis.com/v0/b/wt-foundation-production.appspot.com/o/measurements%2FMeasureMethod.ADM_FIXED_PCT%2FdbhPhoto%2F1777484482675?alt=media&amp;token=71d0ec6e-aeba-46ab-b82f-90f5c802795c" TargetMode="External"/><Relationship Id="rId377" Type="http://schemas.openxmlformats.org/officeDocument/2006/relationships/hyperlink" Target="https://firebasestorage.googleapis.com/v0/b/wt-foundation-production.appspot.com/o/measurements%2FMeasureMethod.ADM_FIXED_PCT%2FdbhPhoto%2F1778276027634?alt=media&amp;token=ee763374-119c-4174-bef6-543ec39089bd" TargetMode="External"/><Relationship Id="rId500" Type="http://schemas.openxmlformats.org/officeDocument/2006/relationships/hyperlink" Target="https://firebasestorage.googleapis.com/v0/b/wt-foundation-production.appspot.com/o/measurements%2FMeasureMethod.ADM_FIXED_PCT%2FheightPhoto%2F1778365537275?alt=media&amp;token=9aa0c799-0287-4878-b2b0-42c8af489362" TargetMode="External"/><Relationship Id="rId5" Type="http://schemas.openxmlformats.org/officeDocument/2006/relationships/hyperlink" Target="https://firebasestorage.googleapis.com/v0/b/wt-foundation-production.appspot.com/o/measurements%2FMeasureMethod.ADM_FIXED_PCT%2FheightPhoto%2F1773300399955?alt=media&amp;token=166c182a-e0fd-4ed6-aa9b-015fd4e76059" TargetMode="External"/><Relationship Id="rId181" Type="http://schemas.openxmlformats.org/officeDocument/2006/relationships/hyperlink" Target="https://firebasestorage.googleapis.com/v0/b/wt-foundation-production.appspot.com/o/measurements%2FMeasureMethod.ADM_FIXED_PCT%2FdbhPhoto%2F1773951487781?alt=media&amp;token=a601171a-2131-44ae-acf3-b126a30a4c38" TargetMode="External"/><Relationship Id="rId237" Type="http://schemas.openxmlformats.org/officeDocument/2006/relationships/hyperlink" Target="https://firebasestorage.googleapis.com/v0/b/wt-foundation-production.appspot.com/o/measurements%2FMeasureMethod.ADM_FIXED_PCT%2Fdepth%2F1773952444079?alt=media&amp;token=8227fc46-49d2-4a8f-8975-b7db88d5b85f" TargetMode="External"/><Relationship Id="rId402" Type="http://schemas.openxmlformats.org/officeDocument/2006/relationships/hyperlink" Target="https://firebasestorage.googleapis.com/v0/b/wt-foundation-production.appspot.com/o/measurements%2FMeasureMethod.ADM_FIXED_PCT%2FheightPhoto%2F1778276243751?alt=media&amp;token=c2f5a237-7990-48e5-aae6-69e1b4e098b3" TargetMode="External"/><Relationship Id="rId279" Type="http://schemas.openxmlformats.org/officeDocument/2006/relationships/hyperlink" Target="https://firebasestorage.googleapis.com/v0/b/wt-foundation-production.appspot.com/o/measurements%2FMeasureMethod.ADM_FIXED_PCT%2Fdepth%2F1773953304048?alt=media&amp;token=e7e87b82-18ad-4913-a831-e2b3fa7163a3" TargetMode="External"/><Relationship Id="rId444" Type="http://schemas.openxmlformats.org/officeDocument/2006/relationships/hyperlink" Target="https://firebasestorage.googleapis.com/v0/b/wt-foundation-production.appspot.com/o/measurements%2FMeasureMethod.ADM_FIXED_PCT%2FheightPhoto%2F1778363846170?alt=media&amp;token=8c7aff57-4fe9-428c-8a76-60e763327c5b" TargetMode="External"/><Relationship Id="rId486" Type="http://schemas.openxmlformats.org/officeDocument/2006/relationships/hyperlink" Target="https://firebasestorage.googleapis.com/v0/b/wt-foundation-production.appspot.com/o/measurements%2FMeasureMethod.ADM_FIXED_PCT%2FheightPhoto%2F1778399386453?alt=media&amp;token=eed6a65d-6d74-43a4-bf0a-239ee01f6297" TargetMode="External"/><Relationship Id="rId43" Type="http://schemas.openxmlformats.org/officeDocument/2006/relationships/hyperlink" Target="https://firebasestorage.googleapis.com/v0/b/wt-foundation-production.appspot.com/o/measurements%2FMeasureMethod.ADM_FIXED_PCT%2FdbhPhoto%2F1773897074510?alt=media&amp;token=bb963d49-ea06-4d09-832a-84641283da42" TargetMode="External"/><Relationship Id="rId139" Type="http://schemas.openxmlformats.org/officeDocument/2006/relationships/hyperlink" Target="https://firebasestorage.googleapis.com/v0/b/wt-foundation-production.appspot.com/o/measurements%2FMeasureMethod.ADM_FIXED_PCT%2FdbhPhoto%2F1773950555808?alt=media&amp;token=c0b31f24-d561-44bc-b3ed-3241c14e1526" TargetMode="External"/><Relationship Id="rId290" Type="http://schemas.openxmlformats.org/officeDocument/2006/relationships/hyperlink" Target="https://firebasestorage.googleapis.com/v0/b/wt-foundation-production.appspot.com/o/measurements%2FMeasureMethod.ADM_FIXED_PCT%2FheightPhoto%2F1773953779666?alt=media&amp;token=8fcd921e-eb67-4536-a578-b015df4362f1" TargetMode="External"/><Relationship Id="rId304" Type="http://schemas.openxmlformats.org/officeDocument/2006/relationships/hyperlink" Target="https://firebasestorage.googleapis.com/v0/b/wt-foundation-production.appspot.com/o/measurements%2FMeasureMethod.ADM_FIXED_PCT%2FheightPhoto%2F1776654422409?alt=media&amp;token=609d9647-feba-4b7b-9375-0272354f21dd" TargetMode="External"/><Relationship Id="rId346" Type="http://schemas.openxmlformats.org/officeDocument/2006/relationships/hyperlink" Target="https://firebasestorage.googleapis.com/v0/b/wt-foundation-production.appspot.com/o/measurements%2FMeasureMethod.ADM_FIXED_PCT%2FheightPhoto%2F1777661782039?alt=media&amp;token=84b9beca-7199-485b-a109-46aac9087233" TargetMode="External"/><Relationship Id="rId388" Type="http://schemas.openxmlformats.org/officeDocument/2006/relationships/hyperlink" Target="https://firebasestorage.googleapis.com/v0/b/wt-foundation-production.appspot.com/o/measurements%2FMeasureMethod.ADM_FIXED_PCT%2FheightPhoto%2F1778276210180?alt=media&amp;token=09045526-47cc-4d53-97f2-04795db84040" TargetMode="External"/><Relationship Id="rId511" Type="http://schemas.openxmlformats.org/officeDocument/2006/relationships/hyperlink" Target="https://firebasestorage.googleapis.com/v0/b/wt-foundation-production.appspot.com/o/measurements%2FMeasureMethod.ADM_FIXED_PCT%2FdbhPhoto%2F1778399341042?alt=media&amp;token=3f19249c-fc4c-467e-b829-87a286056ce5" TargetMode="External"/><Relationship Id="rId85" Type="http://schemas.openxmlformats.org/officeDocument/2006/relationships/hyperlink" Target="https://firebasestorage.googleapis.com/v0/b/wt-foundation-production.appspot.com/o/measurements%2FMeasureMethod.ADM_FIXED_PCT%2FdbhPhoto%2F1773945036911?alt=media&amp;token=8d241aa2-50a1-477f-8620-1e79cfddfae1" TargetMode="External"/><Relationship Id="rId150" Type="http://schemas.openxmlformats.org/officeDocument/2006/relationships/hyperlink" Target="https://firebasestorage.googleapis.com/v0/b/wt-foundation-production.appspot.com/o/measurements%2FMeasureMethod.ADM_FIXED_PCT%2Fdepth%2F1773950649077?alt=media&amp;token=414b12a7-fbe8-41df-9e5d-85dbd4c569c2" TargetMode="External"/><Relationship Id="rId192" Type="http://schemas.openxmlformats.org/officeDocument/2006/relationships/hyperlink" Target="https://firebasestorage.googleapis.com/v0/b/wt-foundation-production.appspot.com/o/measurements%2FMeasureMethod.ADM_FIXED_PCT%2Fdepth%2F1773951613494?alt=media&amp;token=8da217a1-f4d4-4860-9587-43ddb11b69da" TargetMode="External"/><Relationship Id="rId206" Type="http://schemas.openxmlformats.org/officeDocument/2006/relationships/hyperlink" Target="https://firebasestorage.googleapis.com/v0/b/wt-foundation-production.appspot.com/o/measurements%2FMeasureMethod.ADM_FIXED_PCT%2FheightPhoto%2F1773951765372?alt=media&amp;token=2cad810a-1731-48d6-8588-35e6b9f0c69b" TargetMode="External"/><Relationship Id="rId413" Type="http://schemas.openxmlformats.org/officeDocument/2006/relationships/hyperlink" Target="https://firebasestorage.googleapis.com/v0/b/wt-foundation-production.appspot.com/o/measurements%2FMeasureMethod.ADM_FIXED_PCT%2FdbhPhoto%2F1778276288365?alt=media&amp;token=35521e3e-2eed-46fc-9b98-93157515bf65" TargetMode="External"/><Relationship Id="rId248" Type="http://schemas.openxmlformats.org/officeDocument/2006/relationships/hyperlink" Target="https://firebasestorage.googleapis.com/v0/b/wt-foundation-production.appspot.com/o/measurements%2FMeasureMethod.ADM_FIXED_PCT%2FheightPhoto%2F1773952872570?alt=media&amp;token=86ebc59c-96bc-4165-b608-10d016dc6ee8" TargetMode="External"/><Relationship Id="rId455" Type="http://schemas.openxmlformats.org/officeDocument/2006/relationships/hyperlink" Target="https://firebasestorage.googleapis.com/v0/b/wt-foundation-production.appspot.com/o/measurements%2FMeasureMethod.ADM_FIXED_PCT%2FdbhPhoto%2F1778363881385?alt=media&amp;token=205b890d-c9a7-425c-9425-4f3e6e955434" TargetMode="External"/><Relationship Id="rId497" Type="http://schemas.openxmlformats.org/officeDocument/2006/relationships/hyperlink" Target="https://firebasestorage.googleapis.com/v0/b/wt-foundation-production.appspot.com/o/measurements%2FMeasureMethod.ADM_FIXED_PCT%2FdbhPhoto%2F1778365534094?alt=media&amp;token=64c43889-d0ba-4b31-af40-95bdd427c218" TargetMode="External"/><Relationship Id="rId12" Type="http://schemas.openxmlformats.org/officeDocument/2006/relationships/hyperlink" Target="https://firebasestorage.googleapis.com/v0/b/wt-foundation-production.appspot.com/o/measurements%2FMeasureMethod.ADM_FIXED_PCT%2Fdepth%2F1773772765887?alt=media&amp;token=79234272-5c37-4636-bd01-b6cfc6d9df73" TargetMode="External"/><Relationship Id="rId108" Type="http://schemas.openxmlformats.org/officeDocument/2006/relationships/hyperlink" Target="https://firebasestorage.googleapis.com/v0/b/wt-foundation-production.appspot.com/o/measurements%2FMeasureMethod.ADM_FIXED_PCT%2Fdepth%2F1773955430381?alt=media&amp;token=ee60e662-ef7a-4bf9-b67a-727180306fbf" TargetMode="External"/><Relationship Id="rId315" Type="http://schemas.openxmlformats.org/officeDocument/2006/relationships/hyperlink" Target="https://firebasestorage.googleapis.com/v0/b/wt-foundation-production.appspot.com/o/measurements%2FMeasureMethod.ADM_FIXED_PCT%2FdbhPhoto%2F1776654455204?alt=media&amp;token=0bb561fe-494d-4205-97d1-e8a9449cce20" TargetMode="External"/><Relationship Id="rId357" Type="http://schemas.openxmlformats.org/officeDocument/2006/relationships/hyperlink" Target="https://firebasestorage.googleapis.com/v0/b/wt-foundation-production.appspot.com/o/measurements%2FMeasureMethod.ADM_FIXED_PCT%2FdbhPhoto%2F1777663286522?alt=media&amp;token=c16d2057-a580-4367-a653-a28797e1a1e3" TargetMode="External"/><Relationship Id="rId522" Type="http://schemas.openxmlformats.org/officeDocument/2006/relationships/hyperlink" Target="https://firebasestorage.googleapis.com/v0/b/wt-foundation-production.appspot.com/o/measurements%2FMeasureMethod.ADM_FIXED_PCT%2FheightPhoto%2F1778399372322?alt=media&amp;token=e0acb653-09b3-4c17-93a4-fdadcc94df8f" TargetMode="External"/><Relationship Id="rId54" Type="http://schemas.openxmlformats.org/officeDocument/2006/relationships/hyperlink" Target="https://firebasestorage.googleapis.com/v0/b/wt-foundation-production.appspot.com/o/measurements%2FMeasureMethod.ADM_FIXED_PCT%2Fdepth%2F1773953902602?alt=media&amp;token=958e09c2-434c-4f54-b663-158a2835b2fe" TargetMode="External"/><Relationship Id="rId96" Type="http://schemas.openxmlformats.org/officeDocument/2006/relationships/hyperlink" Target="https://firebasestorage.googleapis.com/v0/b/wt-foundation-production.appspot.com/o/measurements%2FMeasureMethod.ADM_FIXED_PCT%2Fdepth%2F1773945244402?alt=media&amp;token=95a5eac6-02b3-4c50-ad30-4daaed92ac3c" TargetMode="External"/><Relationship Id="rId161" Type="http://schemas.openxmlformats.org/officeDocument/2006/relationships/hyperlink" Target="https://firebasestorage.googleapis.com/v0/b/wt-foundation-production.appspot.com/o/measurements%2FMeasureMethod.ADM_FIXED_PCT%2FheightPhoto%2F1773950780177?alt=media&amp;token=841aee65-83b9-49ee-824c-90fbd8396787" TargetMode="External"/><Relationship Id="rId217" Type="http://schemas.openxmlformats.org/officeDocument/2006/relationships/hyperlink" Target="https://firebasestorage.googleapis.com/v0/b/wt-foundation-production.appspot.com/o/measurements%2FMeasureMethod.ADM_FIXED_PCT%2FdbhPhoto%2F1773952237574?alt=media&amp;token=af28138d-8c32-48cc-be93-9385b38ca1d9" TargetMode="External"/><Relationship Id="rId399" Type="http://schemas.openxmlformats.org/officeDocument/2006/relationships/hyperlink" Target="https://firebasestorage.googleapis.com/v0/b/wt-foundation-production.appspot.com/o/measurements%2FMeasureMethod.ADM_FIXED_PCT%2FdbhPhoto%2F1778276241997?alt=media&amp;token=cc9a7371-3347-4b15-bc05-797f0c3225f1" TargetMode="External"/><Relationship Id="rId259" Type="http://schemas.openxmlformats.org/officeDocument/2006/relationships/hyperlink" Target="https://firebasestorage.googleapis.com/v0/b/wt-foundation-production.appspot.com/o/measurements%2FMeasureMethod.ADM_FIXED_PCT%2FdbhPhoto%2F1773953116799?alt=media&amp;token=6ed7a690-50fa-4bcf-b9aa-761e435fc48b" TargetMode="External"/><Relationship Id="rId424" Type="http://schemas.openxmlformats.org/officeDocument/2006/relationships/hyperlink" Target="https://firebasestorage.googleapis.com/v0/b/wt-foundation-production.appspot.com/o/measurements%2FMeasureMethod.ADM_FIXED_PCT%2FheightPhoto%2F1778363576152?alt=media&amp;token=1f720e16-a05d-4f02-948c-54e894f84d7c" TargetMode="External"/><Relationship Id="rId466" Type="http://schemas.openxmlformats.org/officeDocument/2006/relationships/hyperlink" Target="https://firebasestorage.googleapis.com/v0/b/wt-foundation-production.appspot.com/o/measurements%2FMeasureMethod.ADM_FIXED_PCT%2FheightPhoto%2F1778363899556?alt=media&amp;token=d22d8f0d-dc37-4167-9076-87cf1343ee4e" TargetMode="External"/><Relationship Id="rId23" Type="http://schemas.openxmlformats.org/officeDocument/2006/relationships/hyperlink" Target="https://firebasestorage.googleapis.com/v0/b/wt-foundation-production.appspot.com/o/measurements%2FMeasureMethod.ADM_FIXED_PCT%2FheightPhoto%2F1773895978171?alt=media&amp;token=6c6c769a-f3ff-430e-b28c-c1a0af819e93" TargetMode="External"/><Relationship Id="rId119" Type="http://schemas.openxmlformats.org/officeDocument/2006/relationships/hyperlink" Target="https://firebasestorage.googleapis.com/v0/b/wt-foundation-production.appspot.com/o/measurements%2FMeasureMethod.ADM_FIXED_PCT%2FheightPhoto%2F1773947070796?alt=media&amp;token=c77f872d-ef1f-4ffb-b05f-37b7c1f1df80" TargetMode="External"/><Relationship Id="rId270" Type="http://schemas.openxmlformats.org/officeDocument/2006/relationships/hyperlink" Target="https://firebasestorage.googleapis.com/v0/b/wt-foundation-production.appspot.com/o/measurements%2FMeasureMethod.ADM_FIXED_PCT%2Fdepth%2F1773953224286?alt=media&amp;token=561c16e4-14e7-4bd2-aa84-93726f35fdd9" TargetMode="External"/><Relationship Id="rId326" Type="http://schemas.openxmlformats.org/officeDocument/2006/relationships/hyperlink" Target="https://firebasestorage.googleapis.com/v0/b/wt-foundation-production.appspot.com/o/measurements%2FMeasureMethod.ADM_FIXED_PCT%2FheightPhoto%2F1776654476503?alt=media&amp;token=7641f48c-c504-4eb6-9634-7c1cb92ee656" TargetMode="External"/><Relationship Id="rId65" Type="http://schemas.openxmlformats.org/officeDocument/2006/relationships/hyperlink" Target="https://firebasestorage.googleapis.com/v0/b/wt-foundation-production.appspot.com/o/measurements%2FMeasureMethod.ADM_FIXED_PCT%2FheightPhoto%2F1773923569048?alt=media&amp;token=b7e4e035-e88b-408f-827a-6b871b9ac069" TargetMode="External"/><Relationship Id="rId130" Type="http://schemas.openxmlformats.org/officeDocument/2006/relationships/hyperlink" Target="https://firebasestorage.googleapis.com/v0/b/wt-foundation-production.appspot.com/o/measurements%2FMeasureMethod.ADM_FIXED_PCT%2FdbhPhoto%2F1773955450263?alt=media&amp;token=09103deb-8ba2-4fea-869a-b4e8a6a477ed" TargetMode="External"/><Relationship Id="rId368" Type="http://schemas.openxmlformats.org/officeDocument/2006/relationships/hyperlink" Target="https://firebasestorage.googleapis.com/v0/b/wt-foundation-production.appspot.com/o/measurements%2FMeasureMethod.ADM_FIXED_PCT%2FheightPhoto%2F1777665305258?alt=media&amp;token=ebe75aae-ce52-4827-a158-b24af7e3861b" TargetMode="External"/><Relationship Id="rId172" Type="http://schemas.openxmlformats.org/officeDocument/2006/relationships/hyperlink" Target="https://firebasestorage.googleapis.com/v0/b/wt-foundation-production.appspot.com/o/measurements%2FMeasureMethod.ADM_FIXED_PCT%2FdbhPhoto%2F1773950962098?alt=media&amp;token=8ff6cdcd-c628-497f-9fe9-2f73f3d00e0c" TargetMode="External"/><Relationship Id="rId228" Type="http://schemas.openxmlformats.org/officeDocument/2006/relationships/hyperlink" Target="https://firebasestorage.googleapis.com/v0/b/wt-foundation-production.appspot.com/o/measurements%2FMeasureMethod.ADM_FIXED_PCT%2Fdepth%2F1773952345406?alt=media&amp;token=bfee781d-4621-42c2-9c3a-aeefffce3a9a" TargetMode="External"/><Relationship Id="rId435" Type="http://schemas.openxmlformats.org/officeDocument/2006/relationships/hyperlink" Target="https://firebasestorage.googleapis.com/v0/b/wt-foundation-production.appspot.com/o/measurements%2FMeasureMethod.ADM_FIXED_PCT%2FdbhPhoto%2F1778363712000?alt=media&amp;token=ce882bc6-05ac-41e8-a9cc-a56912def8ff" TargetMode="External"/><Relationship Id="rId477" Type="http://schemas.openxmlformats.org/officeDocument/2006/relationships/hyperlink" Target="https://firebasestorage.googleapis.com/v0/b/wt-foundation-production.appspot.com/o/measurements%2FMeasureMethod.ADM_FIXED_PCT%2FdbhPhoto%2F1778363931682?alt=media&amp;token=87a81ab0-f5d7-401b-9a80-272cf81c178d" TargetMode="External"/><Relationship Id="rId281" Type="http://schemas.openxmlformats.org/officeDocument/2006/relationships/hyperlink" Target="https://firebasestorage.googleapis.com/v0/b/wt-foundation-production.appspot.com/o/measurements%2FMeasureMethod.ADM_FIXED_PCT%2FheightPhoto%2F1773953317212?alt=media&amp;token=97d25adc-6366-490f-b1cf-1e6e01dc63aa" TargetMode="External"/><Relationship Id="rId337" Type="http://schemas.openxmlformats.org/officeDocument/2006/relationships/hyperlink" Target="https://firebasestorage.googleapis.com/v0/b/wt-foundation-production.appspot.com/o/measurements%2FMeasureMethod.ADM_FIXED_PCT%2FdbhPhoto%2F1777484790265?alt=media&amp;token=016f9268-53d9-4248-8e47-5139cb1a432f" TargetMode="External"/><Relationship Id="rId502" Type="http://schemas.openxmlformats.org/officeDocument/2006/relationships/hyperlink" Target="https://firebasestorage.googleapis.com/v0/b/wt-foundation-production.appspot.com/o/measurements%2FMeasureMethod.ADM_FIXED_PCT%2FheightPhoto%2F1778399386457?alt=media&amp;token=8062ded1-e43d-4936-950a-0d6a67d2b1c0" TargetMode="External"/><Relationship Id="rId34" Type="http://schemas.openxmlformats.org/officeDocument/2006/relationships/hyperlink" Target="https://firebasestorage.googleapis.com/v0/b/wt-foundation-production.appspot.com/o/measurements%2FMeasureMethod.ADM_FIXED_PCT%2FdbhPhoto%2F1773896151418?alt=media&amp;token=ce067017-2173-4c45-bf06-831706a135df" TargetMode="External"/><Relationship Id="rId76" Type="http://schemas.openxmlformats.org/officeDocument/2006/relationships/hyperlink" Target="https://firebasestorage.googleapis.com/v0/b/wt-foundation-production.appspot.com/o/measurements%2FMeasureMethod.ADM_FIXED_PCT%2FdbhPhoto%2F1773955612048?alt=media&amp;token=0f6baa22-f55f-4d51-8173-70294b561b93" TargetMode="External"/><Relationship Id="rId141" Type="http://schemas.openxmlformats.org/officeDocument/2006/relationships/hyperlink" Target="https://firebasestorage.googleapis.com/v0/b/wt-foundation-production.appspot.com/o/measurements%2FMeasureMethod.ADM_FIXED_PCT%2Fdepth%2F1773950559029?alt=media&amp;token=d330f029-adb3-42ba-a1ff-c6ab724c5daf" TargetMode="External"/><Relationship Id="rId379" Type="http://schemas.openxmlformats.org/officeDocument/2006/relationships/hyperlink" Target="https://firebasestorage.googleapis.com/v0/b/wt-foundation-production.appspot.com/o/measurements%2FMeasureMethod.ADM_FIXED_PCT%2FdbhPhoto%2F1778276027634?alt=media&amp;token=fdf805e8-e0f9-4f98-9ffc-1486ed832378" TargetMode="External"/><Relationship Id="rId7" Type="http://schemas.openxmlformats.org/officeDocument/2006/relationships/hyperlink" Target="https://firebasestorage.googleapis.com/v0/b/wt-foundation-production.appspot.com/o/measurements%2FMeasureMethod.ADM_FIXED_PCT%2FdbhPhoto%2F1773768429721?alt=media&amp;token=b57c2e2d-da85-4d34-8131-1ebd5b0518dd" TargetMode="External"/><Relationship Id="rId183" Type="http://schemas.openxmlformats.org/officeDocument/2006/relationships/hyperlink" Target="https://firebasestorage.googleapis.com/v0/b/wt-foundation-production.appspot.com/o/measurements%2FMeasureMethod.ADM_FIXED_PCT%2Fdepth%2F1773951497259?alt=media&amp;token=fd052629-5a55-4adb-a56e-da4977e9ded9" TargetMode="External"/><Relationship Id="rId239" Type="http://schemas.openxmlformats.org/officeDocument/2006/relationships/hyperlink" Target="https://firebasestorage.googleapis.com/v0/b/wt-foundation-production.appspot.com/o/measurements%2FMeasureMethod.ADM_FIXED_PCT%2FheightPhoto%2F1773952465403?alt=media&amp;token=ca1bd186-3ee1-4a38-a2a5-c15445f76c98" TargetMode="External"/><Relationship Id="rId390" Type="http://schemas.openxmlformats.org/officeDocument/2006/relationships/hyperlink" Target="https://firebasestorage.googleapis.com/v0/b/wt-foundation-production.appspot.com/o/measurements%2FMeasureMethod.ADM_FIXED_PCT%2FheightPhoto%2F1778276212909?alt=media&amp;token=829bc7b5-49d5-4cf3-9a81-3d390023cda9" TargetMode="External"/><Relationship Id="rId404" Type="http://schemas.openxmlformats.org/officeDocument/2006/relationships/hyperlink" Target="https://firebasestorage.googleapis.com/v0/b/wt-foundation-production.appspot.com/o/measurements%2FMeasureMethod.ADM_FIXED_PCT%2FheightPhoto%2F1778276252844?alt=media&amp;token=35759466-02b6-4899-b49b-7e2f4d673657" TargetMode="External"/><Relationship Id="rId446" Type="http://schemas.openxmlformats.org/officeDocument/2006/relationships/hyperlink" Target="https://firebasestorage.googleapis.com/v0/b/wt-foundation-production.appspot.com/o/measurements%2FMeasureMethod.ADM_FIXED_PCT%2FheightPhoto%2F1778363851233?alt=media&amp;token=0028f1d3-0b75-4696-989d-9ebadb8b42f9" TargetMode="External"/><Relationship Id="rId250" Type="http://schemas.openxmlformats.org/officeDocument/2006/relationships/hyperlink" Target="https://firebasestorage.googleapis.com/v0/b/wt-foundation-production.appspot.com/o/measurements%2FMeasureMethod.ADM_FIXED_PCT%2FdbhPhoto%2F1773953015288?alt=media&amp;token=66d8bdec-92bb-426b-842f-084203530779" TargetMode="External"/><Relationship Id="rId292" Type="http://schemas.openxmlformats.org/officeDocument/2006/relationships/hyperlink" Target="https://firebasestorage.googleapis.com/v0/b/wt-foundation-production.appspot.com/o/measurements%2FMeasureMethod.ADM_FIXED_PCT%2Fdepth%2F1773896024224?alt=media&amp;token=b6b2f2b1-5089-4800-8226-583ad90b1862" TargetMode="External"/><Relationship Id="rId306" Type="http://schemas.openxmlformats.org/officeDocument/2006/relationships/hyperlink" Target="https://firebasestorage.googleapis.com/v0/b/wt-foundation-production.appspot.com/o/measurements%2FMeasureMethod.ADM_FIXED_PCT%2FheightPhoto%2F1776654422410?alt=media&amp;token=20bf94ae-2773-4582-bafb-549d2a7e3cd4" TargetMode="External"/><Relationship Id="rId488" Type="http://schemas.openxmlformats.org/officeDocument/2006/relationships/hyperlink" Target="https://firebasestorage.googleapis.com/v0/b/wt-foundation-production.appspot.com/o/measurements%2FMeasureMethod.ADM_FIXED_PCT%2FheightPhoto%2F1778365513734?alt=media&amp;token=1ba113e4-a0a4-4420-9b79-6caf980040a3" TargetMode="External"/><Relationship Id="rId45" Type="http://schemas.openxmlformats.org/officeDocument/2006/relationships/hyperlink" Target="https://firebasestorage.googleapis.com/v0/b/wt-foundation-production.appspot.com/o/measurements%2FMeasureMethod.ADM_FIXED_PCT%2Fdepth%2F1773897074529?alt=media&amp;token=951a3a58-a18e-46e9-a589-d56db3e6e7f9" TargetMode="External"/><Relationship Id="rId87" Type="http://schemas.openxmlformats.org/officeDocument/2006/relationships/hyperlink" Target="https://firebasestorage.googleapis.com/v0/b/wt-foundation-production.appspot.com/o/measurements%2FMeasureMethod.ADM_FIXED_PCT%2Fdepth%2F1773945039606?alt=media&amp;token=6b2a8c1f-7018-430e-bf65-4470a69b204e" TargetMode="External"/><Relationship Id="rId110" Type="http://schemas.openxmlformats.org/officeDocument/2006/relationships/hyperlink" Target="https://firebasestorage.googleapis.com/v0/b/wt-foundation-production.appspot.com/o/measurements%2FMeasureMethod.ADM_FIXED_PCT%2FheightPhoto%2F1773946975212?alt=media&amp;token=4233a376-08a2-4a19-9562-f8258a35146f" TargetMode="External"/><Relationship Id="rId348" Type="http://schemas.openxmlformats.org/officeDocument/2006/relationships/hyperlink" Target="https://firebasestorage.googleapis.com/v0/b/wt-foundation-production.appspot.com/o/measurements%2FMeasureMethod.ADM_FIXED_PCT%2FheightPhoto%2F1777661854488?alt=media&amp;token=89cd7e5b-a286-437c-b48c-9b26ac25bb2b" TargetMode="External"/><Relationship Id="rId513" Type="http://schemas.openxmlformats.org/officeDocument/2006/relationships/hyperlink" Target="https://firebasestorage.googleapis.com/v0/b/wt-foundation-production.appspot.com/o/measurements%2FMeasureMethod.ADM_FIXED_PCT%2FdbhPhoto%2F1778399354590?alt=media&amp;token=6c833d7a-68cf-4199-96d8-0440e5d0e9fe" TargetMode="External"/><Relationship Id="rId152" Type="http://schemas.openxmlformats.org/officeDocument/2006/relationships/hyperlink" Target="https://firebasestorage.googleapis.com/v0/b/wt-foundation-production.appspot.com/o/measurements%2FMeasureMethod.ADM_FIXED_PCT%2FheightPhoto%2F1773950682732?alt=media&amp;token=cf6c449a-3359-4b76-9ad4-f1dc24d1dac0" TargetMode="External"/><Relationship Id="rId194" Type="http://schemas.openxmlformats.org/officeDocument/2006/relationships/hyperlink" Target="https://firebasestorage.googleapis.com/v0/b/wt-foundation-production.appspot.com/o/measurements%2FMeasureMethod.ADM_FIXED_PCT%2FheightPhoto%2F1773951638423?alt=media&amp;token=65dae5d7-2728-4044-b3d0-895fba72daee" TargetMode="External"/><Relationship Id="rId208" Type="http://schemas.openxmlformats.org/officeDocument/2006/relationships/hyperlink" Target="https://firebasestorage.googleapis.com/v0/b/wt-foundation-production.appspot.com/o/measurements%2FMeasureMethod.ADM_FIXED_PCT%2FdbhPhoto%2F1773951837491?alt=media&amp;token=8ecd9229-9b07-40c6-8094-72c8685571b8" TargetMode="External"/><Relationship Id="rId415" Type="http://schemas.openxmlformats.org/officeDocument/2006/relationships/hyperlink" Target="https://firebasestorage.googleapis.com/v0/b/wt-foundation-production.appspot.com/o/measurements%2FMeasureMethod.ADM_FIXED_PCT%2FdbhPhoto%2F1778276292429?alt=media&amp;token=eee44a7c-2874-46d3-9c76-866a3fa4d3de" TargetMode="External"/><Relationship Id="rId457" Type="http://schemas.openxmlformats.org/officeDocument/2006/relationships/hyperlink" Target="https://firebasestorage.googleapis.com/v0/b/wt-foundation-production.appspot.com/o/measurements%2FMeasureMethod.ADM_FIXED_PCT%2FdbhPhoto%2F1778363885892?alt=media&amp;token=58c86711-cb9d-4034-80f0-8426a9f1100f" TargetMode="External"/><Relationship Id="rId261" Type="http://schemas.openxmlformats.org/officeDocument/2006/relationships/hyperlink" Target="https://firebasestorage.googleapis.com/v0/b/wt-foundation-production.appspot.com/o/measurements%2FMeasureMethod.ADM_FIXED_PCT%2Fdepth%2F1773953131449?alt=media&amp;token=302636cd-cd5d-4321-97fa-f9bc34e3c439" TargetMode="External"/><Relationship Id="rId499" Type="http://schemas.openxmlformats.org/officeDocument/2006/relationships/hyperlink" Target="https://firebasestorage.googleapis.com/v0/b/wt-foundation-production.appspot.com/o/measurements%2FMeasureMethod.ADM_FIXED_PCT%2FdbhPhoto%2F1778365540118?alt=media&amp;token=29ed7413-b22a-49ea-b9e8-70ae6bbb7dcd" TargetMode="External"/><Relationship Id="rId14" Type="http://schemas.openxmlformats.org/officeDocument/2006/relationships/hyperlink" Target="https://firebasestorage.googleapis.com/v0/b/wt-foundation-production.appspot.com/o/measurements%2FMeasureMethod.ADM_FIXED_PCT%2FheightPhoto%2F1773385405570?alt=media&amp;token=1a3ec410-cdac-4173-8581-cfa35be07915" TargetMode="External"/><Relationship Id="rId56" Type="http://schemas.openxmlformats.org/officeDocument/2006/relationships/hyperlink" Target="https://firebasestorage.googleapis.com/v0/b/wt-foundation-production.appspot.com/o/measurements%2FMeasureMethod.ADM_FIXED_PCT%2FheightPhoto%2F1773953934056?alt=media&amp;token=8e989daf-f34b-4f01-9d57-5f358e7ef08a" TargetMode="External"/><Relationship Id="rId317" Type="http://schemas.openxmlformats.org/officeDocument/2006/relationships/hyperlink" Target="https://firebasestorage.googleapis.com/v0/b/wt-foundation-production.appspot.com/o/measurements%2FMeasureMethod.ADM_FIXED_PCT%2FdbhPhoto%2F1776654459514?alt=media&amp;token=fd123816-b952-4fc9-b506-32fee32047bd" TargetMode="External"/><Relationship Id="rId359" Type="http://schemas.openxmlformats.org/officeDocument/2006/relationships/hyperlink" Target="https://firebasestorage.googleapis.com/v0/b/wt-foundation-production.appspot.com/o/measurements%2FMeasureMethod.ADM_FIXED_PCT%2FdbhPhoto%2F1777663481541?alt=media&amp;token=edd3ae3b-1aa7-47d3-af3a-a88becd9c367" TargetMode="External"/><Relationship Id="rId524" Type="http://schemas.openxmlformats.org/officeDocument/2006/relationships/hyperlink" Target="https://firebasestorage.googleapis.com/v0/b/wt-foundation-production.appspot.com/o/measurements%2FMeasureMethod.ADM_FIXED_PCT%2FheightPhoto%2F1778399376559?alt=media&amp;token=854ad24e-4baf-4fd6-a49e-8bb491f87b1c" TargetMode="External"/><Relationship Id="rId98" Type="http://schemas.openxmlformats.org/officeDocument/2006/relationships/hyperlink" Target="https://firebasestorage.googleapis.com/v0/b/wt-foundation-production.appspot.com/o/measurements%2FMeasureMethod.ADM_FIXED_PCT%2FheightPhoto%2F1773945279534?alt=media&amp;token=748e3812-7618-4fc9-973c-9ebc205ff394" TargetMode="External"/><Relationship Id="rId121" Type="http://schemas.openxmlformats.org/officeDocument/2006/relationships/hyperlink" Target="https://firebasestorage.googleapis.com/v0/b/wt-foundation-production.appspot.com/o/measurements%2FMeasureMethod.ADM_FIXED_PCT%2FdbhPhoto%2F1773947184543?alt=media&amp;token=2e5ddca5-b3db-4152-8066-48068005f6af" TargetMode="External"/><Relationship Id="rId163" Type="http://schemas.openxmlformats.org/officeDocument/2006/relationships/hyperlink" Target="https://firebasestorage.googleapis.com/v0/b/wt-foundation-production.appspot.com/o/measurements%2FMeasureMethod.ADM_FIXED_PCT%2FdbhPhoto%2F1773950800253?alt=media&amp;token=c55dbcae-3a74-40db-9b42-1cf525d20953" TargetMode="External"/><Relationship Id="rId219" Type="http://schemas.openxmlformats.org/officeDocument/2006/relationships/hyperlink" Target="https://firebasestorage.googleapis.com/v0/b/wt-foundation-production.appspot.com/o/measurements%2FMeasureMethod.ADM_FIXED_PCT%2Fdepth%2F1773952244917?alt=media&amp;token=0874d77f-177a-45ad-a717-fdfe64520be8" TargetMode="External"/><Relationship Id="rId370" Type="http://schemas.openxmlformats.org/officeDocument/2006/relationships/hyperlink" Target="https://firebasestorage.googleapis.com/v0/b/wt-foundation-production.appspot.com/o/measurements%2FMeasureMethod.ADM_FIXED_PCT%2FheightPhoto%2F1777917406815?alt=media&amp;token=5b1e33a1-0536-46a5-87ed-0de79a2827ce" TargetMode="External"/><Relationship Id="rId426" Type="http://schemas.openxmlformats.org/officeDocument/2006/relationships/hyperlink" Target="https://firebasestorage.googleapis.com/v0/b/wt-foundation-production.appspot.com/o/measurements%2FMeasureMethod.ADM_FIXED_PCT%2FheightPhoto%2F1778363603095?alt=media&amp;token=58ed725d-b542-4dbf-8097-c18aab8580d7" TargetMode="External"/><Relationship Id="rId230" Type="http://schemas.openxmlformats.org/officeDocument/2006/relationships/hyperlink" Target="https://firebasestorage.googleapis.com/v0/b/wt-foundation-production.appspot.com/o/measurements%2FMeasureMethod.ADM_FIXED_PCT%2FheightPhoto%2F1773952352413?alt=media&amp;token=0b00c877-a4d2-4e21-864d-6be7582c2f38" TargetMode="External"/><Relationship Id="rId468" Type="http://schemas.openxmlformats.org/officeDocument/2006/relationships/hyperlink" Target="https://firebasestorage.googleapis.com/v0/b/wt-foundation-production.appspot.com/o/measurements%2FMeasureMethod.ADM_FIXED_PCT%2FheightPhoto%2F1778363902461?alt=media&amp;token=b4f46b5f-e526-4eff-964c-db6e61169492" TargetMode="External"/><Relationship Id="rId25" Type="http://schemas.openxmlformats.org/officeDocument/2006/relationships/hyperlink" Target="https://firebasestorage.googleapis.com/v0/b/wt-foundation-production.appspot.com/o/measurements%2FMeasureMethod.ADM_FIXED_PCT%2FdbhPhoto%2F1773896055828?alt=media&amp;token=d22aff70-a439-422c-bbd0-657d40d59a0a" TargetMode="External"/><Relationship Id="rId67" Type="http://schemas.openxmlformats.org/officeDocument/2006/relationships/hyperlink" Target="https://firebasestorage.googleapis.com/v0/b/wt-foundation-production.appspot.com/o/measurements%2FMeasureMethod.ADM_FIXED_PCT%2FdbhPhoto%2F1773954020462?alt=media&amp;token=5bd22f61-0bc4-4ff8-82cf-dae70da4cc83" TargetMode="External"/><Relationship Id="rId272" Type="http://schemas.openxmlformats.org/officeDocument/2006/relationships/hyperlink" Target="https://firebasestorage.googleapis.com/v0/b/wt-foundation-production.appspot.com/o/measurements%2FMeasureMethod.ADM_FIXED_PCT%2FheightPhoto%2F1773953226903?alt=media&amp;token=4c91a93f-d9fb-4533-b7b8-782db37e2a7c" TargetMode="External"/><Relationship Id="rId328" Type="http://schemas.openxmlformats.org/officeDocument/2006/relationships/hyperlink" Target="https://firebasestorage.googleapis.com/v0/b/wt-foundation-production.appspot.com/o/measurements%2FMeasureMethod.ADM_FIXED_PCT%2FheightPhoto%2F1776654576315?alt=media&amp;token=6d6b781f-dede-4ac3-8ec5-68e7ffa0e2d4" TargetMode="External"/><Relationship Id="rId132" Type="http://schemas.openxmlformats.org/officeDocument/2006/relationships/hyperlink" Target="https://firebasestorage.googleapis.com/v0/b/wt-foundation-production.appspot.com/o/measurements%2FMeasureMethod.ADM_FIXED_PCT%2Fdepth%2F1773947538239?alt=media&amp;token=f7d86c46-392d-40ad-b946-fae0f9a149d5" TargetMode="External"/><Relationship Id="rId174" Type="http://schemas.openxmlformats.org/officeDocument/2006/relationships/hyperlink" Target="https://firebasestorage.googleapis.com/v0/b/wt-foundation-production.appspot.com/o/measurements%2FMeasureMethod.ADM_FIXED_PCT%2Fdepth%2F1773955550061?alt=media&amp;token=d8073def-329b-40c8-8a05-3b8d8254e870" TargetMode="External"/><Relationship Id="rId381" Type="http://schemas.openxmlformats.org/officeDocument/2006/relationships/hyperlink" Target="https://firebasestorage.googleapis.com/v0/b/wt-foundation-production.appspot.com/o/measurements%2FMeasureMethod.ADM_FIXED_PCT%2FdbhPhoto%2F1778276158471?alt=media&amp;token=00eb517e-4db6-49ff-9e95-eaaac4d6b79a" TargetMode="External"/><Relationship Id="rId241" Type="http://schemas.openxmlformats.org/officeDocument/2006/relationships/hyperlink" Target="https://firebasestorage.googleapis.com/v0/b/wt-foundation-production.appspot.com/o/measurements%2FMeasureMethod.ADM_FIXED_PCT%2FdbhPhoto%2F1773952509900?alt=media&amp;token=8e42552e-547d-41d0-9ff0-cd45fe445801" TargetMode="External"/><Relationship Id="rId437" Type="http://schemas.openxmlformats.org/officeDocument/2006/relationships/hyperlink" Target="https://firebasestorage.googleapis.com/v0/b/wt-foundation-production.appspot.com/o/measurements%2FMeasureMethod.ADM_FIXED_PCT%2FdbhPhoto%2F1778363724846?alt=media&amp;token=ed5c1f72-d6bc-4102-a6f8-e0fa7bfd6001" TargetMode="External"/><Relationship Id="rId479" Type="http://schemas.openxmlformats.org/officeDocument/2006/relationships/hyperlink" Target="https://firebasestorage.googleapis.com/v0/b/wt-foundation-production.appspot.com/o/measurements%2FMeasureMethod.ADM_FIXED_PCT%2FdbhPhoto%2F1778363934722?alt=media&amp;token=49019678-eeb9-4c52-ab19-f29ad5a6aa45" TargetMode="External"/><Relationship Id="rId36" Type="http://schemas.openxmlformats.org/officeDocument/2006/relationships/hyperlink" Target="https://firebasestorage.googleapis.com/v0/b/wt-foundation-production.appspot.com/o/measurements%2FMeasureMethod.ADM_FIXED_PCT%2Fdepth%2F1773896160637?alt=media&amp;token=7acdb7e2-5db0-4c94-ad2f-c7e0ebf6ccf4" TargetMode="External"/><Relationship Id="rId283" Type="http://schemas.openxmlformats.org/officeDocument/2006/relationships/hyperlink" Target="https://firebasestorage.googleapis.com/v0/b/wt-foundation-production.appspot.com/o/measurements%2FMeasureMethod.ADM_FIXED_PCT%2FdbhPhoto%2F1773953527868?alt=media&amp;token=beeb60ec-a01d-44ec-bd4e-147a1e0795e1" TargetMode="External"/><Relationship Id="rId339" Type="http://schemas.openxmlformats.org/officeDocument/2006/relationships/hyperlink" Target="https://firebasestorage.googleapis.com/v0/b/wt-foundation-production.appspot.com/o/measurements%2FMeasureMethod.ADM_FIXED_PCT%2FdbhPhoto%2F1777661297248?alt=media&amp;token=526bd46a-f805-431a-b911-8a142a70c727" TargetMode="External"/><Relationship Id="rId490" Type="http://schemas.openxmlformats.org/officeDocument/2006/relationships/hyperlink" Target="https://firebasestorage.googleapis.com/v0/b/wt-foundation-production.appspot.com/o/measurements%2FMeasureMethod.ADM_FIXED_PCT%2FheightPhoto%2F1778365515879?alt=media&amp;token=0d63092e-e579-41d9-8c0c-4608ca634ddb" TargetMode="External"/><Relationship Id="rId504" Type="http://schemas.openxmlformats.org/officeDocument/2006/relationships/hyperlink" Target="https://firebasestorage.googleapis.com/v0/b/wt-foundation-production.appspot.com/o/measurements%2FMeasureMethod.ADM_FIXED_PCT%2FheightPhoto%2F1778399393614?alt=media&amp;token=21d0cb0f-07c1-4260-a71c-de281348c81a" TargetMode="External"/><Relationship Id="rId78" Type="http://schemas.openxmlformats.org/officeDocument/2006/relationships/hyperlink" Target="https://firebasestorage.googleapis.com/v0/b/wt-foundation-production.appspot.com/o/measurements%2FMeasureMethod.ADM_FIXED_PCT%2Fdepth%2F1773955620505?alt=media&amp;token=957db111-653a-4bde-9ae0-863b7b90ae14" TargetMode="External"/><Relationship Id="rId101" Type="http://schemas.openxmlformats.org/officeDocument/2006/relationships/hyperlink" Target="https://firebasestorage.googleapis.com/v0/b/wt-foundation-production.appspot.com/o/measurements%2FMeasureMethod.ADM_FIXED_PCT%2FheightPhoto%2F1773945313619?alt=media&amp;token=616cef53-4128-443b-8885-89c4a9b3079d" TargetMode="External"/><Relationship Id="rId143" Type="http://schemas.openxmlformats.org/officeDocument/2006/relationships/hyperlink" Target="https://firebasestorage.googleapis.com/v0/b/wt-foundation-production.appspot.com/o/measurements%2FMeasureMethod.ADM_FIXED_PCT%2FheightPhoto%2F1773950566783?alt=media&amp;token=aece3676-0a3b-49a0-a733-0538083ae7e0" TargetMode="External"/><Relationship Id="rId185" Type="http://schemas.openxmlformats.org/officeDocument/2006/relationships/hyperlink" Target="https://firebasestorage.googleapis.com/v0/b/wt-foundation-production.appspot.com/o/measurements%2FMeasureMethod.ADM_FIXED_PCT%2FheightPhoto%2F1773951525691?alt=media&amp;token=40eded31-1366-4033-b95b-950f763a9f5e" TargetMode="External"/><Relationship Id="rId350" Type="http://schemas.openxmlformats.org/officeDocument/2006/relationships/hyperlink" Target="https://firebasestorage.googleapis.com/v0/b/wt-foundation-production.appspot.com/o/measurements%2FMeasureMethod.ADM_FIXED_PCT%2FheightPhoto%2F1777661998171?alt=media&amp;token=ca3d5ddf-152b-4dfd-ac10-a7a05c1d08ee" TargetMode="External"/><Relationship Id="rId406" Type="http://schemas.openxmlformats.org/officeDocument/2006/relationships/hyperlink" Target="https://firebasestorage.googleapis.com/v0/b/wt-foundation-production.appspot.com/o/measurements%2FMeasureMethod.ADM_FIXED_PCT%2FheightPhoto%2F1778276265403?alt=media&amp;token=409b4628-4ee8-4d11-9c90-13b6cfc5dfbe" TargetMode="External"/><Relationship Id="rId9" Type="http://schemas.openxmlformats.org/officeDocument/2006/relationships/hyperlink" Target="https://firebasestorage.googleapis.com/v0/b/wt-foundation-production.appspot.com/o/measurements%2FMeasureMethod.ADM_FIXED_PCT%2Fdepth%2F1773768499473?alt=media&amp;token=9cea7eee-df5e-46c9-b326-a5be08fc1f7f" TargetMode="External"/><Relationship Id="rId210" Type="http://schemas.openxmlformats.org/officeDocument/2006/relationships/hyperlink" Target="https://firebasestorage.googleapis.com/v0/b/wt-foundation-production.appspot.com/o/measurements%2FMeasureMethod.ADM_FIXED_PCT%2Fdepth%2F1773951893649?alt=media&amp;token=29eb6847-0a73-4711-9722-2bee144e9b67" TargetMode="External"/><Relationship Id="rId392" Type="http://schemas.openxmlformats.org/officeDocument/2006/relationships/hyperlink" Target="https://firebasestorage.googleapis.com/v0/b/wt-foundation-production.appspot.com/o/measurements%2FMeasureMethod.ADM_FIXED_PCT%2FheightPhoto%2F1778276220870?alt=media&amp;token=3885a3be-6e74-446f-9a2c-b75fbc96a677" TargetMode="External"/><Relationship Id="rId448" Type="http://schemas.openxmlformats.org/officeDocument/2006/relationships/hyperlink" Target="https://firebasestorage.googleapis.com/v0/b/wt-foundation-production.appspot.com/o/measurements%2FMeasureMethod.ADM_FIXED_PCT%2FheightPhoto%2F1778363854704?alt=media&amp;token=a276d4e5-bb77-4983-b803-69ef138d3c40" TargetMode="External"/><Relationship Id="rId252" Type="http://schemas.openxmlformats.org/officeDocument/2006/relationships/hyperlink" Target="https://firebasestorage.googleapis.com/v0/b/wt-foundation-production.appspot.com/o/measurements%2FMeasureMethod.ADM_FIXED_PCT%2Fdepth%2F1773953035173?alt=media&amp;token=d4d67e2a-9e3d-46c8-b792-9d5b3defdb87" TargetMode="External"/><Relationship Id="rId294" Type="http://schemas.openxmlformats.org/officeDocument/2006/relationships/hyperlink" Target="https://firebasestorage.googleapis.com/v0/b/wt-foundation-production.appspot.com/o/measurements%2FMeasureMethod.ADM_FIXED_PCT%2FdbhPhoto%2F1773896006235?alt=media&amp;token=dbf45a7f-40e1-45b6-9066-1b5f2c3275f8" TargetMode="External"/><Relationship Id="rId308" Type="http://schemas.openxmlformats.org/officeDocument/2006/relationships/hyperlink" Target="https://firebasestorage.googleapis.com/v0/b/wt-foundation-production.appspot.com/o/measurements%2FMeasureMethod.ADM_FIXED_PCT%2FheightPhoto%2F1776654428599?alt=media&amp;token=af145197-5416-4836-be26-9056db12d394" TargetMode="External"/><Relationship Id="rId515" Type="http://schemas.openxmlformats.org/officeDocument/2006/relationships/hyperlink" Target="https://firebasestorage.googleapis.com/v0/b/wt-foundation-production.appspot.com/o/measurements%2FMeasureMethod.ADM_FIXED_PCT%2FdbhPhoto%2F1778399359816?alt=media&amp;token=22743d60-0b10-437f-9ebc-4ab28c13bf7c" TargetMode="External"/><Relationship Id="rId47" Type="http://schemas.openxmlformats.org/officeDocument/2006/relationships/hyperlink" Target="https://firebasestorage.googleapis.com/v0/b/wt-foundation-production.appspot.com/o/measurements%2FMeasureMethod.ADM_FIXED_PCT%2FheightPhoto%2F1773953856766?alt=media&amp;token=ecb0ef64-b031-4aa1-aae9-578ee9dfcc02" TargetMode="External"/><Relationship Id="rId89" Type="http://schemas.openxmlformats.org/officeDocument/2006/relationships/hyperlink" Target="https://firebasestorage.googleapis.com/v0/b/wt-foundation-production.appspot.com/o/measurements%2FMeasureMethod.ADM_FIXED_PCT%2FheightPhoto%2F1773945069255?alt=media&amp;token=fef33645-bac2-4b7f-99d6-828394cc67bd" TargetMode="External"/><Relationship Id="rId112" Type="http://schemas.openxmlformats.org/officeDocument/2006/relationships/hyperlink" Target="https://firebasestorage.googleapis.com/v0/b/wt-foundation-production.appspot.com/o/measurements%2FMeasureMethod.ADM_FIXED_PCT%2FdbhPhoto%2F1773947008973?alt=media&amp;token=029823b1-fa37-414c-9cc1-8f95f0d7ed9a" TargetMode="External"/><Relationship Id="rId154" Type="http://schemas.openxmlformats.org/officeDocument/2006/relationships/hyperlink" Target="https://firebasestorage.googleapis.com/v0/b/wt-foundation-production.appspot.com/o/measurements%2FMeasureMethod.ADM_FIXED_PCT%2FdbhPhoto%2F1773950714167?alt=media&amp;token=8e471003-0c0b-40f2-9102-c54fb5682241" TargetMode="External"/><Relationship Id="rId361" Type="http://schemas.openxmlformats.org/officeDocument/2006/relationships/hyperlink" Target="https://firebasestorage.googleapis.com/v0/b/wt-foundation-production.appspot.com/o/measurements%2FMeasureMethod.ADM_FIXED_PCT%2FdbhPhoto%2F1777664172730?alt=media&amp;token=7823d1da-b5e7-4aee-b193-1023c1cc8b07" TargetMode="External"/><Relationship Id="rId196" Type="http://schemas.openxmlformats.org/officeDocument/2006/relationships/hyperlink" Target="https://firebasestorage.googleapis.com/v0/b/wt-foundation-production.appspot.com/o/measurements%2FMeasureMethod.ADM_FIXED_PCT%2FdbhPhoto%2F1773951689185?alt=media&amp;token=cb7d93ea-eda8-4f19-8e65-b9f3e25043a3" TargetMode="External"/><Relationship Id="rId417" Type="http://schemas.openxmlformats.org/officeDocument/2006/relationships/hyperlink" Target="https://firebasestorage.googleapis.com/v0/b/wt-foundation-production.appspot.com/o/measurements%2FMeasureMethod.ADM_FIXED_PCT%2FdbhPhoto%2F1778276298907?alt=media&amp;token=cb172852-f8c7-4616-a8a0-4d1a1b3f8425" TargetMode="External"/><Relationship Id="rId459" Type="http://schemas.openxmlformats.org/officeDocument/2006/relationships/hyperlink" Target="https://firebasestorage.googleapis.com/v0/b/wt-foundation-production.appspot.com/o/measurements%2FMeasureMethod.ADM_FIXED_PCT%2FdbhPhoto%2F1778363890513?alt=media&amp;token=1f69e97b-5893-455d-a199-0371f5a63306" TargetMode="External"/><Relationship Id="rId16" Type="http://schemas.openxmlformats.org/officeDocument/2006/relationships/hyperlink" Target="https://firebasestorage.googleapis.com/v0/b/wt-foundation-production.appspot.com/o/measurements%2FMeasureMethod.ADM_FIXED_PCT%2FdbhPhoto%2F1773857389672?alt=media&amp;token=35bf63b1-c8bc-452b-967a-f8b840ac6f1c" TargetMode="External"/><Relationship Id="rId221" Type="http://schemas.openxmlformats.org/officeDocument/2006/relationships/hyperlink" Target="https://firebasestorage.googleapis.com/v0/b/wt-foundation-production.appspot.com/o/measurements%2FMeasureMethod.ADM_FIXED_PCT%2FheightPhoto%2F1773952265910?alt=media&amp;token=08951804-8c88-4324-8206-c13ec600ec19" TargetMode="External"/><Relationship Id="rId263" Type="http://schemas.openxmlformats.org/officeDocument/2006/relationships/hyperlink" Target="https://firebasestorage.googleapis.com/v0/b/wt-foundation-production.appspot.com/o/measurements%2FMeasureMethod.ADM_FIXED_PCT%2FheightPhoto%2F1773953148896?alt=media&amp;token=502e07c0-d8b1-48a5-af1b-6080a0197247" TargetMode="External"/><Relationship Id="rId319" Type="http://schemas.openxmlformats.org/officeDocument/2006/relationships/hyperlink" Target="https://firebasestorage.googleapis.com/v0/b/wt-foundation-production.appspot.com/o/measurements%2FMeasureMethod.ADM_FIXED_PCT%2FdbhPhoto%2F1776654462871?alt=media&amp;token=08eda84e-8787-4173-b906-abc8edf06da1" TargetMode="External"/><Relationship Id="rId470" Type="http://schemas.openxmlformats.org/officeDocument/2006/relationships/hyperlink" Target="https://firebasestorage.googleapis.com/v0/b/wt-foundation-production.appspot.com/o/measurements%2FMeasureMethod.ADM_FIXED_PCT%2FheightPhoto%2F1778363909194?alt=media&amp;token=61861192-cc23-4986-bafb-70a332a25e51" TargetMode="External"/><Relationship Id="rId526" Type="http://schemas.openxmlformats.org/officeDocument/2006/relationships/drawing" Target="../drawings/drawing1.xml"/><Relationship Id="rId58" Type="http://schemas.openxmlformats.org/officeDocument/2006/relationships/hyperlink" Target="https://firebasestorage.googleapis.com/v0/b/wt-foundation-production.appspot.com/o/measurements%2FMeasureMethod.ADM_FIXED_PCT%2FdbhPhoto%2F1773953998239?alt=media&amp;token=5d7fee51-52d0-4cc6-aeb3-35b75d658442" TargetMode="External"/><Relationship Id="rId123" Type="http://schemas.openxmlformats.org/officeDocument/2006/relationships/hyperlink" Target="https://firebasestorage.googleapis.com/v0/b/wt-foundation-production.appspot.com/o/measurements%2FMeasureMethod.ADM_FIXED_PCT%2Fdepth%2F1773947195723?alt=media&amp;token=72a3d25a-7ec4-4bc8-a388-35f768fe609d" TargetMode="External"/><Relationship Id="rId330" Type="http://schemas.openxmlformats.org/officeDocument/2006/relationships/hyperlink" Target="https://firebasestorage.googleapis.com/v0/b/wt-foundation-production.appspot.com/o/measurements%2FMeasureMethod.ADM_FIXED_PCT%2FheightPhoto%2F1776654584966?alt=media&amp;token=a6e05086-cb19-451b-9559-caf06519e0f2" TargetMode="External"/><Relationship Id="rId165" Type="http://schemas.openxmlformats.org/officeDocument/2006/relationships/hyperlink" Target="https://firebasestorage.googleapis.com/v0/b/wt-foundation-production.appspot.com/o/measurements%2FMeasureMethod.ADM_FIXED_PCT%2Fdepth%2F1773950806995?alt=media&amp;token=2bd8abf9-118e-4a73-a3ec-d270d3c89f8c" TargetMode="External"/><Relationship Id="rId372" Type="http://schemas.openxmlformats.org/officeDocument/2006/relationships/hyperlink" Target="https://firebasestorage.googleapis.com/v0/b/wt-foundation-production.appspot.com/o/measurements%2FMeasureMethod.ADM_FIXED_PCT%2FheightPhoto%2F1777917472141?alt=media&amp;token=23322b98-2fc9-43ba-963e-287eed0640ce" TargetMode="External"/><Relationship Id="rId428" Type="http://schemas.openxmlformats.org/officeDocument/2006/relationships/hyperlink" Target="https://firebasestorage.googleapis.com/v0/b/wt-foundation-production.appspot.com/o/measurements%2FMeasureMethod.ADM_FIXED_PCT%2FheightPhoto%2F1778363620011?alt=media&amp;token=eb687db4-f16a-4561-a4aa-2a884b7b9989" TargetMode="External"/><Relationship Id="rId232" Type="http://schemas.openxmlformats.org/officeDocument/2006/relationships/hyperlink" Target="https://firebasestorage.googleapis.com/v0/b/wt-foundation-production.appspot.com/o/measurements%2FMeasureMethod.ADM_FIXED_PCT%2FdbhPhoto%2F1773952405536?alt=media&amp;token=345c5eec-3c7a-4990-adb5-4b98d72d14ce" TargetMode="External"/><Relationship Id="rId274" Type="http://schemas.openxmlformats.org/officeDocument/2006/relationships/hyperlink" Target="https://firebasestorage.googleapis.com/v0/b/wt-foundation-production.appspot.com/o/measurements%2FMeasureMethod.ADM_FIXED_PCT%2FdbhPhoto%2F1773953266551?alt=media&amp;token=e7cb1406-8faf-4786-bf89-f16f4cf2c405" TargetMode="External"/><Relationship Id="rId481" Type="http://schemas.openxmlformats.org/officeDocument/2006/relationships/hyperlink" Target="https://firebasestorage.googleapis.com/v0/b/wt-foundation-production.appspot.com/o/measurements%2FMeasureMethod.ADM_FIXED_PCT%2FdbhPhoto%2F1778363939640?alt=media&amp;token=d83513e7-c0e8-416e-9f92-0eecb62bf9ab" TargetMode="External"/><Relationship Id="rId27" Type="http://schemas.openxmlformats.org/officeDocument/2006/relationships/hyperlink" Target="https://firebasestorage.googleapis.com/v0/b/wt-foundation-production.appspot.com/o/measurements%2FMeasureMethod.ADM_FIXED_PCT%2Fdepth%2F1773896064829?alt=media&amp;token=7248e7be-e735-4330-85c5-f5e5bcdb491c" TargetMode="External"/><Relationship Id="rId69" Type="http://schemas.openxmlformats.org/officeDocument/2006/relationships/hyperlink" Target="https://firebasestorage.googleapis.com/v0/b/wt-foundation-production.appspot.com/o/measurements%2FMeasureMethod.ADM_FIXED_PCT%2Fdepth%2F1773954028109?alt=media&amp;token=8f516ead-c1a2-49d1-967c-0fd81f560249" TargetMode="External"/><Relationship Id="rId134" Type="http://schemas.openxmlformats.org/officeDocument/2006/relationships/hyperlink" Target="https://firebasestorage.googleapis.com/v0/b/wt-foundation-production.appspot.com/o/measurements%2FMeasureMethod.ADM_FIXED_PCT%2FheightPhoto%2F1773947542768?alt=media&amp;token=58ff8c67-008f-4811-b0cc-4e81218fdff8" TargetMode="External"/><Relationship Id="rId80" Type="http://schemas.openxmlformats.org/officeDocument/2006/relationships/hyperlink" Target="https://firebasestorage.googleapis.com/v0/b/wt-foundation-production.appspot.com/o/measurements%2FMeasureMethod.ADM_FIXED_PCT%2FheightPhoto%2F1773955378469?alt=media&amp;token=8b50b312-98c3-4218-b838-88701000910d" TargetMode="External"/><Relationship Id="rId176" Type="http://schemas.openxmlformats.org/officeDocument/2006/relationships/hyperlink" Target="https://firebasestorage.googleapis.com/v0/b/wt-foundation-production.appspot.com/o/measurements%2FMeasureMethod.ADM_FIXED_PCT%2FheightPhoto%2F1773955564296?alt=media&amp;token=d84f46f4-8fc8-4608-9d72-acdc32979991" TargetMode="External"/><Relationship Id="rId341" Type="http://schemas.openxmlformats.org/officeDocument/2006/relationships/hyperlink" Target="https://firebasestorage.googleapis.com/v0/b/wt-foundation-production.appspot.com/o/measurements%2FMeasureMethod.ADM_FIXED_PCT%2FdbhPhoto%2F1777661391152?alt=media&amp;token=c3558e55-ff89-4fc8-99f9-ca71d0556998" TargetMode="External"/><Relationship Id="rId383" Type="http://schemas.openxmlformats.org/officeDocument/2006/relationships/hyperlink" Target="https://firebasestorage.googleapis.com/v0/b/wt-foundation-production.appspot.com/o/measurements%2FMeasureMethod.ADM_FIXED_PCT%2FdbhPhoto%2F1778276203187?alt=media&amp;token=d9dbad09-687a-4eca-baf6-b94764258631" TargetMode="External"/><Relationship Id="rId439" Type="http://schemas.openxmlformats.org/officeDocument/2006/relationships/hyperlink" Target="https://firebasestorage.googleapis.com/v0/b/wt-foundation-production.appspot.com/o/measurements%2FMeasureMethod.ADM_FIXED_PCT%2FdbhPhoto%2F1778363840451?alt=media&amp;token=dd289eb9-87cd-4508-b0c8-bb3afe266613" TargetMode="External"/><Relationship Id="rId201" Type="http://schemas.openxmlformats.org/officeDocument/2006/relationships/hyperlink" Target="https://firebasestorage.googleapis.com/v0/b/wt-foundation-production.appspot.com/o/measurements%2FMeasureMethod.ADM_FIXED_PCT%2Fdepth%2F1773951710794?alt=media&amp;token=2208a717-8065-4195-a659-0a9f179317ad" TargetMode="External"/><Relationship Id="rId243" Type="http://schemas.openxmlformats.org/officeDocument/2006/relationships/hyperlink" Target="https://firebasestorage.googleapis.com/v0/b/wt-foundation-production.appspot.com/o/measurements%2FMeasureMethod.ADM_FIXED_PCT%2Fdepth%2F1773952600417?alt=media&amp;token=3a71ece7-fc82-4319-bd8d-ffeeb66acad1" TargetMode="External"/><Relationship Id="rId285" Type="http://schemas.openxmlformats.org/officeDocument/2006/relationships/hyperlink" Target="https://firebasestorage.googleapis.com/v0/b/wt-foundation-production.appspot.com/o/measurements%2FMeasureMethod.ADM_FIXED_PCT%2Fdepth%2F1773953556006?alt=media&amp;token=f5fe3500-53a3-4282-976b-15fa183fe0aa" TargetMode="External"/><Relationship Id="rId450" Type="http://schemas.openxmlformats.org/officeDocument/2006/relationships/hyperlink" Target="https://firebasestorage.googleapis.com/v0/b/wt-foundation-production.appspot.com/o/measurements%2FMeasureMethod.ADM_FIXED_PCT%2FheightPhoto%2F1778363862416?alt=media&amp;token=76ab5881-7552-4637-93bb-defe67be5720" TargetMode="External"/><Relationship Id="rId506" Type="http://schemas.openxmlformats.org/officeDocument/2006/relationships/hyperlink" Target="https://firebasestorage.googleapis.com/v0/b/wt-foundation-production.appspot.com/o/measurements%2FMeasureMethod.ADM_FIXED_PCT%2FheightPhoto%2F1778399401260?alt=media&amp;token=55cb38e0-e2e7-43e2-b88f-3696a352ce8e" TargetMode="External"/><Relationship Id="rId38" Type="http://schemas.openxmlformats.org/officeDocument/2006/relationships/hyperlink" Target="https://firebasestorage.googleapis.com/v0/b/wt-foundation-production.appspot.com/o/measurements%2FMeasureMethod.ADM_FIXED_PCT%2FheightPhoto%2F1773896225606?alt=media&amp;token=ef6e46b9-d5f6-4e6b-a1a1-64393b4e31f8" TargetMode="External"/><Relationship Id="rId103" Type="http://schemas.openxmlformats.org/officeDocument/2006/relationships/hyperlink" Target="https://firebasestorage.googleapis.com/v0/b/wt-foundation-production.appspot.com/o/measurements%2FMeasureMethod.ADM_FIXED_PCT%2FdbhPhoto%2F1773945413998?alt=media&amp;token=c9ede6fe-8421-4963-a558-3e008d34b18c" TargetMode="External"/><Relationship Id="rId310" Type="http://schemas.openxmlformats.org/officeDocument/2006/relationships/hyperlink" Target="https://firebasestorage.googleapis.com/v0/b/wt-foundation-production.appspot.com/o/measurements%2FMeasureMethod.ADM_FIXED_PCT%2FheightPhoto%2F1776654433514?alt=media&amp;token=92f116b7-10d7-4bb2-a623-d9800064135b" TargetMode="External"/><Relationship Id="rId492" Type="http://schemas.openxmlformats.org/officeDocument/2006/relationships/hyperlink" Target="https://firebasestorage.googleapis.com/v0/b/wt-foundation-production.appspot.com/o/measurements%2FMeasureMethod.ADM_FIXED_PCT%2FheightPhoto%2F1778365521836?alt=media&amp;token=af78d634-f47a-4c68-8e0a-98915820d04f" TargetMode="External"/><Relationship Id="rId91" Type="http://schemas.openxmlformats.org/officeDocument/2006/relationships/hyperlink" Target="https://firebasestorage.googleapis.com/v0/b/wt-foundation-production.appspot.com/o/measurements%2FMeasureMethod.ADM_FIXED_PCT%2FdbhPhoto%2F1773945152766?alt=media&amp;token=b67140a0-e8de-465e-9d0f-e523333cdecf" TargetMode="External"/><Relationship Id="rId145" Type="http://schemas.openxmlformats.org/officeDocument/2006/relationships/hyperlink" Target="https://firebasestorage.googleapis.com/v0/b/wt-foundation-production.appspot.com/o/measurements%2FMeasureMethod.ADM_FIXED_PCT%2FdbhPhoto%2F1773950592728?alt=media&amp;token=9fc8f863-6b5d-46dc-b542-970237acaa40" TargetMode="External"/><Relationship Id="rId187" Type="http://schemas.openxmlformats.org/officeDocument/2006/relationships/hyperlink" Target="https://firebasestorage.googleapis.com/v0/b/wt-foundation-production.appspot.com/o/measurements%2FMeasureMethod.ADM_FIXED_PCT%2FdbhPhoto%2F1773951569612?alt=media&amp;token=e7941431-8aa5-44d3-9b2e-af4ee84e7b73" TargetMode="External"/><Relationship Id="rId352" Type="http://schemas.openxmlformats.org/officeDocument/2006/relationships/hyperlink" Target="https://firebasestorage.googleapis.com/v0/b/wt-foundation-production.appspot.com/o/measurements%2FMeasureMethod.ADM_FIXED_PCT%2FheightPhoto%2F1777662088609?alt=media&amp;token=0ba8bbdb-1454-4a6a-bc37-87701de0d5eb" TargetMode="External"/><Relationship Id="rId394" Type="http://schemas.openxmlformats.org/officeDocument/2006/relationships/hyperlink" Target="https://firebasestorage.googleapis.com/v0/b/wt-foundation-production.appspot.com/o/measurements%2FMeasureMethod.ADM_FIXED_PCT%2FheightPhoto%2F1778276224361?alt=media&amp;token=03396310-7bea-4a83-91a7-4ba545d9d245" TargetMode="External"/><Relationship Id="rId408" Type="http://schemas.openxmlformats.org/officeDocument/2006/relationships/hyperlink" Target="https://firebasestorage.googleapis.com/v0/b/wt-foundation-production.appspot.com/o/measurements%2FMeasureMethod.ADM_FIXED_PCT%2FheightPhoto%2F1778276271162?alt=media&amp;token=b788a90f-bbf5-475f-8bc2-2864709d748b" TargetMode="External"/><Relationship Id="rId212" Type="http://schemas.openxmlformats.org/officeDocument/2006/relationships/hyperlink" Target="https://firebasestorage.googleapis.com/v0/b/wt-foundation-production.appspot.com/o/measurements%2FMeasureMethod.ADM_FIXED_PCT%2FheightPhoto%2F1773951986680?alt=media&amp;token=dce3b432-9b6d-4e02-b492-a3f84ee28ef1" TargetMode="External"/><Relationship Id="rId254" Type="http://schemas.openxmlformats.org/officeDocument/2006/relationships/hyperlink" Target="https://firebasestorage.googleapis.com/v0/b/wt-foundation-production.appspot.com/o/measurements%2FMeasureMethod.ADM_FIXED_PCT%2FheightPhoto%2F1773953038919?alt=media&amp;token=355bdbd2-49e7-40fb-a733-391118af2b3d" TargetMode="External"/><Relationship Id="rId49" Type="http://schemas.openxmlformats.org/officeDocument/2006/relationships/hyperlink" Target="https://firebasestorage.googleapis.com/v0/b/wt-foundation-production.appspot.com/o/measurements%2FMeasureMethod.ADM_FIXED_PCT%2FdbhPhoto%2F1773953876675?alt=media&amp;token=9c6987cf-b936-42d7-9658-830c7f9683f0" TargetMode="External"/><Relationship Id="rId114" Type="http://schemas.openxmlformats.org/officeDocument/2006/relationships/hyperlink" Target="https://firebasestorage.googleapis.com/v0/b/wt-foundation-production.appspot.com/o/measurements%2FMeasureMethod.ADM_FIXED_PCT%2Fdepth%2F1773947017967?alt=media&amp;token=9d1e1672-f35a-40f7-a374-c4117c9a555f" TargetMode="External"/><Relationship Id="rId296" Type="http://schemas.openxmlformats.org/officeDocument/2006/relationships/hyperlink" Target="https://firebasestorage.googleapis.com/v0/b/wt-foundation-production.appspot.com/o/measurements%2FMeasureMethod.ADM_FIXED_PCT%2FheightPhoto%2F1776452670497?alt=media&amp;token=c9306caa-b2ad-4701-9af1-84e9c44013e1" TargetMode="External"/><Relationship Id="rId461" Type="http://schemas.openxmlformats.org/officeDocument/2006/relationships/hyperlink" Target="https://firebasestorage.googleapis.com/v0/b/wt-foundation-production.appspot.com/o/measurements%2FMeasureMethod.ADM_FIXED_PCT%2FdbhPhoto%2F1778363894132?alt=media&amp;token=e9d3aa2a-48c8-4d95-8617-c6f00161e25c" TargetMode="External"/><Relationship Id="rId517" Type="http://schemas.openxmlformats.org/officeDocument/2006/relationships/hyperlink" Target="https://firebasestorage.googleapis.com/v0/b/wt-foundation-production.appspot.com/o/measurements%2FMeasureMethod.ADM_FIXED_PCT%2FdbhPhoto%2F1778399363942?alt=media&amp;token=f09890f2-fc0f-40d6-b00b-92b611674789" TargetMode="External"/><Relationship Id="rId60" Type="http://schemas.openxmlformats.org/officeDocument/2006/relationships/hyperlink" Target="https://firebasestorage.googleapis.com/v0/b/wt-foundation-production.appspot.com/o/measurements%2FMeasureMethod.ADM_FIXED_PCT%2Fdepth%2F1773954006167?alt=media&amp;token=98b7cac1-23f8-4b1c-bb87-8cdb1bc25415" TargetMode="External"/><Relationship Id="rId156" Type="http://schemas.openxmlformats.org/officeDocument/2006/relationships/hyperlink" Target="https://firebasestorage.googleapis.com/v0/b/wt-foundation-production.appspot.com/o/measurements%2FMeasureMethod.ADM_FIXED_PCT%2Fdepth%2F1773950740362?alt=media&amp;token=ea25fe6d-3d5e-4529-b30d-3ac022c5e126" TargetMode="External"/><Relationship Id="rId198" Type="http://schemas.openxmlformats.org/officeDocument/2006/relationships/hyperlink" Target="https://firebasestorage.googleapis.com/v0/b/wt-foundation-production.appspot.com/o/measurements%2FMeasureMethod.ADM_FIXED_PCT%2Fdepth%2F1773951694078?alt=media&amp;token=9b7259db-1a49-4444-9832-b736de71bc11" TargetMode="External"/><Relationship Id="rId321" Type="http://schemas.openxmlformats.org/officeDocument/2006/relationships/hyperlink" Target="https://firebasestorage.googleapis.com/v0/b/wt-foundation-production.appspot.com/o/measurements%2FMeasureMethod.ADM_FIXED_PCT%2FdbhPhoto%2F1776654468933?alt=media&amp;token=e4493b2c-f966-46fc-a920-5439395d4759" TargetMode="External"/><Relationship Id="rId363" Type="http://schemas.openxmlformats.org/officeDocument/2006/relationships/hyperlink" Target="https://firebasestorage.googleapis.com/v0/b/wt-foundation-production.appspot.com/o/measurements%2FMeasureMethod.ADM_FIXED_PCT%2FdbhPhoto%2F1777664754270?alt=media&amp;token=f8de0272-7b7d-48ba-8cb8-59f0406e23b9" TargetMode="External"/><Relationship Id="rId419" Type="http://schemas.openxmlformats.org/officeDocument/2006/relationships/hyperlink" Target="https://firebasestorage.googleapis.com/v0/b/wt-foundation-production.appspot.com/o/measurements%2FMeasureMethod.ADM_FIXED_PCT%2FdbhPhoto%2F1778276303232?alt=media&amp;token=e4e2bb0d-4ca4-41db-ad50-16c8f253afae" TargetMode="External"/><Relationship Id="rId223" Type="http://schemas.openxmlformats.org/officeDocument/2006/relationships/hyperlink" Target="https://firebasestorage.googleapis.com/v0/b/wt-foundation-production.appspot.com/o/measurements%2FMeasureMethod.ADM_FIXED_PCT%2FdbhPhoto%2F1773952296150?alt=media&amp;token=5fc1551e-ae4c-4d70-a379-ce040bbb7de8" TargetMode="External"/><Relationship Id="rId430" Type="http://schemas.openxmlformats.org/officeDocument/2006/relationships/hyperlink" Target="https://firebasestorage.googleapis.com/v0/b/wt-foundation-production.appspot.com/o/measurements%2FMeasureMethod.ADM_FIXED_PCT%2FheightPhoto%2F1778363649192?alt=media&amp;token=4eab073e-31fe-4130-8851-77b66bc0539f" TargetMode="External"/><Relationship Id="rId18" Type="http://schemas.openxmlformats.org/officeDocument/2006/relationships/hyperlink" Target="https://firebasestorage.googleapis.com/v0/b/wt-foundation-production.appspot.com/o/measurements%2FMeasureMethod.ADM_FIXED_PCT%2Fdepth%2F1773895829950?alt=media&amp;token=91b9f13d-8860-478f-bf67-cecb2a95be6b" TargetMode="External"/><Relationship Id="rId265" Type="http://schemas.openxmlformats.org/officeDocument/2006/relationships/hyperlink" Target="https://firebasestorage.googleapis.com/v0/b/wt-foundation-production.appspot.com/o/measurements%2FMeasureMethod.ADM_FIXED_PCT%2FdbhPhoto%2F1773953185038?alt=media&amp;token=0cb5c880-309f-4960-a2a9-3431da3461b0" TargetMode="External"/><Relationship Id="rId472" Type="http://schemas.openxmlformats.org/officeDocument/2006/relationships/hyperlink" Target="https://firebasestorage.googleapis.com/v0/b/wt-foundation-production.appspot.com/o/measurements%2FMeasureMethod.ADM_FIXED_PCT%2FheightPhoto%2F1778363915373?alt=media&amp;token=d793b9fc-5103-4376-bf1f-e36b0b20ab92" TargetMode="External"/><Relationship Id="rId125" Type="http://schemas.openxmlformats.org/officeDocument/2006/relationships/hyperlink" Target="https://firebasestorage.googleapis.com/v0/b/wt-foundation-production.appspot.com/o/measurements%2FMeasureMethod.ADM_FIXED_PCT%2FheightPhoto%2F1773947215379?alt=media&amp;token=e6f6103f-6537-4670-891c-cf460668a4ad" TargetMode="External"/><Relationship Id="rId167" Type="http://schemas.openxmlformats.org/officeDocument/2006/relationships/hyperlink" Target="https://firebasestorage.googleapis.com/v0/b/wt-foundation-production.appspot.com/o/measurements%2FMeasureMethod.ADM_FIXED_PCT%2FheightPhoto%2F1773950816294?alt=media&amp;token=b2923eee-10a4-4273-bf26-df30df6a06e1" TargetMode="External"/><Relationship Id="rId332" Type="http://schemas.openxmlformats.org/officeDocument/2006/relationships/hyperlink" Target="https://firebasestorage.googleapis.com/v0/b/wt-foundation-production.appspot.com/o/measurements%2FMeasureMethod.ADM_FIXED_PCT%2FheightPhoto%2F1776654588670?alt=media&amp;token=7fbce421-9f7a-4184-a4f6-6e263e6f2d76" TargetMode="External"/><Relationship Id="rId374" Type="http://schemas.openxmlformats.org/officeDocument/2006/relationships/hyperlink" Target="https://firebasestorage.googleapis.com/v0/b/wt-foundation-production.appspot.com/o/measurements%2FMeasureMethod.ADM_FIXED_PCT%2FheightPhoto%2F1777917526306?alt=media&amp;token=25416c63-42c8-4aba-905d-1aa04b75f411" TargetMode="External"/><Relationship Id="rId71" Type="http://schemas.openxmlformats.org/officeDocument/2006/relationships/hyperlink" Target="https://firebasestorage.googleapis.com/v0/b/wt-foundation-production.appspot.com/o/measurements%2FMeasureMethod.ADM_FIXED_PCT%2FheightPhoto%2F1773954039123?alt=media&amp;token=6c9c45e7-a31e-4f12-9e8e-81ee2a43e60e" TargetMode="External"/><Relationship Id="rId234" Type="http://schemas.openxmlformats.org/officeDocument/2006/relationships/hyperlink" Target="https://firebasestorage.googleapis.com/v0/b/wt-foundation-production.appspot.com/o/measurements%2FMeasureMethod.ADM_FIXED_PCT%2Fdepth%2F1773952411592?alt=media&amp;token=6760968a-ff53-4625-a3d7-80d8275e76b7" TargetMode="External"/><Relationship Id="rId2" Type="http://schemas.openxmlformats.org/officeDocument/2006/relationships/hyperlink" Target="https://firebasestorage.googleapis.com/v0/b/wt-foundation-production.appspot.com/o/measurements%2FMeasureMethod.ADM_FIXED_PCT%2FheightPhoto%2F1773768049361?alt=media&amp;token=bc77bd00-be6f-4a1b-bf6e-b966ca8952f8" TargetMode="External"/><Relationship Id="rId29" Type="http://schemas.openxmlformats.org/officeDocument/2006/relationships/hyperlink" Target="https://firebasestorage.googleapis.com/v0/b/wt-foundation-production.appspot.com/o/measurements%2FMeasureMethod.ADM_FIXED_PCT%2FheightPhoto%2F1773896078713?alt=media&amp;token=988c920e-c20e-45cb-bfae-603072ec0cbe" TargetMode="External"/><Relationship Id="rId276" Type="http://schemas.openxmlformats.org/officeDocument/2006/relationships/hyperlink" Target="https://firebasestorage.googleapis.com/v0/b/wt-foundation-production.appspot.com/o/measurements%2FMeasureMethod.ADM_FIXED_PCT%2Fdepth%2F1773953274670?alt=media&amp;token=94a6e8fa-d207-481b-9727-6f52f4623793" TargetMode="External"/><Relationship Id="rId441" Type="http://schemas.openxmlformats.org/officeDocument/2006/relationships/hyperlink" Target="https://firebasestorage.googleapis.com/v0/b/wt-foundation-production.appspot.com/o/measurements%2FMeasureMethod.ADM_FIXED_PCT%2FdbhPhoto%2F1778363842465?alt=media&amp;token=30ef3cce-e7b4-4297-8a69-7fd9225ba529" TargetMode="External"/><Relationship Id="rId483" Type="http://schemas.openxmlformats.org/officeDocument/2006/relationships/hyperlink" Target="https://firebasestorage.googleapis.com/v0/b/wt-foundation-production.appspot.com/o/measurements%2FMeasureMethod.ADM_FIXED_PCT%2FdbhPhoto%2F1778399386453?alt=media&amp;token=a13c863d-5a1b-4bd2-8419-d4c1019354a7" TargetMode="External"/><Relationship Id="rId40" Type="http://schemas.openxmlformats.org/officeDocument/2006/relationships/hyperlink" Target="https://firebasestorage.googleapis.com/v0/b/wt-foundation-production.appspot.com/o/measurements%2FMeasureMethod.ADM_FIXED_PCT%2FdbhPhoto%2F1773896249194?alt=media&amp;token=3b376066-4454-48fd-b892-faf0344af16f" TargetMode="External"/><Relationship Id="rId136" Type="http://schemas.openxmlformats.org/officeDocument/2006/relationships/hyperlink" Target="https://firebasestorage.googleapis.com/v0/b/wt-foundation-production.appspot.com/o/measurements%2FMeasureMethod.ADM_FIXED_PCT%2FdbhPhoto%2F1773955527898?alt=media&amp;token=0e011a2c-c029-404f-b48a-e86cb850a5e6" TargetMode="External"/><Relationship Id="rId178" Type="http://schemas.openxmlformats.org/officeDocument/2006/relationships/hyperlink" Target="https://firebasestorage.googleapis.com/v0/b/wt-foundation-production.appspot.com/o/measurements%2FMeasureMethod.ADM_FIXED_PCT%2FdbhPhoto%2F1773951475998?alt=media&amp;token=8d4df709-1c85-4481-831e-3b70c4704ba0" TargetMode="External"/><Relationship Id="rId301" Type="http://schemas.openxmlformats.org/officeDocument/2006/relationships/hyperlink" Target="https://firebasestorage.googleapis.com/v0/b/wt-foundation-production.appspot.com/o/measurements%2FMeasureMethod.ADM_FIXED_PCT%2FdbhPhoto%2F1776452686472?alt=media&amp;token=3d95a966-31f5-40da-97dd-6a10592f5e2c" TargetMode="External"/><Relationship Id="rId343" Type="http://schemas.openxmlformats.org/officeDocument/2006/relationships/hyperlink" Target="https://firebasestorage.googleapis.com/v0/b/wt-foundation-production.appspot.com/o/measurements%2FMeasureMethod.ADM_FIXED_PCT%2FdbhPhoto%2F1777661653256?alt=media&amp;token=bb016a6c-3490-4cc7-a93e-2a70ef62a37b" TargetMode="External"/><Relationship Id="rId82" Type="http://schemas.openxmlformats.org/officeDocument/2006/relationships/hyperlink" Target="https://firebasestorage.googleapis.com/v0/b/wt-foundation-production.appspot.com/o/measurements%2FMeasureMethod.ADM_FIXED_PCT%2FdbhPhoto%2F1773945017612?alt=media&amp;token=3bfcf1db-3dd7-4d33-a0d7-3dda0413fc57" TargetMode="External"/><Relationship Id="rId203" Type="http://schemas.openxmlformats.org/officeDocument/2006/relationships/hyperlink" Target="https://firebasestorage.googleapis.com/v0/b/wt-foundation-production.appspot.com/o/measurements%2FMeasureMethod.ADM_FIXED_PCT%2FheightPhoto%2F1773951729206?alt=media&amp;token=6cd01bdf-da3c-4138-b2e7-6bcecb4fc4a3" TargetMode="External"/><Relationship Id="rId385" Type="http://schemas.openxmlformats.org/officeDocument/2006/relationships/hyperlink" Target="https://firebasestorage.googleapis.com/v0/b/wt-foundation-production.appspot.com/o/measurements%2FMeasureMethod.ADM_FIXED_PCT%2FdbhPhoto%2F1778276208933?alt=media&amp;token=e82a7b5c-4644-4835-9bf3-560ad4f68525" TargetMode="External"/><Relationship Id="rId245" Type="http://schemas.openxmlformats.org/officeDocument/2006/relationships/hyperlink" Target="https://firebasestorage.googleapis.com/v0/b/wt-foundation-production.appspot.com/o/measurements%2FMeasureMethod.ADM_FIXED_PCT%2FheightPhoto%2F1773952611320?alt=media&amp;token=12405104-e7af-4b2a-9aca-16ba2d44b488" TargetMode="External"/><Relationship Id="rId287" Type="http://schemas.openxmlformats.org/officeDocument/2006/relationships/hyperlink" Target="https://firebasestorage.googleapis.com/v0/b/wt-foundation-production.appspot.com/o/measurements%2FMeasureMethod.ADM_FIXED_PCT%2FheightPhoto%2F1773953561945?alt=media&amp;token=b8f9ff77-f616-47d9-81e9-3e21e33bdf65" TargetMode="External"/><Relationship Id="rId410" Type="http://schemas.openxmlformats.org/officeDocument/2006/relationships/hyperlink" Target="https://firebasestorage.googleapis.com/v0/b/wt-foundation-production.appspot.com/o/measurements%2FMeasureMethod.ADM_FIXED_PCT%2FheightPhoto%2F1778276275617?alt=media&amp;token=e341f9eb-a05a-4f5d-83cc-7ea35a058a86" TargetMode="External"/><Relationship Id="rId452" Type="http://schemas.openxmlformats.org/officeDocument/2006/relationships/hyperlink" Target="https://firebasestorage.googleapis.com/v0/b/wt-foundation-production.appspot.com/o/measurements%2FMeasureMethod.ADM_FIXED_PCT%2FheightPhoto%2F1778363870554?alt=media&amp;token=ec51f1a7-40f5-464e-bf54-67db813d5982" TargetMode="External"/><Relationship Id="rId494" Type="http://schemas.openxmlformats.org/officeDocument/2006/relationships/hyperlink" Target="https://firebasestorage.googleapis.com/v0/b/wt-foundation-production.appspot.com/o/measurements%2FMeasureMethod.ADM_FIXED_PCT%2FheightPhoto%2F1778365524686?alt=media&amp;token=25b433ba-ed26-4b7f-9565-43fb4e130b5e" TargetMode="External"/><Relationship Id="rId508" Type="http://schemas.openxmlformats.org/officeDocument/2006/relationships/hyperlink" Target="https://firebasestorage.googleapis.com/v0/b/wt-foundation-production.appspot.com/o/measurements%2FMeasureMethod.ADM_FIXED_PCT%2FheightPhoto%2F1778399405205?alt=media&amp;token=c9e21be3-20ce-4a9a-bcea-f002236cec6b" TargetMode="External"/><Relationship Id="rId105" Type="http://schemas.openxmlformats.org/officeDocument/2006/relationships/hyperlink" Target="https://firebasestorage.googleapis.com/v0/b/wt-foundation-production.appspot.com/o/measurements%2FMeasureMethod.ADM_FIXED_PCT%2Fdepth%2F1773955407021?alt=media&amp;token=2e62c9db-096a-4b63-b253-5796895896e7" TargetMode="External"/><Relationship Id="rId147" Type="http://schemas.openxmlformats.org/officeDocument/2006/relationships/hyperlink" Target="https://firebasestorage.googleapis.com/v0/b/wt-foundation-production.appspot.com/o/measurements%2FMeasureMethod.ADM_FIXED_PCT%2Fdepth%2F1773950610873?alt=media&amp;token=461cd95f-32b8-4a47-8d16-805531305f92" TargetMode="External"/><Relationship Id="rId312" Type="http://schemas.openxmlformats.org/officeDocument/2006/relationships/hyperlink" Target="https://firebasestorage.googleapis.com/v0/b/wt-foundation-production.appspot.com/o/measurements%2FMeasureMethod.ADM_FIXED_PCT%2FheightPhoto%2F1776654438445?alt=media&amp;token=90c7d29b-ec1e-462d-a93f-07830e7b82d1" TargetMode="External"/><Relationship Id="rId354" Type="http://schemas.openxmlformats.org/officeDocument/2006/relationships/hyperlink" Target="https://firebasestorage.googleapis.com/v0/b/wt-foundation-production.appspot.com/o/measurements%2FMeasureMethod.ADM_FIXED_PCT%2FheightPhoto%2F1777662451138?alt=media&amp;token=2aeaef18-fc62-4515-9cbf-2d3fe497067a" TargetMode="External"/><Relationship Id="rId51" Type="http://schemas.openxmlformats.org/officeDocument/2006/relationships/hyperlink" Target="https://firebasestorage.googleapis.com/v0/b/wt-foundation-production.appspot.com/o/measurements%2FMeasureMethod.ADM_FIXED_PCT%2Fdepth%2F1773899032925?alt=media&amp;token=512ba16d-9a9d-4684-80fa-d04e07a820b8" TargetMode="External"/><Relationship Id="rId93" Type="http://schemas.openxmlformats.org/officeDocument/2006/relationships/hyperlink" Target="https://firebasestorage.googleapis.com/v0/b/wt-foundation-production.appspot.com/o/measurements%2FMeasureMethod.ADM_FIXED_PCT%2Fdepth%2F1773945166163?alt=media&amp;token=cd882fc0-bd84-4c05-988c-8fd910b5eeea" TargetMode="External"/><Relationship Id="rId189" Type="http://schemas.openxmlformats.org/officeDocument/2006/relationships/hyperlink" Target="https://firebasestorage.googleapis.com/v0/b/wt-foundation-production.appspot.com/o/measurements%2FMeasureMethod.ADM_FIXED_PCT%2Fdepth%2F1773951585319?alt=media&amp;token=8f330ca2-e0e3-4090-b243-97e3d602f533" TargetMode="External"/><Relationship Id="rId396" Type="http://schemas.openxmlformats.org/officeDocument/2006/relationships/hyperlink" Target="https://firebasestorage.googleapis.com/v0/b/wt-foundation-production.appspot.com/o/measurements%2FMeasureMethod.ADM_FIXED_PCT%2FheightPhoto%2F1778276229204?alt=media&amp;token=29eb8298-7cf0-4613-a311-7eff7b457abd" TargetMode="External"/><Relationship Id="rId214" Type="http://schemas.openxmlformats.org/officeDocument/2006/relationships/hyperlink" Target="https://firebasestorage.googleapis.com/v0/b/wt-foundation-production.appspot.com/o/measurements%2FMeasureMethod.ADM_FIXED_PCT%2FdbhPhoto%2F1773952211729?alt=media&amp;token=90654eeb-5ad9-45f3-919a-a5541e6a96c2" TargetMode="External"/><Relationship Id="rId256" Type="http://schemas.openxmlformats.org/officeDocument/2006/relationships/hyperlink" Target="https://firebasestorage.googleapis.com/v0/b/wt-foundation-production.appspot.com/o/measurements%2FMeasureMethod.ADM_FIXED_PCT%2FdbhPhoto%2F1773953085090?alt=media&amp;token=73c3a486-9597-497c-af80-0afe10cbb83d" TargetMode="External"/><Relationship Id="rId298" Type="http://schemas.openxmlformats.org/officeDocument/2006/relationships/hyperlink" Target="https://firebasestorage.googleapis.com/v0/b/wt-foundation-production.appspot.com/o/measurements%2FMeasureMethod.ADM_FIXED_PCT%2FheightPhoto%2F1776452670497?alt=media&amp;token=c9306caa-b2ad-4701-9af1-84e9c44013e1" TargetMode="External"/><Relationship Id="rId421" Type="http://schemas.openxmlformats.org/officeDocument/2006/relationships/hyperlink" Target="https://firebasestorage.googleapis.com/v0/b/wt-foundation-production.appspot.com/o/measurements%2FMeasureMethod.ADM_FIXED_PCT%2FdbhPhoto%2F1778363576152?alt=media&amp;token=de70695e-45b8-4400-864d-680252aa49f9" TargetMode="External"/><Relationship Id="rId463" Type="http://schemas.openxmlformats.org/officeDocument/2006/relationships/hyperlink" Target="https://firebasestorage.googleapis.com/v0/b/wt-foundation-production.appspot.com/o/measurements%2FMeasureMethod.ADM_FIXED_PCT%2FdbhPhoto%2F1778363897260?alt=media&amp;token=aadc91c7-ef7c-4ab0-a081-87f47115a032" TargetMode="External"/><Relationship Id="rId519" Type="http://schemas.openxmlformats.org/officeDocument/2006/relationships/hyperlink" Target="https://firebasestorage.googleapis.com/v0/b/wt-foundation-production.appspot.com/o/measurements%2FMeasureMethod.ADM_FIXED_PCT%2FdbhPhoto%2F1778399370135?alt=media&amp;token=97fb718e-dc32-4bf2-9f26-762a38b8fb18" TargetMode="External"/><Relationship Id="rId116" Type="http://schemas.openxmlformats.org/officeDocument/2006/relationships/hyperlink" Target="https://firebasestorage.googleapis.com/v0/b/wt-foundation-production.appspot.com/o/measurements%2FMeasureMethod.ADM_FIXED_PCT%2FheightPhoto%2F1773947026337?alt=media&amp;token=b8e76106-c608-4b9a-be32-b650af3ab52d" TargetMode="External"/><Relationship Id="rId158" Type="http://schemas.openxmlformats.org/officeDocument/2006/relationships/hyperlink" Target="https://firebasestorage.googleapis.com/v0/b/wt-foundation-production.appspot.com/o/measurements%2FMeasureMethod.ADM_FIXED_PCT%2FheightPhoto%2F1773950758182?alt=media&amp;token=0889b749-7f4e-4409-80ef-4d18e98c4a11" TargetMode="External"/><Relationship Id="rId323" Type="http://schemas.openxmlformats.org/officeDocument/2006/relationships/hyperlink" Target="https://firebasestorage.googleapis.com/v0/b/wt-foundation-production.appspot.com/o/measurements%2FMeasureMethod.ADM_FIXED_PCT%2FdbhPhoto%2F1776654472271?alt=media&amp;token=74cebfaa-5408-4446-a513-f57a474f9f41" TargetMode="External"/><Relationship Id="rId20" Type="http://schemas.openxmlformats.org/officeDocument/2006/relationships/hyperlink" Target="https://firebasestorage.googleapis.com/v0/b/wt-foundation-production.appspot.com/o/measurements%2FMeasureMethod.ADM_FIXED_PCT%2FheightPhoto%2F1773895917790?alt=media&amp;token=4a3bdab4-fc55-4f58-bd3d-364c644507bd" TargetMode="External"/><Relationship Id="rId62" Type="http://schemas.openxmlformats.org/officeDocument/2006/relationships/hyperlink" Target="https://firebasestorage.googleapis.com/v0/b/wt-foundation-production.appspot.com/o/measurements%2FMeasureMethod.ADM_FIXED_PCT%2FheightPhoto%2F1773923493493?alt=media&amp;token=17f963fb-0ecb-4f57-82a9-5b335c9f5dc6" TargetMode="External"/><Relationship Id="rId365" Type="http://schemas.openxmlformats.org/officeDocument/2006/relationships/hyperlink" Target="https://firebasestorage.googleapis.com/v0/b/wt-foundation-production.appspot.com/o/measurements%2FMeasureMethod.ADM_FIXED_PCT%2FdbhPhoto%2F1777664998764?alt=media&amp;token=78828db2-cd84-49bc-a9ae-3c2246147cc3" TargetMode="External"/><Relationship Id="rId225" Type="http://schemas.openxmlformats.org/officeDocument/2006/relationships/hyperlink" Target="https://firebasestorage.googleapis.com/v0/b/wt-foundation-production.appspot.com/o/measurements%2FMeasureMethod.ADM_FIXED_PCT%2Fdepth%2F1773952311441?alt=media&amp;token=f2b9b993-3a45-4b30-81c3-cb818a066791" TargetMode="External"/><Relationship Id="rId267" Type="http://schemas.openxmlformats.org/officeDocument/2006/relationships/hyperlink" Target="https://firebasestorage.googleapis.com/v0/b/wt-foundation-production.appspot.com/o/measurements%2FMeasureMethod.ADM_FIXED_PCT%2Fdepth%2F1773953190146?alt=media&amp;token=3f2831cf-1aa1-4767-8a3e-afe0a0054c7f" TargetMode="External"/><Relationship Id="rId432" Type="http://schemas.openxmlformats.org/officeDocument/2006/relationships/hyperlink" Target="https://firebasestorage.googleapis.com/v0/b/wt-foundation-production.appspot.com/o/measurements%2FMeasureMethod.ADM_FIXED_PCT%2FheightPhoto%2F1778363655918?alt=media&amp;token=13db40e7-5c35-46af-af7e-3c64e9eec336" TargetMode="External"/><Relationship Id="rId474" Type="http://schemas.openxmlformats.org/officeDocument/2006/relationships/hyperlink" Target="https://firebasestorage.googleapis.com/v0/b/wt-foundation-production.appspot.com/o/measurements%2FMeasureMethod.ADM_FIXED_PCT%2FheightPhoto%2F1778363919242?alt=media&amp;token=6ec52ac3-5229-479d-a8e0-9e679900cf99" TargetMode="External"/><Relationship Id="rId127" Type="http://schemas.openxmlformats.org/officeDocument/2006/relationships/hyperlink" Target="https://firebasestorage.googleapis.com/v0/b/wt-foundation-production.appspot.com/o/measurements%2FMeasureMethod.ADM_FIXED_PCT%2FdbhPhoto%2F1773947301615?alt=media&amp;token=af1dfa93-055c-489c-a90d-6e9481f51cb8" TargetMode="External"/><Relationship Id="rId31" Type="http://schemas.openxmlformats.org/officeDocument/2006/relationships/hyperlink" Target="https://firebasestorage.googleapis.com/v0/b/wt-foundation-production.appspot.com/o/measurements%2FMeasureMethod.ADM_FIXED_PCT%2FdbhPhoto%2F1773896122238?alt=media&amp;token=beb517a7-15a1-4e16-a0c6-5b414a4e0f7d" TargetMode="External"/><Relationship Id="rId73" Type="http://schemas.openxmlformats.org/officeDocument/2006/relationships/hyperlink" Target="https://firebasestorage.googleapis.com/v0/b/wt-foundation-production.appspot.com/o/measurements%2FMeasureMethod.ADM_FIXED_PCT%2FdbhPhoto%2F1773955612045?alt=media&amp;token=6235395b-9c22-4bcf-95c9-5153d3864142" TargetMode="External"/><Relationship Id="rId169" Type="http://schemas.openxmlformats.org/officeDocument/2006/relationships/hyperlink" Target="https://firebasestorage.googleapis.com/v0/b/wt-foundation-production.appspot.com/o/measurements%2FMeasureMethod.ADM_FIXED_PCT%2FdbhPhoto%2F1773950876360?alt=media&amp;token=1688dc70-1ebf-4bfa-8ab4-dcb80155a149" TargetMode="External"/><Relationship Id="rId334" Type="http://schemas.openxmlformats.org/officeDocument/2006/relationships/hyperlink" Target="https://firebasestorage.googleapis.com/v0/b/wt-foundation-production.appspot.com/o/measurements%2FMeasureMethod.ADM_FIXED_PCT%2FheightPhoto%2F1776654596960?alt=media&amp;token=4c70ec23-6257-4c43-926f-340a1109cafb" TargetMode="External"/><Relationship Id="rId376" Type="http://schemas.openxmlformats.org/officeDocument/2006/relationships/hyperlink" Target="https://firebasestorage.googleapis.com/v0/b/wt-foundation-production.appspot.com/o/measurements%2FMeasureMethod.ADM_FIXED_PCT%2FheightPhoto%2F1777917575809?alt=media&amp;token=a61cf8d8-0559-4cc5-83d4-ab450a4b7839" TargetMode="External"/><Relationship Id="rId4" Type="http://schemas.openxmlformats.org/officeDocument/2006/relationships/hyperlink" Target="https://firebasestorage.googleapis.com/v0/b/wt-foundation-production.appspot.com/o/measurements%2FMeasureMethod.ADM_FIXED_PCT%2FdbhPhoto%2F1773300400017?alt=media&amp;token=1bee9cc3-f974-469a-91e0-6165d82f671f" TargetMode="External"/><Relationship Id="rId180" Type="http://schemas.openxmlformats.org/officeDocument/2006/relationships/hyperlink" Target="https://firebasestorage.googleapis.com/v0/b/wt-foundation-production.appspot.com/o/measurements%2FMeasureMethod.ADM_FIXED_PCT%2Fdepth%2F1773951479108?alt=media&amp;token=cd5b6d3e-c7fb-46e4-829e-91bc6bfc5aaf" TargetMode="External"/><Relationship Id="rId236" Type="http://schemas.openxmlformats.org/officeDocument/2006/relationships/hyperlink" Target="https://firebasestorage.googleapis.com/v0/b/wt-foundation-production.appspot.com/o/measurements%2FMeasureMethod.ADM_FIXED_PCT%2FheightPhoto%2F1773952432365?alt=media&amp;token=af43b7f2-0813-422c-9912-11022038e1a4" TargetMode="External"/><Relationship Id="rId278" Type="http://schemas.openxmlformats.org/officeDocument/2006/relationships/hyperlink" Target="https://firebasestorage.googleapis.com/v0/b/wt-foundation-production.appspot.com/o/measurements%2FMeasureMethod.ADM_FIXED_PCT%2FheightPhoto%2F1773953280072?alt=media&amp;token=3599406c-5c2d-4ce5-987c-ff52bf4c2f60" TargetMode="External"/><Relationship Id="rId401" Type="http://schemas.openxmlformats.org/officeDocument/2006/relationships/hyperlink" Target="https://firebasestorage.googleapis.com/v0/b/wt-foundation-production.appspot.com/o/measurements%2FMeasureMethod.ADM_FIXED_PCT%2FdbhPhoto%2F1778276246430?alt=media&amp;token=9f3a0fa4-2651-472f-af85-50456791bde6" TargetMode="External"/><Relationship Id="rId443" Type="http://schemas.openxmlformats.org/officeDocument/2006/relationships/hyperlink" Target="https://firebasestorage.googleapis.com/v0/b/wt-foundation-production.appspot.com/o/measurements%2FMeasureMethod.ADM_FIXED_PCT%2FdbhPhoto%2F1778363848302?alt=media&amp;token=74e0e4e1-b48b-4491-9a8b-5afe4aa8b14b" TargetMode="External"/><Relationship Id="rId303" Type="http://schemas.openxmlformats.org/officeDocument/2006/relationships/hyperlink" Target="https://firebasestorage.googleapis.com/v0/b/wt-foundation-production.appspot.com/o/measurements%2FMeasureMethod.ADM_FIXED_PCT%2FdbhPhoto%2F1776654422410?alt=media&amp;token=5e2f48bb-4795-4c8a-8dd6-d989cd15a90f" TargetMode="External"/><Relationship Id="rId485" Type="http://schemas.openxmlformats.org/officeDocument/2006/relationships/hyperlink" Target="https://firebasestorage.googleapis.com/v0/b/wt-foundation-production.appspot.com/o/measurements%2FMeasureMethod.ADM_FIXED_PCT%2FdbhPhoto%2F1778365513729?alt=media&amp;token=bc140a6c-432f-45d9-a887-650a81794477" TargetMode="External"/><Relationship Id="rId42" Type="http://schemas.openxmlformats.org/officeDocument/2006/relationships/hyperlink" Target="https://firebasestorage.googleapis.com/v0/b/wt-foundation-production.appspot.com/o/measurements%2FMeasureMethod.ADM_FIXED_PCT%2Fdepth%2F1773953842239?alt=media&amp;token=69d8eee1-5916-43aa-af22-4ca6ac4106c2" TargetMode="External"/><Relationship Id="rId84" Type="http://schemas.openxmlformats.org/officeDocument/2006/relationships/hyperlink" Target="https://firebasestorage.googleapis.com/v0/b/wt-foundation-production.appspot.com/o/measurements%2FMeasureMethod.ADM_FIXED_PCT%2Fdepth%2F1773945022860?alt=media&amp;token=c6debe33-64d2-409e-b470-ece65f1be26b" TargetMode="External"/><Relationship Id="rId138" Type="http://schemas.openxmlformats.org/officeDocument/2006/relationships/hyperlink" Target="https://firebasestorage.googleapis.com/v0/b/wt-foundation-production.appspot.com/o/measurements%2FMeasureMethod.ADM_FIXED_PCT%2Fdepth%2F1773955538292?alt=media&amp;token=1eb49635-1846-4bab-8094-d1365a92a088" TargetMode="External"/><Relationship Id="rId345" Type="http://schemas.openxmlformats.org/officeDocument/2006/relationships/hyperlink" Target="https://firebasestorage.googleapis.com/v0/b/wt-foundation-production.appspot.com/o/measurements%2FMeasureMethod.ADM_FIXED_PCT%2FdbhPhoto%2F1777661793021?alt=media&amp;token=14ef2caf-d682-4d95-bd8e-0e4ee67c3ef2" TargetMode="External"/><Relationship Id="rId387" Type="http://schemas.openxmlformats.org/officeDocument/2006/relationships/hyperlink" Target="https://firebasestorage.googleapis.com/v0/b/wt-foundation-production.appspot.com/o/measurements%2FMeasureMethod.ADM_FIXED_PCT%2FdbhPhoto%2F1778276211201?alt=media&amp;token=7227e301-ff19-481d-aa01-f90bff5eee18" TargetMode="External"/><Relationship Id="rId510" Type="http://schemas.openxmlformats.org/officeDocument/2006/relationships/hyperlink" Target="https://firebasestorage.googleapis.com/v0/b/wt-foundation-production.appspot.com/o/measurements%2FMeasureMethod.ADM_FIXED_PCT%2FheightPhoto%2F1778399410665?alt=media&amp;token=4fe19c69-b766-4f0d-b53b-a2bf29df79e4" TargetMode="External"/><Relationship Id="rId191" Type="http://schemas.openxmlformats.org/officeDocument/2006/relationships/hyperlink" Target="https://firebasestorage.googleapis.com/v0/b/wt-foundation-production.appspot.com/o/measurements%2FMeasureMethod.ADM_FIXED_PCT%2FheightPhoto%2F1773951603039?alt=media&amp;token=9adb6def-ba46-4470-ab0c-d9f6df0eb6c1" TargetMode="External"/><Relationship Id="rId205" Type="http://schemas.openxmlformats.org/officeDocument/2006/relationships/hyperlink" Target="https://firebasestorage.googleapis.com/v0/b/wt-foundation-production.appspot.com/o/measurements%2FMeasureMethod.ADM_FIXED_PCT%2FdbhPhoto%2F1773951786968?alt=media&amp;token=98dd21e1-0fe8-476f-9a9c-a5c1e8499768" TargetMode="External"/><Relationship Id="rId247" Type="http://schemas.openxmlformats.org/officeDocument/2006/relationships/hyperlink" Target="https://firebasestorage.googleapis.com/v0/b/wt-foundation-production.appspot.com/o/measurements%2FMeasureMethod.ADM_FIXED_PCT%2FdbhPhoto%2F1773952995712?alt=media&amp;token=45b1dd9c-9263-49af-8973-798711807d4c" TargetMode="External"/><Relationship Id="rId412" Type="http://schemas.openxmlformats.org/officeDocument/2006/relationships/hyperlink" Target="https://firebasestorage.googleapis.com/v0/b/wt-foundation-production.appspot.com/o/measurements%2FMeasureMethod.ADM_FIXED_PCT%2FheightPhoto%2F1778276278987?alt=media&amp;token=a4a611d3-6b74-498a-b08b-f08ab64a6afe" TargetMode="External"/><Relationship Id="rId107" Type="http://schemas.openxmlformats.org/officeDocument/2006/relationships/hyperlink" Target="https://firebasestorage.googleapis.com/v0/b/wt-foundation-production.appspot.com/o/measurements%2FMeasureMethod.ADM_FIXED_PCT%2FheightPhoto%2F1773955419055?alt=media&amp;token=ed035e31-ac9c-406a-b640-243325e02c85" TargetMode="External"/><Relationship Id="rId289" Type="http://schemas.openxmlformats.org/officeDocument/2006/relationships/hyperlink" Target="https://firebasestorage.googleapis.com/v0/b/wt-foundation-production.appspot.com/o/measurements%2FMeasureMethod.ADM_FIXED_PCT%2FdbhPhoto%2F1773953792925?alt=media&amp;token=212895da-4b52-478b-88b4-55ed39e3e97f" TargetMode="External"/><Relationship Id="rId454" Type="http://schemas.openxmlformats.org/officeDocument/2006/relationships/hyperlink" Target="https://firebasestorage.googleapis.com/v0/b/wt-foundation-production.appspot.com/o/measurements%2FMeasureMethod.ADM_FIXED_PCT%2FheightPhoto%2F1778363874424?alt=media&amp;token=0ce15009-556d-4d78-95df-778189f18a0e" TargetMode="External"/><Relationship Id="rId496" Type="http://schemas.openxmlformats.org/officeDocument/2006/relationships/hyperlink" Target="https://firebasestorage.googleapis.com/v0/b/wt-foundation-production.appspot.com/o/measurements%2FMeasureMethod.ADM_FIXED_PCT%2FheightPhoto%2F1778365529889?alt=media&amp;token=26bb30d2-0a26-482b-922e-f37510c05bfa" TargetMode="External"/><Relationship Id="rId11" Type="http://schemas.openxmlformats.org/officeDocument/2006/relationships/hyperlink" Target="https://firebasestorage.googleapis.com/v0/b/wt-foundation-production.appspot.com/o/measurements%2FMeasureMethod.ADM_FIXED_PCT%2FheightPhoto%2F1773768525865?alt=media&amp;token=ac4b7cba-f743-4c9e-8edd-d2b177514da7" TargetMode="External"/><Relationship Id="rId53" Type="http://schemas.openxmlformats.org/officeDocument/2006/relationships/hyperlink" Target="https://firebasestorage.googleapis.com/v0/b/wt-foundation-production.appspot.com/o/measurements%2FMeasureMethod.ADM_FIXED_PCT%2FheightPhoto%2F1773953886200?alt=media&amp;token=48130c94-da35-46ac-92ed-0544dc2fa4f7" TargetMode="External"/><Relationship Id="rId149" Type="http://schemas.openxmlformats.org/officeDocument/2006/relationships/hyperlink" Target="https://firebasestorage.googleapis.com/v0/b/wt-foundation-production.appspot.com/o/measurements%2FMeasureMethod.ADM_FIXED_PCT%2FheightPhoto%2F1773950615253?alt=media&amp;token=fcacf634-1f28-4620-a0f3-b253155f17c9" TargetMode="External"/><Relationship Id="rId314" Type="http://schemas.openxmlformats.org/officeDocument/2006/relationships/hyperlink" Target="https://firebasestorage.googleapis.com/v0/b/wt-foundation-production.appspot.com/o/measurements%2FMeasureMethod.ADM_FIXED_PCT%2FheightPhoto%2F1776654443866?alt=media&amp;token=0da246dc-ec3c-4680-9239-4d518f9f64ac" TargetMode="External"/><Relationship Id="rId356" Type="http://schemas.openxmlformats.org/officeDocument/2006/relationships/hyperlink" Target="https://firebasestorage.googleapis.com/v0/b/wt-foundation-production.appspot.com/o/measurements%2FMeasureMethod.ADM_FIXED_PCT%2FheightPhoto%2F1777662841437?alt=media&amp;token=3168d94c-994e-4de0-a33d-0e157f15f4c2" TargetMode="External"/><Relationship Id="rId398" Type="http://schemas.openxmlformats.org/officeDocument/2006/relationships/hyperlink" Target="https://firebasestorage.googleapis.com/v0/b/wt-foundation-production.appspot.com/o/measurements%2FMeasureMethod.ADM_FIXED_PCT%2FheightPhoto%2F1778276233811?alt=media&amp;token=fda8322d-420c-492e-80d5-3128f0dc7835" TargetMode="External"/><Relationship Id="rId521" Type="http://schemas.openxmlformats.org/officeDocument/2006/relationships/hyperlink" Target="https://firebasestorage.googleapis.com/v0/b/wt-foundation-production.appspot.com/o/measurements%2FMeasureMethod.ADM_FIXED_PCT%2FdbhPhoto%2F1778399374570?alt=media&amp;token=7e20e3e0-ac0d-4c49-9bf6-5191b4954327" TargetMode="External"/><Relationship Id="rId95" Type="http://schemas.openxmlformats.org/officeDocument/2006/relationships/hyperlink" Target="https://firebasestorage.googleapis.com/v0/b/wt-foundation-production.appspot.com/o/measurements%2FMeasureMethod.ADM_FIXED_PCT%2FheightPhoto%2F1773945225897?alt=media&amp;token=2aebf7b9-e158-4cf3-b073-b79489d65ec2" TargetMode="External"/><Relationship Id="rId160" Type="http://schemas.openxmlformats.org/officeDocument/2006/relationships/hyperlink" Target="https://firebasestorage.googleapis.com/v0/b/wt-foundation-production.appspot.com/o/measurements%2FMeasureMethod.ADM_FIXED_PCT%2FdbhPhoto%2F1773950786629?alt=media&amp;token=cfa941c3-bca8-4974-9ebc-cce955dbd390" TargetMode="External"/><Relationship Id="rId216" Type="http://schemas.openxmlformats.org/officeDocument/2006/relationships/hyperlink" Target="https://firebasestorage.googleapis.com/v0/b/wt-foundation-production.appspot.com/o/measurements%2FMeasureMethod.ADM_FIXED_PCT%2Fdepth%2F1773952219384?alt=media&amp;token=4db5c223-956c-40e4-99df-4b971605d272" TargetMode="External"/><Relationship Id="rId423" Type="http://schemas.openxmlformats.org/officeDocument/2006/relationships/hyperlink" Target="https://firebasestorage.googleapis.com/v0/b/wt-foundation-production.appspot.com/o/measurements%2FMeasureMethod.ADM_FIXED_PCT%2FdbhPhoto%2F1778363580024?alt=media&amp;token=a1dde6b9-931e-4793-9222-46cc3660d360" TargetMode="External"/><Relationship Id="rId258" Type="http://schemas.openxmlformats.org/officeDocument/2006/relationships/hyperlink" Target="https://firebasestorage.googleapis.com/v0/b/wt-foundation-production.appspot.com/o/measurements%2FMeasureMethod.ADM_FIXED_PCT%2Fdepth%2F1773953091349?alt=media&amp;token=8b4f33a2-9848-4498-b5de-d95be565e0db" TargetMode="External"/><Relationship Id="rId465" Type="http://schemas.openxmlformats.org/officeDocument/2006/relationships/hyperlink" Target="https://firebasestorage.googleapis.com/v0/b/wt-foundation-production.appspot.com/o/measurements%2FMeasureMethod.ADM_FIXED_PCT%2FdbhPhoto%2F1778363899911?alt=media&amp;token=2c8a7012-c177-4319-be51-a1a326c1d24e" TargetMode="External"/><Relationship Id="rId22" Type="http://schemas.openxmlformats.org/officeDocument/2006/relationships/hyperlink" Target="https://firebasestorage.googleapis.com/v0/b/wt-foundation-production.appspot.com/o/measurements%2FMeasureMethod.ADM_FIXED_PCT%2FdbhPhoto%2F1773895983446?alt=media&amp;token=15ae0a53-975f-4e59-8a7a-0187bcedab2f" TargetMode="External"/><Relationship Id="rId64" Type="http://schemas.openxmlformats.org/officeDocument/2006/relationships/hyperlink" Target="https://firebasestorage.googleapis.com/v0/b/wt-foundation-production.appspot.com/o/measurements%2FMeasureMethod.ADM_FIXED_PCT%2FdbhPhoto%2F1773923579898?alt=media&amp;token=94d178b1-7ae5-44e2-b9aa-d685a67d1250" TargetMode="External"/><Relationship Id="rId118" Type="http://schemas.openxmlformats.org/officeDocument/2006/relationships/hyperlink" Target="https://firebasestorage.googleapis.com/v0/b/wt-foundation-production.appspot.com/o/measurements%2FMeasureMethod.ADM_FIXED_PCT%2FdbhPhoto%2F1773947077307?alt=media&amp;token=7c142b3d-97b9-4718-820d-933fdf2faf01" TargetMode="External"/><Relationship Id="rId325" Type="http://schemas.openxmlformats.org/officeDocument/2006/relationships/hyperlink" Target="https://firebasestorage.googleapis.com/v0/b/wt-foundation-production.appspot.com/o/measurements%2FMeasureMethod.ADM_FIXED_PCT%2FdbhPhoto%2F1776654478008?alt=media&amp;token=e657d9ea-f407-4f15-8d31-c0ea37a62344" TargetMode="External"/><Relationship Id="rId367" Type="http://schemas.openxmlformats.org/officeDocument/2006/relationships/hyperlink" Target="https://firebasestorage.googleapis.com/v0/b/wt-foundation-production.appspot.com/o/measurements%2FMeasureMethod.ADM_FIXED_PCT%2FdbhPhoto%2F1778038319486?alt=media&amp;token=b0fcd9c8-aec7-41c8-a54e-abaddb79e4d9" TargetMode="External"/><Relationship Id="rId171" Type="http://schemas.openxmlformats.org/officeDocument/2006/relationships/hyperlink" Target="https://firebasestorage.googleapis.com/v0/b/wt-foundation-production.appspot.com/o/measurements%2FMeasureMethod.ADM_FIXED_PCT%2Fdepth%2F1773950910716?alt=media&amp;token=8e9e320c-e0ae-4d97-9a8b-a51493f7a5c9" TargetMode="External"/><Relationship Id="rId227" Type="http://schemas.openxmlformats.org/officeDocument/2006/relationships/hyperlink" Target="https://firebasestorage.googleapis.com/v0/b/wt-foundation-production.appspot.com/o/measurements%2FMeasureMethod.ADM_FIXED_PCT%2FheightPhoto%2F1773952321177?alt=media&amp;token=122f0712-ed89-4b3c-8525-22e868c6b689" TargetMode="External"/><Relationship Id="rId269" Type="http://schemas.openxmlformats.org/officeDocument/2006/relationships/hyperlink" Target="https://firebasestorage.googleapis.com/v0/b/wt-foundation-production.appspot.com/o/measurements%2FMeasureMethod.ADM_FIXED_PCT%2FheightPhoto%2F1773953211508?alt=media&amp;token=096bd8d1-d86f-42aa-9e30-12eaa89f0fbe" TargetMode="External"/><Relationship Id="rId434" Type="http://schemas.openxmlformats.org/officeDocument/2006/relationships/hyperlink" Target="https://firebasestorage.googleapis.com/v0/b/wt-foundation-production.appspot.com/o/measurements%2FMeasureMethod.ADM_FIXED_PCT%2FheightPhoto%2F1778363672140?alt=media&amp;token=eabe9a0f-aea1-44bf-b8a7-5805b09e3f76" TargetMode="External"/><Relationship Id="rId476" Type="http://schemas.openxmlformats.org/officeDocument/2006/relationships/hyperlink" Target="https://firebasestorage.googleapis.com/v0/b/wt-foundation-production.appspot.com/o/measurements%2FMeasureMethod.ADM_FIXED_PCT%2FheightPhoto%2F1778363926778?alt=media&amp;token=aa4d3273-834a-46e8-b5a4-5d24004ebb8d" TargetMode="External"/><Relationship Id="rId33" Type="http://schemas.openxmlformats.org/officeDocument/2006/relationships/hyperlink" Target="https://firebasestorage.googleapis.com/v0/b/wt-foundation-production.appspot.com/o/measurements%2FMeasureMethod.ADM_FIXED_PCT%2Fdepth%2F1773896128224?alt=media&amp;token=c9fb6799-ee1d-47c1-a416-38af36859577" TargetMode="External"/><Relationship Id="rId129" Type="http://schemas.openxmlformats.org/officeDocument/2006/relationships/hyperlink" Target="https://firebasestorage.googleapis.com/v0/b/wt-foundation-production.appspot.com/o/measurements%2FMeasureMethod.ADM_FIXED_PCT%2Fdepth%2F1773947367444?alt=media&amp;token=2ea71f8c-f227-4c10-a0a3-6f464e48e9e1" TargetMode="External"/><Relationship Id="rId280" Type="http://schemas.openxmlformats.org/officeDocument/2006/relationships/hyperlink" Target="https://firebasestorage.googleapis.com/v0/b/wt-foundation-production.appspot.com/o/measurements%2FMeasureMethod.ADM_FIXED_PCT%2FdbhPhoto%2F1773953384523?alt=media&amp;token=1264a62c-1942-4ce1-8a3c-069d73f6c78e" TargetMode="External"/><Relationship Id="rId336" Type="http://schemas.openxmlformats.org/officeDocument/2006/relationships/hyperlink" Target="https://firebasestorage.googleapis.com/v0/b/wt-foundation-production.appspot.com/o/measurements%2FMeasureMethod.ADM_FIXED_PCT%2FheightPhoto%2F1777484466358?alt=media&amp;token=da90b7c7-3f29-4d89-bc4d-7316573a3ccc" TargetMode="External"/><Relationship Id="rId501" Type="http://schemas.openxmlformats.org/officeDocument/2006/relationships/hyperlink" Target="https://firebasestorage.googleapis.com/v0/b/wt-foundation-production.appspot.com/o/measurements%2FMeasureMethod.ADM_FIXED_PCT%2FdbhPhoto%2F1778399388616?alt=media&amp;token=f46a355e-cec8-4204-9ae3-2bd207c061c7" TargetMode="External"/><Relationship Id="rId75" Type="http://schemas.openxmlformats.org/officeDocument/2006/relationships/hyperlink" Target="https://firebasestorage.googleapis.com/v0/b/wt-foundation-production.appspot.com/o/measurements%2FMeasureMethod.ADM_FIXED_PCT%2Fdepth%2F1773955612048?alt=media&amp;token=1f7e274a-82ad-49bf-a635-b281473c494e" TargetMode="External"/><Relationship Id="rId140" Type="http://schemas.openxmlformats.org/officeDocument/2006/relationships/hyperlink" Target="https://firebasestorage.googleapis.com/v0/b/wt-foundation-production.appspot.com/o/measurements%2FMeasureMethod.ADM_FIXED_PCT%2FheightPhoto%2F1773950555808?alt=media&amp;token=ccf0846e-1386-4814-871f-f6276057424c" TargetMode="External"/><Relationship Id="rId182" Type="http://schemas.openxmlformats.org/officeDocument/2006/relationships/hyperlink" Target="https://firebasestorage.googleapis.com/v0/b/wt-foundation-production.appspot.com/o/measurements%2FMeasureMethod.ADM_FIXED_PCT%2FheightPhoto%2F1773951483361?alt=media&amp;token=65df6c4b-c134-47be-8244-72dc3f5d76a4" TargetMode="External"/><Relationship Id="rId378" Type="http://schemas.openxmlformats.org/officeDocument/2006/relationships/hyperlink" Target="https://firebasestorage.googleapis.com/v0/b/wt-foundation-production.appspot.com/o/measurements%2FMeasureMethod.ADM_FIXED_PCT%2FheightPhoto%2F1778276027634?alt=media&amp;token=7fe81402-626d-4fdb-873b-4de7dc22da14" TargetMode="External"/><Relationship Id="rId403" Type="http://schemas.openxmlformats.org/officeDocument/2006/relationships/hyperlink" Target="https://firebasestorage.googleapis.com/v0/b/wt-foundation-production.appspot.com/o/measurements%2FMeasureMethod.ADM_FIXED_PCT%2FdbhPhoto%2F1778276256289?alt=media&amp;token=66ea7e72-f0c8-4aff-a5aa-4adfe67ee447" TargetMode="External"/><Relationship Id="rId6" Type="http://schemas.openxmlformats.org/officeDocument/2006/relationships/hyperlink" Target="https://firebasestorage.googleapis.com/v0/b/wt-foundation-production.appspot.com/o/measurements%2FMeasureMethod.ADM_FIXED_PCT%2Fdepth%2F1773768353454?alt=media&amp;token=94f616c2-2003-4965-8d7c-a179755ae178" TargetMode="External"/><Relationship Id="rId238" Type="http://schemas.openxmlformats.org/officeDocument/2006/relationships/hyperlink" Target="https://firebasestorage.googleapis.com/v0/b/wt-foundation-production.appspot.com/o/measurements%2FMeasureMethod.ADM_FIXED_PCT%2FdbhPhoto%2F1773952473085?alt=media&amp;token=eb6bf63b-85fa-40c9-8e83-889ff862b141" TargetMode="External"/><Relationship Id="rId445" Type="http://schemas.openxmlformats.org/officeDocument/2006/relationships/hyperlink" Target="https://firebasestorage.googleapis.com/v0/b/wt-foundation-production.appspot.com/o/measurements%2FMeasureMethod.ADM_FIXED_PCT%2FdbhPhoto%2F1778363851949?alt=media&amp;token=35a3d59a-b246-46e2-9188-af82cfdedcde" TargetMode="External"/><Relationship Id="rId487" Type="http://schemas.openxmlformats.org/officeDocument/2006/relationships/hyperlink" Target="https://firebasestorage.googleapis.com/v0/b/wt-foundation-production.appspot.com/o/measurements%2FMeasureMethod.ADM_FIXED_PCT%2FdbhPhoto%2F1778365513741?alt=media&amp;token=05882b9d-3f38-4a41-b95a-44c2d924c02e" TargetMode="External"/><Relationship Id="rId291" Type="http://schemas.openxmlformats.org/officeDocument/2006/relationships/hyperlink" Target="https://firebasestorage.googleapis.com/v0/b/wt-foundation-production.appspot.com/o/measurements%2FMeasureMethod.ADM_FIXED_PCT%2Fdepth%2F1773953796769?alt=media&amp;token=5a7304bb-4235-4a2d-99b6-4c268f97fc58" TargetMode="External"/><Relationship Id="rId305" Type="http://schemas.openxmlformats.org/officeDocument/2006/relationships/hyperlink" Target="https://firebasestorage.googleapis.com/v0/b/wt-foundation-production.appspot.com/o/measurements%2FMeasureMethod.ADM_FIXED_PCT%2FdbhPhoto%2F1776654425185?alt=media&amp;token=4cebad13-1774-4053-b4f5-3b6adc7555f1" TargetMode="External"/><Relationship Id="rId347" Type="http://schemas.openxmlformats.org/officeDocument/2006/relationships/hyperlink" Target="https://firebasestorage.googleapis.com/v0/b/wt-foundation-production.appspot.com/o/measurements%2FMeasureMethod.ADM_FIXED_PCT%2FdbhPhoto%2F1777661861627?alt=media&amp;token=99a05685-049d-4ad5-afad-0f198820a8f5" TargetMode="External"/><Relationship Id="rId512" Type="http://schemas.openxmlformats.org/officeDocument/2006/relationships/hyperlink" Target="https://firebasestorage.googleapis.com/v0/b/wt-foundation-production.appspot.com/o/measurements%2FMeasureMethod.ADM_FIXED_PCT%2FheightPhoto%2F1778399341042?alt=media&amp;token=2ea2e478-8fd1-4a92-b3fe-58f026197b34" TargetMode="External"/><Relationship Id="rId44" Type="http://schemas.openxmlformats.org/officeDocument/2006/relationships/hyperlink" Target="https://firebasestorage.googleapis.com/v0/b/wt-foundation-production.appspot.com/o/measurements%2FMeasureMethod.ADM_FIXED_PCT%2FheightPhoto%2F1773953842243?alt=media&amp;token=cbe864de-8f69-4a2b-8fc7-52afaaf7e1cf" TargetMode="External"/><Relationship Id="rId86" Type="http://schemas.openxmlformats.org/officeDocument/2006/relationships/hyperlink" Target="https://firebasestorage.googleapis.com/v0/b/wt-foundation-production.appspot.com/o/measurements%2FMeasureMethod.ADM_FIXED_PCT%2FheightPhoto%2F1773945034241?alt=media&amp;token=d7ad89a6-825c-49c0-8b72-cca5936d21a6" TargetMode="External"/><Relationship Id="rId151" Type="http://schemas.openxmlformats.org/officeDocument/2006/relationships/hyperlink" Target="https://firebasestorage.googleapis.com/v0/b/wt-foundation-production.appspot.com/o/measurements%2FMeasureMethod.ADM_FIXED_PCT%2FdbhPhoto%2F1773950690391?alt=media&amp;token=3f6610cc-fef6-4940-aca1-a0fed9f588da" TargetMode="External"/><Relationship Id="rId389" Type="http://schemas.openxmlformats.org/officeDocument/2006/relationships/hyperlink" Target="https://firebasestorage.googleapis.com/v0/b/wt-foundation-production.appspot.com/o/measurements%2FMeasureMethod.ADM_FIXED_PCT%2FdbhPhoto%2F1778276213235?alt=media&amp;token=12ddde00-e171-45f8-bda4-4e0c372369c4" TargetMode="External"/><Relationship Id="rId193" Type="http://schemas.openxmlformats.org/officeDocument/2006/relationships/hyperlink" Target="https://firebasestorage.googleapis.com/v0/b/wt-foundation-production.appspot.com/o/measurements%2FMeasureMethod.ADM_FIXED_PCT%2FdbhPhoto%2F1773951651689?alt=media&amp;token=ae6ca244-6d58-4279-ae81-0df981f9873e" TargetMode="External"/><Relationship Id="rId207" Type="http://schemas.openxmlformats.org/officeDocument/2006/relationships/hyperlink" Target="https://firebasestorage.googleapis.com/v0/b/wt-foundation-production.appspot.com/o/measurements%2FMeasureMethod.ADM_FIXED_PCT%2Fdepth%2F1773951807203?alt=media&amp;token=e606d69f-b20f-4736-9775-397a1755be8f" TargetMode="External"/><Relationship Id="rId249" Type="http://schemas.openxmlformats.org/officeDocument/2006/relationships/hyperlink" Target="https://firebasestorage.googleapis.com/v0/b/wt-foundation-production.appspot.com/o/measurements%2FMeasureMethod.ADM_FIXED_PCT%2Fdepth%2F1773953002322?alt=media&amp;token=e13bcafc-047f-425d-ac69-ccdc05ac804d" TargetMode="External"/><Relationship Id="rId414" Type="http://schemas.openxmlformats.org/officeDocument/2006/relationships/hyperlink" Target="https://firebasestorage.googleapis.com/v0/b/wt-foundation-production.appspot.com/o/measurements%2FMeasureMethod.ADM_FIXED_PCT%2FheightPhoto%2F1778276284593?alt=media&amp;token=f37cea9e-7ba4-46c9-b2da-9e7f0d7ef7fb" TargetMode="External"/><Relationship Id="rId456" Type="http://schemas.openxmlformats.org/officeDocument/2006/relationships/hyperlink" Target="https://firebasestorage.googleapis.com/v0/b/wt-foundation-production.appspot.com/o/measurements%2FMeasureMethod.ADM_FIXED_PCT%2FheightPhoto%2F1778363877450?alt=media&amp;token=ebbe0cbd-963c-43e8-92df-3f264211d4bc" TargetMode="External"/><Relationship Id="rId498" Type="http://schemas.openxmlformats.org/officeDocument/2006/relationships/hyperlink" Target="https://firebasestorage.googleapis.com/v0/b/wt-foundation-production.appspot.com/o/measurements%2FMeasureMethod.ADM_FIXED_PCT%2FheightPhoto%2F1778365533723?alt=media&amp;token=8961b3aa-9753-4c92-9fef-7097c1f0f32c" TargetMode="External"/><Relationship Id="rId13" Type="http://schemas.openxmlformats.org/officeDocument/2006/relationships/hyperlink" Target="https://firebasestorage.googleapis.com/v0/b/wt-foundation-production.appspot.com/o/measurements%2FMeasureMethod.ADM_FIXED_PCT%2FdbhPhoto%2F1773385405582?alt=media&amp;token=7eeccff5-93c9-469c-bf8b-0292397de16a" TargetMode="External"/><Relationship Id="rId109" Type="http://schemas.openxmlformats.org/officeDocument/2006/relationships/hyperlink" Target="https://firebasestorage.googleapis.com/v0/b/wt-foundation-production.appspot.com/o/measurements%2FMeasureMethod.ADM_FIXED_PCT%2FdbhPhoto%2F1773946978203?alt=media&amp;token=f40b79b7-a9fd-4f57-af62-9905d7378cc2" TargetMode="External"/><Relationship Id="rId260" Type="http://schemas.openxmlformats.org/officeDocument/2006/relationships/hyperlink" Target="https://firebasestorage.googleapis.com/v0/b/wt-foundation-production.appspot.com/o/measurements%2FMeasureMethod.ADM_FIXED_PCT%2FheightPhoto%2F1773953104540?alt=media&amp;token=6f59a79e-5fd6-4af0-a11d-82690980fefd" TargetMode="External"/><Relationship Id="rId316" Type="http://schemas.openxmlformats.org/officeDocument/2006/relationships/hyperlink" Target="https://firebasestorage.googleapis.com/v0/b/wt-foundation-production.appspot.com/o/measurements%2FMeasureMethod.ADM_FIXED_PCT%2FheightPhoto%2F1776654449691?alt=media&amp;token=cb060f38-66a6-4c51-bbda-e06a7fce1d8e" TargetMode="External"/><Relationship Id="rId523" Type="http://schemas.openxmlformats.org/officeDocument/2006/relationships/hyperlink" Target="https://firebasestorage.googleapis.com/v0/b/wt-foundation-production.appspot.com/o/measurements%2FMeasureMethod.ADM_FIXED_PCT%2FdbhPhoto%2F1778399379395?alt=media&amp;token=c0ce81dc-fb4a-4f88-9f95-7dc72fef7e62" TargetMode="External"/><Relationship Id="rId55" Type="http://schemas.openxmlformats.org/officeDocument/2006/relationships/hyperlink" Target="https://firebasestorage.googleapis.com/v0/b/wt-foundation-production.appspot.com/o/measurements%2FMeasureMethod.ADM_FIXED_PCT%2FdbhPhoto%2F1773953943882?alt=media&amp;token=8456f02d-4763-458a-9937-826bac91b1a0" TargetMode="External"/><Relationship Id="rId97" Type="http://schemas.openxmlformats.org/officeDocument/2006/relationships/hyperlink" Target="https://firebasestorage.googleapis.com/v0/b/wt-foundation-production.appspot.com/o/measurements%2FMeasureMethod.ADM_FIXED_PCT%2FdbhPhoto%2F1773945295926?alt=media&amp;token=a7f8f9bc-2172-497a-87ce-646f80f59e30" TargetMode="External"/><Relationship Id="rId120" Type="http://schemas.openxmlformats.org/officeDocument/2006/relationships/hyperlink" Target="https://firebasestorage.googleapis.com/v0/b/wt-foundation-production.appspot.com/o/measurements%2FMeasureMethod.ADM_FIXED_PCT%2Fdepth%2F1773947084459?alt=media&amp;token=de619f7e-6809-41e4-8ea2-d69ea3d13799" TargetMode="External"/><Relationship Id="rId358" Type="http://schemas.openxmlformats.org/officeDocument/2006/relationships/hyperlink" Target="https://firebasestorage.googleapis.com/v0/b/wt-foundation-production.appspot.com/o/measurements%2FMeasureMethod.ADM_FIXED_PCT%2FheightPhoto%2F1777663267476?alt=media&amp;token=12f14930-4aee-4dcc-9840-fe0936f0c160" TargetMode="External"/><Relationship Id="rId162" Type="http://schemas.openxmlformats.org/officeDocument/2006/relationships/hyperlink" Target="https://firebasestorage.googleapis.com/v0/b/wt-foundation-production.appspot.com/o/measurements%2FMeasureMethod.ADM_FIXED_PCT%2Fdepth%2F1773950793374?alt=media&amp;token=fd3fd6bf-a31f-4f0e-86e2-44b48081078f" TargetMode="External"/><Relationship Id="rId218" Type="http://schemas.openxmlformats.org/officeDocument/2006/relationships/hyperlink" Target="https://firebasestorage.googleapis.com/v0/b/wt-foundation-production.appspot.com/o/measurements%2FMeasureMethod.ADM_FIXED_PCT%2FheightPhoto%2F1773952228901?alt=media&amp;token=c527c493-deb4-43bf-8882-2b7efce2f419" TargetMode="External"/><Relationship Id="rId425" Type="http://schemas.openxmlformats.org/officeDocument/2006/relationships/hyperlink" Target="https://firebasestorage.googleapis.com/v0/b/wt-foundation-production.appspot.com/o/measurements%2FMeasureMethod.ADM_FIXED_PCT%2FdbhPhoto%2F1778363612914?alt=media&amp;token=88d52af1-d097-4155-b597-93f3b6d61243" TargetMode="External"/><Relationship Id="rId467" Type="http://schemas.openxmlformats.org/officeDocument/2006/relationships/hyperlink" Target="https://firebasestorage.googleapis.com/v0/b/wt-foundation-production.appspot.com/o/measurements%2FMeasureMethod.ADM_FIXED_PCT%2FdbhPhoto%2F1778363906443?alt=media&amp;token=1c466290-2d46-45a8-8fea-6609368d7adb" TargetMode="External"/><Relationship Id="rId271" Type="http://schemas.openxmlformats.org/officeDocument/2006/relationships/hyperlink" Target="https://firebasestorage.googleapis.com/v0/b/wt-foundation-production.appspot.com/o/measurements%2FMeasureMethod.ADM_FIXED_PCT%2FdbhPhoto%2F1773953235710?alt=media&amp;token=0cdd9b70-8b06-4265-ada9-c67960e003f9" TargetMode="External"/><Relationship Id="rId24" Type="http://schemas.openxmlformats.org/officeDocument/2006/relationships/hyperlink" Target="https://firebasestorage.googleapis.com/v0/b/wt-foundation-production.appspot.com/o/measurements%2FMeasureMethod.ADM_FIXED_PCT%2Fdepth%2F1773895989396?alt=media&amp;token=56d6dac9-ed62-4103-a5bb-03f8fee67e6f" TargetMode="External"/><Relationship Id="rId66" Type="http://schemas.openxmlformats.org/officeDocument/2006/relationships/hyperlink" Target="https://firebasestorage.googleapis.com/v0/b/wt-foundation-production.appspot.com/o/measurements%2FMeasureMethod.ADM_FIXED_PCT%2Fdepth%2F1773923710694?alt=media&amp;token=53a9f0f8-9d78-4ce0-84f5-1c5389c069ba" TargetMode="External"/><Relationship Id="rId131" Type="http://schemas.openxmlformats.org/officeDocument/2006/relationships/hyperlink" Target="https://firebasestorage.googleapis.com/v0/b/wt-foundation-production.appspot.com/o/measurements%2FMeasureMethod.ADM_FIXED_PCT%2FheightPhoto%2F1773947369819?alt=media&amp;token=679452c9-95a5-4766-9810-c48e0d3c4920" TargetMode="External"/><Relationship Id="rId327" Type="http://schemas.openxmlformats.org/officeDocument/2006/relationships/hyperlink" Target="https://firebasestorage.googleapis.com/v0/b/wt-foundation-production.appspot.com/o/measurements%2FMeasureMethod.ADM_FIXED_PCT%2FdbhPhoto%2F1776654576335?alt=media&amp;token=3fb4611b-b056-4778-9d84-2e9459963e0d" TargetMode="External"/><Relationship Id="rId369" Type="http://schemas.openxmlformats.org/officeDocument/2006/relationships/hyperlink" Target="https://firebasestorage.googleapis.com/v0/b/wt-foundation-production.appspot.com/o/measurements%2FMeasureMethod.ADM_FIXED_PCT%2FdbhPhoto%2F1777917414972?alt=media&amp;token=625dc11f-452a-4c5a-b57d-00fcaa56f860" TargetMode="External"/><Relationship Id="rId173" Type="http://schemas.openxmlformats.org/officeDocument/2006/relationships/hyperlink" Target="https://firebasestorage.googleapis.com/v0/b/wt-foundation-production.appspot.com/o/measurements%2FMeasureMethod.ADM_FIXED_PCT%2FheightPhoto%2F1773950960131?alt=media&amp;token=fe453abf-4cf9-41dd-ba57-cc4d6976a343" TargetMode="External"/><Relationship Id="rId229" Type="http://schemas.openxmlformats.org/officeDocument/2006/relationships/hyperlink" Target="https://firebasestorage.googleapis.com/v0/b/wt-foundation-production.appspot.com/o/measurements%2FMeasureMethod.ADM_FIXED_PCT%2FdbhPhoto%2F1773952365564?alt=media&amp;token=b255d946-0a44-40fa-bcbf-b9a4683ece20" TargetMode="External"/><Relationship Id="rId380" Type="http://schemas.openxmlformats.org/officeDocument/2006/relationships/hyperlink" Target="https://firebasestorage.googleapis.com/v0/b/wt-foundation-production.appspot.com/o/measurements%2FMeasureMethod.ADM_FIXED_PCT%2FheightPhoto%2F1778276027634?alt=media&amp;token=7fe81402-626d-4fdb-873b-4de7dc22da14" TargetMode="External"/><Relationship Id="rId436" Type="http://schemas.openxmlformats.org/officeDocument/2006/relationships/hyperlink" Target="https://firebasestorage.googleapis.com/v0/b/wt-foundation-production.appspot.com/o/measurements%2FMeasureMethod.ADM_FIXED_PCT%2FheightPhoto%2F1778363694849?alt=media&amp;token=ba261537-85af-441f-9441-78ef7e530de6" TargetMode="External"/><Relationship Id="rId240" Type="http://schemas.openxmlformats.org/officeDocument/2006/relationships/hyperlink" Target="https://firebasestorage.googleapis.com/v0/b/wt-foundation-production.appspot.com/o/measurements%2FMeasureMethod.ADM_FIXED_PCT%2Fdepth%2F1773952479821?alt=media&amp;token=c0b912c3-33c5-4c0b-b9de-ba716443426d" TargetMode="External"/><Relationship Id="rId478" Type="http://schemas.openxmlformats.org/officeDocument/2006/relationships/hyperlink" Target="https://firebasestorage.googleapis.com/v0/b/wt-foundation-production.appspot.com/o/measurements%2FMeasureMethod.ADM_FIXED_PCT%2FheightPhoto%2F1778363931120?alt=media&amp;token=10724faa-3571-4207-8380-62513c321372" TargetMode="External"/><Relationship Id="rId35" Type="http://schemas.openxmlformats.org/officeDocument/2006/relationships/hyperlink" Target="https://firebasestorage.googleapis.com/v0/b/wt-foundation-production.appspot.com/o/measurements%2FMeasureMethod.ADM_FIXED_PCT%2FheightPhoto%2F1773896143908?alt=media&amp;token=b9cda55f-d757-40da-aaec-f31e83fa3f63" TargetMode="External"/><Relationship Id="rId77" Type="http://schemas.openxmlformats.org/officeDocument/2006/relationships/hyperlink" Target="https://firebasestorage.googleapis.com/v0/b/wt-foundation-production.appspot.com/o/measurements%2FMeasureMethod.ADM_FIXED_PCT%2FheightPhoto%2F1773954725759?alt=media&amp;token=4c322c78-4f14-459f-901e-c3154d542216" TargetMode="External"/><Relationship Id="rId100" Type="http://schemas.openxmlformats.org/officeDocument/2006/relationships/hyperlink" Target="https://firebasestorage.googleapis.com/v0/b/wt-foundation-production.appspot.com/o/measurements%2FMeasureMethod.ADM_FIXED_PCT%2FdbhPhoto%2F1773945327487?alt=media&amp;token=61867486-d595-41b2-83b6-21056d9d10be" TargetMode="External"/><Relationship Id="rId282" Type="http://schemas.openxmlformats.org/officeDocument/2006/relationships/hyperlink" Target="https://firebasestorage.googleapis.com/v0/b/wt-foundation-production.appspot.com/o/measurements%2FMeasureMethod.ADM_FIXED_PCT%2Fdepth%2F1773953402937?alt=media&amp;token=5fc074c6-d7e9-4c91-a677-e8b2c9bb2cd6" TargetMode="External"/><Relationship Id="rId338" Type="http://schemas.openxmlformats.org/officeDocument/2006/relationships/hyperlink" Target="https://firebasestorage.googleapis.com/v0/b/wt-foundation-production.appspot.com/o/measurements%2FMeasureMethod.ADM_FIXED_PCT%2FheightPhoto%2F1777484784282?alt=media&amp;token=eeef4286-691e-4826-8066-1340cf0be64f" TargetMode="External"/><Relationship Id="rId503" Type="http://schemas.openxmlformats.org/officeDocument/2006/relationships/hyperlink" Target="https://firebasestorage.googleapis.com/v0/b/wt-foundation-production.appspot.com/o/measurements%2FMeasureMethod.ADM_FIXED_PCT%2FdbhPhoto%2F1778399396196?alt=media&amp;token=20bc9496-c05d-4ac1-97b1-3a59669a3824" TargetMode="External"/><Relationship Id="rId8" Type="http://schemas.openxmlformats.org/officeDocument/2006/relationships/hyperlink" Target="https://firebasestorage.googleapis.com/v0/b/wt-foundation-production.appspot.com/o/measurements%2FMeasureMethod.ADM_FIXED_PCT%2FheightPhoto%2F1773768422775?alt=media&amp;token=1584bb56-ed98-4c26-bdaa-3c369f039c78" TargetMode="External"/><Relationship Id="rId142" Type="http://schemas.openxmlformats.org/officeDocument/2006/relationships/hyperlink" Target="https://firebasestorage.googleapis.com/v0/b/wt-foundation-production.appspot.com/o/measurements%2FMeasureMethod.ADM_FIXED_PCT%2FdbhPhoto%2F1773950577388?alt=media&amp;token=a7d91509-68e7-49d7-99f0-5122db74e2f7" TargetMode="External"/><Relationship Id="rId184" Type="http://schemas.openxmlformats.org/officeDocument/2006/relationships/hyperlink" Target="https://firebasestorage.googleapis.com/v0/b/wt-foundation-production.appspot.com/o/measurements%2FMeasureMethod.ADM_FIXED_PCT%2FdbhPhoto%2F1773951533661?alt=media&amp;token=56884bdf-805e-460c-99f1-afa9fd2897f0" TargetMode="External"/><Relationship Id="rId391" Type="http://schemas.openxmlformats.org/officeDocument/2006/relationships/hyperlink" Target="https://firebasestorage.googleapis.com/v0/b/wt-foundation-production.appspot.com/o/measurements%2FMeasureMethod.ADM_FIXED_PCT%2FdbhPhoto%2F1778276222231?alt=media&amp;token=76de8080-ea71-4923-9ed4-8fd949260d03" TargetMode="External"/><Relationship Id="rId405" Type="http://schemas.openxmlformats.org/officeDocument/2006/relationships/hyperlink" Target="https://firebasestorage.googleapis.com/v0/b/wt-foundation-production.appspot.com/o/measurements%2FMeasureMethod.ADM_FIXED_PCT%2FdbhPhoto%2F1778276268067?alt=media&amp;token=5023f051-5a26-4e52-bc8b-3cae69018bb2" TargetMode="External"/><Relationship Id="rId447" Type="http://schemas.openxmlformats.org/officeDocument/2006/relationships/hyperlink" Target="https://firebasestorage.googleapis.com/v0/b/wt-foundation-production.appspot.com/o/measurements%2FMeasureMethod.ADM_FIXED_PCT%2FdbhPhoto%2F1778363860533?alt=media&amp;token=264fb231-67d6-4257-a448-d3c30b355c5a" TargetMode="External"/><Relationship Id="rId251" Type="http://schemas.openxmlformats.org/officeDocument/2006/relationships/hyperlink" Target="https://firebasestorage.googleapis.com/v0/b/wt-foundation-production.appspot.com/o/measurements%2FMeasureMethod.ADM_FIXED_PCT%2FheightPhoto%2F1773953010352?alt=media&amp;token=d4e00bcb-1069-4b64-bad1-ec36d192a9cb" TargetMode="External"/><Relationship Id="rId489" Type="http://schemas.openxmlformats.org/officeDocument/2006/relationships/hyperlink" Target="https://firebasestorage.googleapis.com/v0/b/wt-foundation-production.appspot.com/o/measurements%2FMeasureMethod.ADM_FIXED_PCT%2FdbhPhoto%2F1778365519897?alt=media&amp;token=a5998141-3ed2-43a8-a770-cb67e6d552d9" TargetMode="External"/><Relationship Id="rId46" Type="http://schemas.openxmlformats.org/officeDocument/2006/relationships/hyperlink" Target="https://firebasestorage.googleapis.com/v0/b/wt-foundation-production.appspot.com/o/measurements%2FMeasureMethod.ADM_FIXED_PCT%2FdbhPhoto%2F1773953875697?alt=media&amp;token=75308296-1ce8-4a84-9ba8-895841dfac30" TargetMode="External"/><Relationship Id="rId293" Type="http://schemas.openxmlformats.org/officeDocument/2006/relationships/hyperlink" Target="https://firebasestorage.googleapis.com/v0/b/wt-foundation-production.appspot.com/o/measurements%2FMeasureMethod.ADM_FIXED_PCT%2FheightPhoto%2F1773895993952?alt=media&amp;token=0c2678d2-373b-47be-bc56-187390c56baa" TargetMode="External"/><Relationship Id="rId307" Type="http://schemas.openxmlformats.org/officeDocument/2006/relationships/hyperlink" Target="https://firebasestorage.googleapis.com/v0/b/wt-foundation-production.appspot.com/o/measurements%2FMeasureMethod.ADM_FIXED_PCT%2FdbhPhoto%2F1776654430786?alt=media&amp;token=2d8a476e-0aec-460a-8a60-af3e90588345" TargetMode="External"/><Relationship Id="rId349" Type="http://schemas.openxmlformats.org/officeDocument/2006/relationships/hyperlink" Target="https://firebasestorage.googleapis.com/v0/b/wt-foundation-production.appspot.com/o/measurements%2FMeasureMethod.ADM_FIXED_PCT%2FdbhPhoto%2F1777662011072?alt=media&amp;token=006cee0b-f419-4857-82bb-34fb5adb4aa6" TargetMode="External"/><Relationship Id="rId514" Type="http://schemas.openxmlformats.org/officeDocument/2006/relationships/hyperlink" Target="https://firebasestorage.googleapis.com/v0/b/wt-foundation-production.appspot.com/o/measurements%2FMeasureMethod.ADM_FIXED_PCT%2FheightPhoto%2F1778399341042?alt=media&amp;token=bac1c5e0-a79c-4d2f-9a0a-050177420c9f" TargetMode="External"/><Relationship Id="rId88" Type="http://schemas.openxmlformats.org/officeDocument/2006/relationships/hyperlink" Target="https://firebasestorage.googleapis.com/v0/b/wt-foundation-production.appspot.com/o/measurements%2FMeasureMethod.ADM_FIXED_PCT%2FdbhPhoto%2F1773945080523?alt=media&amp;token=1e5f8d35-fb4c-4f76-8d28-549d71cb468d" TargetMode="External"/><Relationship Id="rId111" Type="http://schemas.openxmlformats.org/officeDocument/2006/relationships/hyperlink" Target="https://firebasestorage.googleapis.com/v0/b/wt-foundation-production.appspot.com/o/measurements%2FMeasureMethod.ADM_FIXED_PCT%2Fdepth%2F1773946985047?alt=media&amp;token=b506787d-65aa-4b06-a254-d8637a2e2a4b" TargetMode="External"/><Relationship Id="rId153" Type="http://schemas.openxmlformats.org/officeDocument/2006/relationships/hyperlink" Target="https://firebasestorage.googleapis.com/v0/b/wt-foundation-production.appspot.com/o/measurements%2FMeasureMethod.ADM_FIXED_PCT%2Fdepth%2F1773950696536?alt=media&amp;token=6aa01d9e-bccb-4da3-8cb5-1e5a19ece46e" TargetMode="External"/><Relationship Id="rId195" Type="http://schemas.openxmlformats.org/officeDocument/2006/relationships/hyperlink" Target="https://firebasestorage.googleapis.com/v0/b/wt-foundation-production.appspot.com/o/measurements%2FMeasureMethod.ADM_FIXED_PCT%2Fdepth%2F1773951667658?alt=media&amp;token=64a593ce-826d-40ec-b97a-a36136602398" TargetMode="External"/><Relationship Id="rId209" Type="http://schemas.openxmlformats.org/officeDocument/2006/relationships/hyperlink" Target="https://firebasestorage.googleapis.com/v0/b/wt-foundation-production.appspot.com/o/measurements%2FMeasureMethod.ADM_FIXED_PCT%2FheightPhoto%2F1773951815386?alt=media&amp;token=20487ee5-cc02-41a2-aed1-ec5d7c8fcbc2" TargetMode="External"/><Relationship Id="rId360" Type="http://schemas.openxmlformats.org/officeDocument/2006/relationships/hyperlink" Target="https://firebasestorage.googleapis.com/v0/b/wt-foundation-production.appspot.com/o/measurements%2FMeasureMethod.ADM_FIXED_PCT%2FheightPhoto%2F1777663473731?alt=media&amp;token=e0517204-00cb-4eb7-a63f-5c3aff85c72b" TargetMode="External"/><Relationship Id="rId416" Type="http://schemas.openxmlformats.org/officeDocument/2006/relationships/hyperlink" Target="https://firebasestorage.googleapis.com/v0/b/wt-foundation-production.appspot.com/o/measurements%2FMeasureMethod.ADM_FIXED_PCT%2FheightPhoto%2F1778276289317?alt=media&amp;token=5122a896-9eeb-4e5a-9b3b-fcd6401584c7" TargetMode="External"/><Relationship Id="rId220" Type="http://schemas.openxmlformats.org/officeDocument/2006/relationships/hyperlink" Target="https://firebasestorage.googleapis.com/v0/b/wt-foundation-production.appspot.com/o/measurements%2FMeasureMethod.ADM_FIXED_PCT%2FdbhPhoto%2F1773952271939?alt=media&amp;token=abc08513-5dfd-4d55-a7cb-750aa00677f0" TargetMode="External"/><Relationship Id="rId458" Type="http://schemas.openxmlformats.org/officeDocument/2006/relationships/hyperlink" Target="https://firebasestorage.googleapis.com/v0/b/wt-foundation-production.appspot.com/o/measurements%2FMeasureMethod.ADM_FIXED_PCT%2FheightPhoto%2F1778363885678?alt=media&amp;token=2fd5a3fb-971c-4527-8390-8707d54d0c4a" TargetMode="External"/><Relationship Id="rId15" Type="http://schemas.openxmlformats.org/officeDocument/2006/relationships/hyperlink" Target="https://firebasestorage.googleapis.com/v0/b/wt-foundation-production.appspot.com/o/measurements%2FMeasureMethod.ADM_FIXED_PCT%2Fdepth%2F1773772825421?alt=media&amp;token=19ba0938-a305-47b9-9408-abb53cd3de6e" TargetMode="External"/><Relationship Id="rId57" Type="http://schemas.openxmlformats.org/officeDocument/2006/relationships/hyperlink" Target="https://firebasestorage.googleapis.com/v0/b/wt-foundation-production.appspot.com/o/measurements%2FMeasureMethod.ADM_FIXED_PCT%2Fdepth%2F1773953982390?alt=media&amp;token=8d725adb-1c0e-4315-a62a-0b384c1b7872" TargetMode="External"/><Relationship Id="rId262" Type="http://schemas.openxmlformats.org/officeDocument/2006/relationships/hyperlink" Target="https://firebasestorage.googleapis.com/v0/b/wt-foundation-production.appspot.com/o/measurements%2FMeasureMethod.ADM_FIXED_PCT%2FdbhPhoto%2F1773953158634?alt=media&amp;token=1dc7da3f-53c4-44ea-addf-bf78b5a95c2c" TargetMode="External"/><Relationship Id="rId318" Type="http://schemas.openxmlformats.org/officeDocument/2006/relationships/hyperlink" Target="https://firebasestorage.googleapis.com/v0/b/wt-foundation-production.appspot.com/o/measurements%2FMeasureMethod.ADM_FIXED_PCT%2FheightPhoto%2F1776654456031?alt=media&amp;token=db677bd8-6f59-4709-894a-5bf9ffa73a1b" TargetMode="External"/><Relationship Id="rId525" Type="http://schemas.openxmlformats.org/officeDocument/2006/relationships/printerSettings" Target="../printerSettings/printerSettings1.bin"/><Relationship Id="rId99" Type="http://schemas.openxmlformats.org/officeDocument/2006/relationships/hyperlink" Target="https://firebasestorage.googleapis.com/v0/b/wt-foundation-production.appspot.com/o/measurements%2FMeasureMethod.ADM_FIXED_PCT%2Fdepth%2F1773945308867?alt=media&amp;token=8adffd11-9d84-4257-b33c-96738fb24a7c" TargetMode="External"/><Relationship Id="rId122" Type="http://schemas.openxmlformats.org/officeDocument/2006/relationships/hyperlink" Target="https://firebasestorage.googleapis.com/v0/b/wt-foundation-production.appspot.com/o/measurements%2FMeasureMethod.ADM_FIXED_PCT%2FheightPhoto%2F1773947170442?alt=media&amp;token=4a5321bd-97e9-4d1e-8b47-921412e8c79e" TargetMode="External"/><Relationship Id="rId164" Type="http://schemas.openxmlformats.org/officeDocument/2006/relationships/hyperlink" Target="https://firebasestorage.googleapis.com/v0/b/wt-foundation-production.appspot.com/o/measurements%2FMeasureMethod.ADM_FIXED_PCT%2FheightPhoto%2F1773950799452?alt=media&amp;token=48d64b6c-9d4d-4dd3-9640-1fcbf794c8b3" TargetMode="External"/><Relationship Id="rId371" Type="http://schemas.openxmlformats.org/officeDocument/2006/relationships/hyperlink" Target="https://firebasestorage.googleapis.com/v0/b/wt-foundation-production.appspot.com/o/measurements%2FMeasureMethod.ADM_FIXED_PCT%2FdbhPhoto%2F1777917488989?alt=media&amp;token=9255e55b-c28a-41a6-99a6-09dc56e86195" TargetMode="External"/><Relationship Id="rId427" Type="http://schemas.openxmlformats.org/officeDocument/2006/relationships/hyperlink" Target="https://firebasestorage.googleapis.com/v0/b/wt-foundation-production.appspot.com/o/measurements%2FMeasureMethod.ADM_FIXED_PCT%2FdbhPhoto%2F1778363642048?alt=media&amp;token=a6083727-9fa1-413d-a4ce-845a4202b91a" TargetMode="External"/><Relationship Id="rId469" Type="http://schemas.openxmlformats.org/officeDocument/2006/relationships/hyperlink" Target="https://firebasestorage.googleapis.com/v0/b/wt-foundation-production.appspot.com/o/measurements%2FMeasureMethod.ADM_FIXED_PCT%2FdbhPhoto%2F1778363912112?alt=media&amp;token=68b97b2e-ccd3-48ed-ac65-9907a819ec2d" TargetMode="External"/><Relationship Id="rId26" Type="http://schemas.openxmlformats.org/officeDocument/2006/relationships/hyperlink" Target="https://firebasestorage.googleapis.com/v0/b/wt-foundation-production.appspot.com/o/measurements%2FMeasureMethod.ADM_FIXED_PCT%2FheightPhoto%2F1773896046697?alt=media&amp;token=9c3f0ba6-b124-42a5-ae7e-ebc7a87bcf85" TargetMode="External"/><Relationship Id="rId231" Type="http://schemas.openxmlformats.org/officeDocument/2006/relationships/hyperlink" Target="https://firebasestorage.googleapis.com/v0/b/wt-foundation-production.appspot.com/o/measurements%2FMeasureMethod.ADM_FIXED_PCT%2Fdepth%2F1773952370969?alt=media&amp;token=81644296-5b49-4a48-8922-dad0ab029a49" TargetMode="External"/><Relationship Id="rId273" Type="http://schemas.openxmlformats.org/officeDocument/2006/relationships/hyperlink" Target="https://firebasestorage.googleapis.com/v0/b/wt-foundation-production.appspot.com/o/measurements%2FMeasureMethod.ADM_FIXED_PCT%2Fdepth%2F1773953246034?alt=media&amp;token=6a1482d2-0084-4128-8fea-841e2e44aa78" TargetMode="External"/><Relationship Id="rId329" Type="http://schemas.openxmlformats.org/officeDocument/2006/relationships/hyperlink" Target="https://firebasestorage.googleapis.com/v0/b/wt-foundation-production.appspot.com/o/measurements%2FMeasureMethod.ADM_FIXED_PCT%2FdbhPhoto%2F1776654587589?alt=media&amp;token=4cc6e064-e6b8-4887-ba78-ebf52fb4412a" TargetMode="External"/><Relationship Id="rId480" Type="http://schemas.openxmlformats.org/officeDocument/2006/relationships/hyperlink" Target="https://firebasestorage.googleapis.com/v0/b/wt-foundation-production.appspot.com/o/measurements%2FMeasureMethod.ADM_FIXED_PCT%2FheightPhoto%2F1778363932792?alt=media&amp;token=43ade469-bd98-42f8-9889-158f401f5cda" TargetMode="External"/><Relationship Id="rId68" Type="http://schemas.openxmlformats.org/officeDocument/2006/relationships/hyperlink" Target="https://firebasestorage.googleapis.com/v0/b/wt-foundation-production.appspot.com/o/measurements%2FMeasureMethod.ADM_FIXED_PCT%2FheightPhoto%2F1773954019557?alt=media&amp;token=243bd838-d08f-499f-b70e-853422d2f445" TargetMode="External"/><Relationship Id="rId133" Type="http://schemas.openxmlformats.org/officeDocument/2006/relationships/hyperlink" Target="https://firebasestorage.googleapis.com/v0/b/wt-foundation-production.appspot.com/o/measurements%2FMeasureMethod.ADM_FIXED_PCT%2FdbhPhoto%2F1773955461741?alt=media&amp;token=a949092b-ee29-4a9a-85ca-42cd1fb1b97d" TargetMode="External"/><Relationship Id="rId175" Type="http://schemas.openxmlformats.org/officeDocument/2006/relationships/hyperlink" Target="https://firebasestorage.googleapis.com/v0/b/wt-foundation-production.appspot.com/o/measurements%2FMeasureMethod.ADM_FIXED_PCT%2FdbhPhoto%2F1773951464303?alt=media&amp;token=90f38c91-c034-48ea-b69b-79067b1e0281" TargetMode="External"/><Relationship Id="rId340" Type="http://schemas.openxmlformats.org/officeDocument/2006/relationships/hyperlink" Target="https://firebasestorage.googleapis.com/v0/b/wt-foundation-production.appspot.com/o/measurements%2FMeasureMethod.ADM_FIXED_PCT%2FheightPhoto%2F1777661290457?alt=media&amp;token=b4ebca95-2e65-43df-8ef5-eb5dcdb53827" TargetMode="External"/><Relationship Id="rId200" Type="http://schemas.openxmlformats.org/officeDocument/2006/relationships/hyperlink" Target="https://firebasestorage.googleapis.com/v0/b/wt-foundation-production.appspot.com/o/measurements%2FMeasureMethod.ADM_FIXED_PCT%2FheightPhoto%2F1773951697441?alt=media&amp;token=991775bf-88db-4d3f-b6c5-b83b8872d4df" TargetMode="External"/><Relationship Id="rId382" Type="http://schemas.openxmlformats.org/officeDocument/2006/relationships/hyperlink" Target="https://firebasestorage.googleapis.com/v0/b/wt-foundation-production.appspot.com/o/measurements%2FMeasureMethod.ADM_FIXED_PCT%2FheightPhoto%2F1778276153889?alt=media&amp;token=07b49f8d-393e-4ccb-8b45-1693ee65038c" TargetMode="External"/><Relationship Id="rId438" Type="http://schemas.openxmlformats.org/officeDocument/2006/relationships/hyperlink" Target="https://firebasestorage.googleapis.com/v0/b/wt-foundation-production.appspot.com/o/measurements%2FMeasureMethod.ADM_FIXED_PCT%2FheightPhoto%2F1778363722127?alt=media&amp;token=4f95fd9f-f155-401a-be78-1e12db948b2f" TargetMode="External"/><Relationship Id="rId242" Type="http://schemas.openxmlformats.org/officeDocument/2006/relationships/hyperlink" Target="https://firebasestorage.googleapis.com/v0/b/wt-foundation-production.appspot.com/o/measurements%2FMeasureMethod.ADM_FIXED_PCT%2FheightPhoto%2F1773952496828?alt=media&amp;token=f8539f8a-cb36-4b79-8e27-b8ebb7aa8bf8" TargetMode="External"/><Relationship Id="rId284" Type="http://schemas.openxmlformats.org/officeDocument/2006/relationships/hyperlink" Target="https://firebasestorage.googleapis.com/v0/b/wt-foundation-production.appspot.com/o/measurements%2FMeasureMethod.ADM_FIXED_PCT%2FheightPhoto%2F1773953522538?alt=media&amp;token=3a708f4a-cd06-431e-a555-ac64c94b7314" TargetMode="External"/><Relationship Id="rId491" Type="http://schemas.openxmlformats.org/officeDocument/2006/relationships/hyperlink" Target="https://firebasestorage.googleapis.com/v0/b/wt-foundation-production.appspot.com/o/measurements%2FMeasureMethod.ADM_FIXED_PCT%2FdbhPhoto%2F1778365524505?alt=media&amp;token=9c4ff805-9097-4b9d-bd01-4a359cec7b7b" TargetMode="External"/><Relationship Id="rId505" Type="http://schemas.openxmlformats.org/officeDocument/2006/relationships/hyperlink" Target="https://firebasestorage.googleapis.com/v0/b/wt-foundation-production.appspot.com/o/measurements%2FMeasureMethod.ADM_FIXED_PCT%2FdbhPhoto%2F1778399403444?alt=media&amp;token=b6d9ff08-0c15-406e-9fae-df3ca6329ce0" TargetMode="External"/><Relationship Id="rId37" Type="http://schemas.openxmlformats.org/officeDocument/2006/relationships/hyperlink" Target="https://firebasestorage.googleapis.com/v0/b/wt-foundation-production.appspot.com/o/measurements%2FMeasureMethod.ADM_FIXED_PCT%2FdbhPhoto%2F1773896233465?alt=media&amp;token=033c44e3-86c4-420a-8514-869a443f380b" TargetMode="External"/><Relationship Id="rId79" Type="http://schemas.openxmlformats.org/officeDocument/2006/relationships/hyperlink" Target="https://firebasestorage.googleapis.com/v0/b/wt-foundation-production.appspot.com/o/measurements%2FMeasureMethod.ADM_FIXED_PCT%2FdbhPhoto%2F1773955378480?alt=media&amp;token=9e3a6640-5a6a-425a-9d75-fc3516562510" TargetMode="External"/><Relationship Id="rId102" Type="http://schemas.openxmlformats.org/officeDocument/2006/relationships/hyperlink" Target="https://firebasestorage.googleapis.com/v0/b/wt-foundation-production.appspot.com/o/measurements%2FMeasureMethod.ADM_FIXED_PCT%2Fdepth%2F1773945355147?alt=media&amp;token=0612e095-b200-4d54-9d03-9cfd029c8944" TargetMode="External"/><Relationship Id="rId144" Type="http://schemas.openxmlformats.org/officeDocument/2006/relationships/hyperlink" Target="https://firebasestorage.googleapis.com/v0/b/wt-foundation-production.appspot.com/o/measurements%2FMeasureMethod.ADM_FIXED_PCT%2Fdepth%2F1773950582423?alt=media&amp;token=91068ce6-b0e7-48e3-bac4-fccb6618a253" TargetMode="External"/><Relationship Id="rId90" Type="http://schemas.openxmlformats.org/officeDocument/2006/relationships/hyperlink" Target="https://firebasestorage.googleapis.com/v0/b/wt-foundation-production.appspot.com/o/measurements%2FMeasureMethod.ADM_FIXED_PCT%2Fdepth%2F1773945102084?alt=media&amp;token=45c63817-fb06-43d9-b434-3a8fa7b1f493" TargetMode="External"/><Relationship Id="rId186" Type="http://schemas.openxmlformats.org/officeDocument/2006/relationships/hyperlink" Target="https://firebasestorage.googleapis.com/v0/b/wt-foundation-production.appspot.com/o/measurements%2FMeasureMethod.ADM_FIXED_PCT%2Fdepth%2F1773951550585?alt=media&amp;token=a341a20a-0fd9-4637-8a9c-3eef445b68ba" TargetMode="External"/><Relationship Id="rId351" Type="http://schemas.openxmlformats.org/officeDocument/2006/relationships/hyperlink" Target="https://firebasestorage.googleapis.com/v0/b/wt-foundation-production.appspot.com/o/measurements%2FMeasureMethod.ADM_FIXED_PCT%2FdbhPhoto%2F1777662095644?alt=media&amp;token=a17d7455-01ef-4f3d-a054-ef4b36f8eac5" TargetMode="External"/><Relationship Id="rId393" Type="http://schemas.openxmlformats.org/officeDocument/2006/relationships/hyperlink" Target="https://firebasestorage.googleapis.com/v0/b/wt-foundation-production.appspot.com/o/measurements%2FMeasureMethod.ADM_FIXED_PCT%2FdbhPhoto%2F1778276227278?alt=media&amp;token=89565969-b65b-4ef8-afe1-e8f856a7453a" TargetMode="External"/><Relationship Id="rId407" Type="http://schemas.openxmlformats.org/officeDocument/2006/relationships/hyperlink" Target="https://firebasestorage.googleapis.com/v0/b/wt-foundation-production.appspot.com/o/measurements%2FMeasureMethod.ADM_FIXED_PCT%2FdbhPhoto%2F1778276273536?alt=media&amp;token=4591fa50-a8d9-4ccf-8e26-eee44bfe6ae5" TargetMode="External"/><Relationship Id="rId449" Type="http://schemas.openxmlformats.org/officeDocument/2006/relationships/hyperlink" Target="https://firebasestorage.googleapis.com/v0/b/wt-foundation-production.appspot.com/o/measurements%2FMeasureMethod.ADM_FIXED_PCT%2FdbhPhoto%2F1778363868069?alt=media&amp;token=66474bc7-4895-4d4e-8e2d-b5c4dbbcadca" TargetMode="External"/><Relationship Id="rId211" Type="http://schemas.openxmlformats.org/officeDocument/2006/relationships/hyperlink" Target="https://firebasestorage.googleapis.com/v0/b/wt-foundation-production.appspot.com/o/measurements%2FMeasureMethod.ADM_FIXED_PCT%2FdbhPhoto%2F1773951988490?alt=media&amp;token=c5860079-1aaf-4c0e-9dd6-ba6267c87dc9" TargetMode="External"/><Relationship Id="rId253" Type="http://schemas.openxmlformats.org/officeDocument/2006/relationships/hyperlink" Target="https://firebasestorage.googleapis.com/v0/b/wt-foundation-production.appspot.com/o/measurements%2FMeasureMethod.ADM_FIXED_PCT%2FdbhPhoto%2F1773953060729?alt=media&amp;token=aa603424-7592-4773-9731-ce947697c1cf" TargetMode="External"/><Relationship Id="rId295" Type="http://schemas.openxmlformats.org/officeDocument/2006/relationships/hyperlink" Target="https://firebasestorage.googleapis.com/v0/b/wt-foundation-production.appspot.com/o/measurements%2FMeasureMethod.ADM_FIXED_PCT%2FdbhPhoto%2F1776452670497?alt=media&amp;token=b28a4cc8-bf52-4e9a-952c-eff292dcc2ae" TargetMode="External"/><Relationship Id="rId309" Type="http://schemas.openxmlformats.org/officeDocument/2006/relationships/hyperlink" Target="https://firebasestorage.googleapis.com/v0/b/wt-foundation-production.appspot.com/o/measurements%2FMeasureMethod.ADM_FIXED_PCT%2FdbhPhoto%2F1776654434245?alt=media&amp;token=17577fe1-f5d1-4081-aa9f-df1ecac58433" TargetMode="External"/><Relationship Id="rId460" Type="http://schemas.openxmlformats.org/officeDocument/2006/relationships/hyperlink" Target="https://firebasestorage.googleapis.com/v0/b/wt-foundation-production.appspot.com/o/measurements%2FMeasureMethod.ADM_FIXED_PCT%2FheightPhoto%2F1778363887538?alt=media&amp;token=a17f6574-c7ec-4be4-b7ca-29fbc95c0786" TargetMode="External"/><Relationship Id="rId516" Type="http://schemas.openxmlformats.org/officeDocument/2006/relationships/hyperlink" Target="https://firebasestorage.googleapis.com/v0/b/wt-foundation-production.appspot.com/o/measurements%2FMeasureMethod.ADM_FIXED_PCT%2FheightPhoto%2F1778399354939?alt=media&amp;token=a81286a7-4fb2-4e33-a575-593abf6097f2" TargetMode="External"/><Relationship Id="rId48" Type="http://schemas.openxmlformats.org/officeDocument/2006/relationships/hyperlink" Target="https://firebasestorage.googleapis.com/v0/b/wt-foundation-production.appspot.com/o/measurements%2FMeasureMethod.ADM_FIXED_PCT%2Fdepth%2F1773898525775?alt=media&amp;token=8323d491-3cb8-4a2a-af2b-6154805437bf" TargetMode="External"/><Relationship Id="rId113" Type="http://schemas.openxmlformats.org/officeDocument/2006/relationships/hyperlink" Target="https://firebasestorage.googleapis.com/v0/b/wt-foundation-production.appspot.com/o/measurements%2FMeasureMethod.ADM_FIXED_PCT%2FheightPhoto%2F1773946998216?alt=media&amp;token=524187a5-e503-4807-9807-02ba24d1eeeb" TargetMode="External"/><Relationship Id="rId320" Type="http://schemas.openxmlformats.org/officeDocument/2006/relationships/hyperlink" Target="https://firebasestorage.googleapis.com/v0/b/wt-foundation-production.appspot.com/o/measurements%2FMeasureMethod.ADM_FIXED_PCT%2FheightPhoto%2F1776654459991?alt=media&amp;token=aaa040c1-af84-4cbb-b90c-cde84dcd25a6" TargetMode="External"/><Relationship Id="rId155" Type="http://schemas.openxmlformats.org/officeDocument/2006/relationships/hyperlink" Target="https://firebasestorage.googleapis.com/v0/b/wt-foundation-production.appspot.com/o/measurements%2FMeasureMethod.ADM_FIXED_PCT%2FheightPhoto%2F1773950701941?alt=media&amp;token=334acf8e-1b2d-42b9-ae12-bdaba847603b" TargetMode="External"/><Relationship Id="rId197" Type="http://schemas.openxmlformats.org/officeDocument/2006/relationships/hyperlink" Target="https://firebasestorage.googleapis.com/v0/b/wt-foundation-production.appspot.com/o/measurements%2FMeasureMethod.ADM_FIXED_PCT%2FheightPhoto%2F1773951682213?alt=media&amp;token=7309f790-3c20-4cca-abae-0d4069890140" TargetMode="External"/><Relationship Id="rId362" Type="http://schemas.openxmlformats.org/officeDocument/2006/relationships/hyperlink" Target="https://firebasestorage.googleapis.com/v0/b/wt-foundation-production.appspot.com/o/measurements%2FMeasureMethod.ADM_FIXED_PCT%2FheightPhoto%2F1777664172727?alt=media&amp;token=bce67835-0e21-4734-82ae-b666fde87630" TargetMode="External"/><Relationship Id="rId418" Type="http://schemas.openxmlformats.org/officeDocument/2006/relationships/hyperlink" Target="https://firebasestorage.googleapis.com/v0/b/wt-foundation-production.appspot.com/o/measurements%2FMeasureMethod.ADM_FIXED_PCT%2FheightPhoto%2F1778276294226?alt=media&amp;token=d7b21fd2-3e5a-43ed-8cce-b54bac4c167b" TargetMode="External"/><Relationship Id="rId222" Type="http://schemas.openxmlformats.org/officeDocument/2006/relationships/hyperlink" Target="https://firebasestorage.googleapis.com/v0/b/wt-foundation-production.appspot.com/o/measurements%2FMeasureMethod.ADM_FIXED_PCT%2Fdepth%2F1773952278360?alt=media&amp;token=0fd94cbd-9737-40fd-81bc-2f8630ae7df9" TargetMode="External"/><Relationship Id="rId264" Type="http://schemas.openxmlformats.org/officeDocument/2006/relationships/hyperlink" Target="https://firebasestorage.googleapis.com/v0/b/wt-foundation-production.appspot.com/o/measurements%2FMeasureMethod.ADM_FIXED_PCT%2Fdepth%2F1773953168123?alt=media&amp;token=9e737f60-4591-4113-b615-762d75512f93" TargetMode="External"/><Relationship Id="rId471" Type="http://schemas.openxmlformats.org/officeDocument/2006/relationships/hyperlink" Target="https://firebasestorage.googleapis.com/v0/b/wt-foundation-production.appspot.com/o/measurements%2FMeasureMethod.ADM_FIXED_PCT%2FdbhPhoto%2F1778363917975?alt=media&amp;token=79d04a1e-dee1-4d51-b374-1e71f15163da" TargetMode="External"/><Relationship Id="rId17" Type="http://schemas.openxmlformats.org/officeDocument/2006/relationships/hyperlink" Target="https://firebasestorage.googleapis.com/v0/b/wt-foundation-production.appspot.com/o/measurements%2FMeasureMethod.ADM_FIXED_PCT%2FheightPhoto%2F1773857384551?alt=media&amp;token=0d819d37-fa36-429e-87d7-d72ab81b1403" TargetMode="External"/><Relationship Id="rId59" Type="http://schemas.openxmlformats.org/officeDocument/2006/relationships/hyperlink" Target="https://firebasestorage.googleapis.com/v0/b/wt-foundation-production.appspot.com/o/measurements%2FMeasureMethod.ADM_FIXED_PCT%2FheightPhoto%2F1773953995740?alt=media&amp;token=2ce58c79-02fa-4fe3-8034-665ffbd15b81" TargetMode="External"/><Relationship Id="rId124" Type="http://schemas.openxmlformats.org/officeDocument/2006/relationships/hyperlink" Target="https://firebasestorage.googleapis.com/v0/b/wt-foundation-production.appspot.com/o/measurements%2FMeasureMethod.ADM_FIXED_PCT%2FdbhPhoto%2F1773947228592?alt=media&amp;token=c3f350b8-5945-4272-9891-e5f934f921c3" TargetMode="External"/><Relationship Id="rId70" Type="http://schemas.openxmlformats.org/officeDocument/2006/relationships/hyperlink" Target="https://firebasestorage.googleapis.com/v0/b/wt-foundation-production.appspot.com/o/measurements%2FMeasureMethod.ADM_FIXED_PCT%2FdbhPhoto%2F1773954041559?alt=media&amp;token=e88e24e8-17a9-4dfc-9d24-9f290489ce7e" TargetMode="External"/><Relationship Id="rId166" Type="http://schemas.openxmlformats.org/officeDocument/2006/relationships/hyperlink" Target="https://firebasestorage.googleapis.com/v0/b/wt-foundation-production.appspot.com/o/measurements%2FMeasureMethod.ADM_FIXED_PCT%2FdbhPhoto%2F1773950833094?alt=media&amp;token=1a523a6e-2219-476d-80df-b91a47f5f70b" TargetMode="External"/><Relationship Id="rId331" Type="http://schemas.openxmlformats.org/officeDocument/2006/relationships/hyperlink" Target="https://firebasestorage.googleapis.com/v0/b/wt-foundation-production.appspot.com/o/measurements%2FMeasureMethod.ADM_FIXED_PCT%2FdbhPhoto%2F1776654592157?alt=media&amp;token=b4483e79-8511-4cbf-a105-166257b50148" TargetMode="External"/><Relationship Id="rId373" Type="http://schemas.openxmlformats.org/officeDocument/2006/relationships/hyperlink" Target="https://firebasestorage.googleapis.com/v0/b/wt-foundation-production.appspot.com/o/measurements%2FMeasureMethod.ADM_FIXED_PCT%2FdbhPhoto%2F1777917545931?alt=media&amp;token=1319b362-d704-4e34-9591-cf7fce66c669" TargetMode="External"/><Relationship Id="rId429" Type="http://schemas.openxmlformats.org/officeDocument/2006/relationships/hyperlink" Target="https://firebasestorage.googleapis.com/v0/b/wt-foundation-production.appspot.com/o/measurements%2FMeasureMethod.ADM_FIXED_PCT%2FdbhPhoto%2F1778363652834?alt=media&amp;token=d0f0fce7-8600-4868-b73b-4c9c5347e755" TargetMode="External"/><Relationship Id="rId1" Type="http://schemas.openxmlformats.org/officeDocument/2006/relationships/hyperlink" Target="https://firebasestorage.googleapis.com/v0/b/wt-foundation-production.appspot.com/o/measurements%2FMeasureMethod.ADM_FIXED_PCT%2FdbhPhoto%2F1773768455780?alt=media&amp;token=8918caa2-020e-47a3-ac4c-54d6e7bcb77a" TargetMode="External"/><Relationship Id="rId233" Type="http://schemas.openxmlformats.org/officeDocument/2006/relationships/hyperlink" Target="https://firebasestorage.googleapis.com/v0/b/wt-foundation-production.appspot.com/o/measurements%2FMeasureMethod.ADM_FIXED_PCT%2FheightPhoto%2F1773952398605?alt=media&amp;token=2787cb6c-883c-49a3-a0a0-2acdf6fd2412" TargetMode="External"/><Relationship Id="rId440" Type="http://schemas.openxmlformats.org/officeDocument/2006/relationships/hyperlink" Target="https://firebasestorage.googleapis.com/v0/b/wt-foundation-production.appspot.com/o/measurements%2FMeasureMethod.ADM_FIXED_PCT%2FheightPhoto%2F1778363833038?alt=media&amp;token=b3672d3a-d5a9-4d5b-8bed-eaf33b8ed76f" TargetMode="External"/><Relationship Id="rId28" Type="http://schemas.openxmlformats.org/officeDocument/2006/relationships/hyperlink" Target="https://firebasestorage.googleapis.com/v0/b/wt-foundation-production.appspot.com/o/measurements%2FMeasureMethod.ADM_FIXED_PCT%2FdbhPhoto%2F1773896093687?alt=media&amp;token=ba4ba541-fe82-4a7a-bf02-75678f8cc29c" TargetMode="External"/><Relationship Id="rId275" Type="http://schemas.openxmlformats.org/officeDocument/2006/relationships/hyperlink" Target="https://firebasestorage.googleapis.com/v0/b/wt-foundation-production.appspot.com/o/measurements%2FMeasureMethod.ADM_FIXED_PCT%2FheightPhoto%2F1773953261708?alt=media&amp;token=576a168f-384c-4c74-ac82-486ac2baf2c7" TargetMode="External"/><Relationship Id="rId300" Type="http://schemas.openxmlformats.org/officeDocument/2006/relationships/hyperlink" Target="https://firebasestorage.googleapis.com/v0/b/wt-foundation-production.appspot.com/o/measurements%2FMeasureMethod.ADM_FIXED_PCT%2FheightPhoto%2F1776452681789?alt=media&amp;token=477d8e53-dcf8-4660-b637-60415216e953" TargetMode="External"/><Relationship Id="rId482" Type="http://schemas.openxmlformats.org/officeDocument/2006/relationships/hyperlink" Target="https://firebasestorage.googleapis.com/v0/b/wt-foundation-production.appspot.com/o/measurements%2FMeasureMethod.ADM_FIXED_PCT%2FheightPhoto%2F1778363937253?alt=media&amp;token=ad9b4c53-de44-489a-9c28-5afe7170b7e2" TargetMode="External"/><Relationship Id="rId81" Type="http://schemas.openxmlformats.org/officeDocument/2006/relationships/hyperlink" Target="https://firebasestorage.googleapis.com/v0/b/wt-foundation-production.appspot.com/o/measurements%2FMeasureMethod.ADM_FIXED_PCT%2Fdepth%2F1773945017597?alt=media&amp;token=1778f32b-7973-407a-a704-a6006c24052f" TargetMode="External"/><Relationship Id="rId135" Type="http://schemas.openxmlformats.org/officeDocument/2006/relationships/hyperlink" Target="https://firebasestorage.googleapis.com/v0/b/wt-foundation-production.appspot.com/o/measurements%2FMeasureMethod.ADM_FIXED_PCT%2Fdepth%2F1773955490412?alt=media&amp;token=1eb4226e-31a2-4d03-9b1c-7ad77e7a2062" TargetMode="External"/><Relationship Id="rId177" Type="http://schemas.openxmlformats.org/officeDocument/2006/relationships/hyperlink" Target="https://firebasestorage.googleapis.com/v0/b/wt-foundation-production.appspot.com/o/measurements%2FMeasureMethod.ADM_FIXED_PCT%2Fdepth%2F1773951464316?alt=media&amp;token=96bd8b0c-23ff-45d4-ad38-49c737e4506d" TargetMode="External"/><Relationship Id="rId342" Type="http://schemas.openxmlformats.org/officeDocument/2006/relationships/hyperlink" Target="https://firebasestorage.googleapis.com/v0/b/wt-foundation-production.appspot.com/o/measurements%2FMeasureMethod.ADM_FIXED_PCT%2FheightPhoto%2F1777661381410?alt=media&amp;token=3c847b7a-5858-40ac-8325-728586e68bfa" TargetMode="External"/><Relationship Id="rId384" Type="http://schemas.openxmlformats.org/officeDocument/2006/relationships/hyperlink" Target="https://firebasestorage.googleapis.com/v0/b/wt-foundation-production.appspot.com/o/measurements%2FMeasureMethod.ADM_FIXED_PCT%2FheightPhoto%2F1778276203174?alt=media&amp;token=aa05fd92-f5ac-4f13-9410-64a550cf1651" TargetMode="External"/><Relationship Id="rId202" Type="http://schemas.openxmlformats.org/officeDocument/2006/relationships/hyperlink" Target="https://firebasestorage.googleapis.com/v0/b/wt-foundation-production.appspot.com/o/measurements%2FMeasureMethod.ADM_FIXED_PCT%2FdbhPhoto%2F1773951739715?alt=media&amp;token=72078a1c-a9d3-46ec-b571-b0264272db2c" TargetMode="External"/><Relationship Id="rId244" Type="http://schemas.openxmlformats.org/officeDocument/2006/relationships/hyperlink" Target="https://firebasestorage.googleapis.com/v0/b/wt-foundation-production.appspot.com/o/measurements%2FMeasureMethod.ADM_FIXED_PCT%2FdbhPhoto%2F1773952629994?alt=media&amp;token=8a62a751-b820-4975-b104-97bd0192bc46" TargetMode="External"/><Relationship Id="rId39" Type="http://schemas.openxmlformats.org/officeDocument/2006/relationships/hyperlink" Target="https://firebasestorage.googleapis.com/v0/b/wt-foundation-production.appspot.com/o/measurements%2FMeasureMethod.ADM_FIXED_PCT%2Fdepth%2F1773896235794?alt=media&amp;token=a60fdfca-41f5-452e-8698-16730d3936c1" TargetMode="External"/><Relationship Id="rId286" Type="http://schemas.openxmlformats.org/officeDocument/2006/relationships/hyperlink" Target="https://firebasestorage.googleapis.com/v0/b/wt-foundation-production.appspot.com/o/measurements%2FMeasureMethod.ADM_FIXED_PCT%2FdbhPhoto%2F1773953770584?alt=media&amp;token=2727250a-e38a-452d-81e3-3a203519f430" TargetMode="External"/><Relationship Id="rId451" Type="http://schemas.openxmlformats.org/officeDocument/2006/relationships/hyperlink" Target="https://firebasestorage.googleapis.com/v0/b/wt-foundation-production.appspot.com/o/measurements%2FMeasureMethod.ADM_FIXED_PCT%2FdbhPhoto%2F1778363872294?alt=media&amp;token=0fb36779-13df-4d6d-aa4a-23b5f7124e4c" TargetMode="External"/><Relationship Id="rId493" Type="http://schemas.openxmlformats.org/officeDocument/2006/relationships/hyperlink" Target="https://firebasestorage.googleapis.com/v0/b/wt-foundation-production.appspot.com/o/measurements%2FMeasureMethod.ADM_FIXED_PCT%2FdbhPhoto%2F1778365526615?alt=media&amp;token=b2e165bd-8ca5-495b-8d47-4d11a63a1792" TargetMode="External"/><Relationship Id="rId507" Type="http://schemas.openxmlformats.org/officeDocument/2006/relationships/hyperlink" Target="https://firebasestorage.googleapis.com/v0/b/wt-foundation-production.appspot.com/o/measurements%2FMeasureMethod.ADM_FIXED_PCT%2FdbhPhoto%2F1778399409960?alt=media&amp;token=6f01c33e-d8ff-49ca-974b-63d8ca6c9aa7" TargetMode="External"/><Relationship Id="rId50" Type="http://schemas.openxmlformats.org/officeDocument/2006/relationships/hyperlink" Target="https://firebasestorage.googleapis.com/v0/b/wt-foundation-production.appspot.com/o/measurements%2FMeasureMethod.ADM_FIXED_PCT%2FheightPhoto%2F1773898779433?alt=media&amp;token=448f0eac-2366-4952-9316-9e538a65cb5c" TargetMode="External"/><Relationship Id="rId104" Type="http://schemas.openxmlformats.org/officeDocument/2006/relationships/hyperlink" Target="https://firebasestorage.googleapis.com/v0/b/wt-foundation-production.appspot.com/o/measurements%2FMeasureMethod.ADM_FIXED_PCT%2FheightPhoto%2F1773945413541?alt=media&amp;token=3c4faab3-c394-40a2-92e3-76ed2dd2bc5c" TargetMode="External"/><Relationship Id="rId146" Type="http://schemas.openxmlformats.org/officeDocument/2006/relationships/hyperlink" Target="https://firebasestorage.googleapis.com/v0/b/wt-foundation-production.appspot.com/o/measurements%2FMeasureMethod.ADM_FIXED_PCT%2FheightPhoto%2F1773950588554?alt=media&amp;token=d7f07d37-8460-4836-80ac-d58aa1491888" TargetMode="External"/><Relationship Id="rId188" Type="http://schemas.openxmlformats.org/officeDocument/2006/relationships/hyperlink" Target="https://firebasestorage.googleapis.com/v0/b/wt-foundation-production.appspot.com/o/measurements%2FMeasureMethod.ADM_FIXED_PCT%2FheightPhoto%2F1773951560628?alt=media&amp;token=179ccb9e-0a3d-41cf-a131-eea18df7d969" TargetMode="External"/><Relationship Id="rId311" Type="http://schemas.openxmlformats.org/officeDocument/2006/relationships/hyperlink" Target="https://firebasestorage.googleapis.com/v0/b/wt-foundation-production.appspot.com/o/measurements%2FMeasureMethod.ADM_FIXED_PCT%2FdbhPhoto%2F1776654440742?alt=media&amp;token=457a3e6c-1e4e-4c92-9066-4606402251d6" TargetMode="External"/><Relationship Id="rId353" Type="http://schemas.openxmlformats.org/officeDocument/2006/relationships/hyperlink" Target="https://firebasestorage.googleapis.com/v0/b/wt-foundation-production.appspot.com/o/measurements%2FMeasureMethod.ADM_FIXED_PCT%2FdbhPhoto%2F1777662461728?alt=media&amp;token=f97f008d-a028-486d-8b03-aee3483d2f3d" TargetMode="External"/><Relationship Id="rId395" Type="http://schemas.openxmlformats.org/officeDocument/2006/relationships/hyperlink" Target="https://firebasestorage.googleapis.com/v0/b/wt-foundation-production.appspot.com/o/measurements%2FMeasureMethod.ADM_FIXED_PCT%2FdbhPhoto%2F1778276231631?alt=media&amp;token=5e7575ee-a150-4062-af1b-8c6fdcb6eed6" TargetMode="External"/><Relationship Id="rId409" Type="http://schemas.openxmlformats.org/officeDocument/2006/relationships/hyperlink" Target="https://firebasestorage.googleapis.com/v0/b/wt-foundation-production.appspot.com/o/measurements%2FMeasureMethod.ADM_FIXED_PCT%2FdbhPhoto%2F1778276278237?alt=media&amp;token=37becf67-e55c-4513-904d-a781d7604fb8" TargetMode="External"/><Relationship Id="rId92" Type="http://schemas.openxmlformats.org/officeDocument/2006/relationships/hyperlink" Target="https://firebasestorage.googleapis.com/v0/b/wt-foundation-production.appspot.com/o/measurements%2FMeasureMethod.ADM_FIXED_PCT%2FheightPhoto%2F1773945141003?alt=media&amp;token=0bc522be-31d8-49c2-b00c-39810220546b" TargetMode="External"/><Relationship Id="rId213" Type="http://schemas.openxmlformats.org/officeDocument/2006/relationships/hyperlink" Target="https://firebasestorage.googleapis.com/v0/b/wt-foundation-production.appspot.com/o/measurements%2FMeasureMethod.ADM_FIXED_PCT%2Fdepth%2F1773952194749?alt=media&amp;token=f4cf9a4a-77f1-4745-9bea-2ae0acfc59fd" TargetMode="External"/><Relationship Id="rId420" Type="http://schemas.openxmlformats.org/officeDocument/2006/relationships/hyperlink" Target="https://firebasestorage.googleapis.com/v0/b/wt-foundation-production.appspot.com/o/measurements%2FMeasureMethod.ADM_FIXED_PCT%2FheightPhoto%2F1778276301825?alt=media&amp;token=14adc0e1-15c6-4ae2-b4d6-3f2d59f00588" TargetMode="External"/><Relationship Id="rId255" Type="http://schemas.openxmlformats.org/officeDocument/2006/relationships/hyperlink" Target="https://firebasestorage.googleapis.com/v0/b/wt-foundation-production.appspot.com/o/measurements%2FMeasureMethod.ADM_FIXED_PCT%2Fdepth%2F1773953065992?alt=media&amp;token=bda6f4d5-147a-411a-8759-9f43c58afa95" TargetMode="External"/><Relationship Id="rId297" Type="http://schemas.openxmlformats.org/officeDocument/2006/relationships/hyperlink" Target="https://firebasestorage.googleapis.com/v0/b/wt-foundation-production.appspot.com/o/measurements%2FMeasureMethod.ADM_FIXED_PCT%2FdbhPhoto%2F1776452681598?alt=media&amp;token=9465de9a-d95b-4f0b-90be-12aad87167cb" TargetMode="External"/><Relationship Id="rId462" Type="http://schemas.openxmlformats.org/officeDocument/2006/relationships/hyperlink" Target="https://firebasestorage.googleapis.com/v0/b/wt-foundation-production.appspot.com/o/measurements%2FMeasureMethod.ADM_FIXED_PCT%2FheightPhoto%2F1778363891023?alt=media&amp;token=18d2ea6f-38bf-46c0-8e6d-d8704889f520" TargetMode="External"/><Relationship Id="rId518" Type="http://schemas.openxmlformats.org/officeDocument/2006/relationships/hyperlink" Target="https://firebasestorage.googleapis.com/v0/b/wt-foundation-production.appspot.com/o/measurements%2FMeasureMethod.ADM_FIXED_PCT%2FheightPhoto%2F1778399360881?alt=media&amp;token=8060e1b6-2389-42d4-b838-b4e5b6283494" TargetMode="External"/><Relationship Id="rId115" Type="http://schemas.openxmlformats.org/officeDocument/2006/relationships/hyperlink" Target="https://firebasestorage.googleapis.com/v0/b/wt-foundation-production.appspot.com/o/measurements%2FMeasureMethod.ADM_FIXED_PCT%2FdbhPhoto%2F1773947043014?alt=media&amp;token=1a662a05-97dd-4a4d-ae68-1ed0854a8511" TargetMode="External"/><Relationship Id="rId157" Type="http://schemas.openxmlformats.org/officeDocument/2006/relationships/hyperlink" Target="https://firebasestorage.googleapis.com/v0/b/wt-foundation-production.appspot.com/o/measurements%2FMeasureMethod.ADM_FIXED_PCT%2FdbhPhoto%2F1773950768100?alt=media&amp;token=aa264371-655a-46c9-9b37-5e838f8316d5" TargetMode="External"/><Relationship Id="rId322" Type="http://schemas.openxmlformats.org/officeDocument/2006/relationships/hyperlink" Target="https://firebasestorage.googleapis.com/v0/b/wt-foundation-production.appspot.com/o/measurements%2FMeasureMethod.ADM_FIXED_PCT%2FheightPhoto%2F1776654466385?alt=media&amp;token=abdd1239-c624-403f-8eb2-e849b0903a2d" TargetMode="External"/><Relationship Id="rId364" Type="http://schemas.openxmlformats.org/officeDocument/2006/relationships/hyperlink" Target="https://firebasestorage.googleapis.com/v0/b/wt-foundation-production.appspot.com/o/measurements%2FMeasureMethod.ADM_FIXED_PCT%2FheightPhoto%2F1777664741672?alt=media&amp;token=783e30f1-0d99-41e4-95ee-1434a8d4c0b6" TargetMode="External"/><Relationship Id="rId61" Type="http://schemas.openxmlformats.org/officeDocument/2006/relationships/hyperlink" Target="https://firebasestorage.googleapis.com/v0/b/wt-foundation-production.appspot.com/o/measurements%2FMeasureMethod.ADM_FIXED_PCT%2FdbhPhoto%2F1773923493480?alt=media&amp;token=2a778542-6844-4c13-9fea-455326766e52" TargetMode="External"/><Relationship Id="rId199" Type="http://schemas.openxmlformats.org/officeDocument/2006/relationships/hyperlink" Target="https://firebasestorage.googleapis.com/v0/b/wt-foundation-production.appspot.com/o/measurements%2FMeasureMethod.ADM_FIXED_PCT%2FdbhPhoto%2F1773951703788?alt=media&amp;token=4e9bf082-ed7b-4e2b-833c-2558ed43824b" TargetMode="External"/><Relationship Id="rId19" Type="http://schemas.openxmlformats.org/officeDocument/2006/relationships/hyperlink" Target="https://firebasestorage.googleapis.com/v0/b/wt-foundation-production.appspot.com/o/measurements%2FMeasureMethod.ADM_FIXED_PCT%2FdbhPhoto%2F1773895938390?alt=media&amp;token=b4d0b648-5312-4f12-90cf-5b36478bb617" TargetMode="External"/><Relationship Id="rId224" Type="http://schemas.openxmlformats.org/officeDocument/2006/relationships/hyperlink" Target="https://firebasestorage.googleapis.com/v0/b/wt-foundation-production.appspot.com/o/measurements%2FMeasureMethod.ADM_FIXED_PCT%2FheightPhoto%2F1773952282037?alt=media&amp;token=37b0413e-8315-4ef5-a518-5f71062bf9c0" TargetMode="External"/><Relationship Id="rId266" Type="http://schemas.openxmlformats.org/officeDocument/2006/relationships/hyperlink" Target="https://firebasestorage.googleapis.com/v0/b/wt-foundation-production.appspot.com/o/measurements%2FMeasureMethod.ADM_FIXED_PCT%2FheightPhoto%2F1773953180846?alt=media&amp;token=cdcbeabf-4878-4b29-99f9-fd9049adc8c6" TargetMode="External"/><Relationship Id="rId431" Type="http://schemas.openxmlformats.org/officeDocument/2006/relationships/hyperlink" Target="https://firebasestorage.googleapis.com/v0/b/wt-foundation-production.appspot.com/o/measurements%2FMeasureMethod.ADM_FIXED_PCT%2FdbhPhoto%2F1778363669017?alt=media&amp;token=0508e443-303d-4c79-b41e-47ac585b028b" TargetMode="External"/><Relationship Id="rId473" Type="http://schemas.openxmlformats.org/officeDocument/2006/relationships/hyperlink" Target="https://firebasestorage.googleapis.com/v0/b/wt-foundation-production.appspot.com/o/measurements%2FMeasureMethod.ADM_FIXED_PCT%2FdbhPhoto%2F1778363922173?alt=media&amp;token=437cca91-1d19-4e76-85bd-596a56c9701a" TargetMode="External"/><Relationship Id="rId30" Type="http://schemas.openxmlformats.org/officeDocument/2006/relationships/hyperlink" Target="https://firebasestorage.googleapis.com/v0/b/wt-foundation-production.appspot.com/o/measurements%2FMeasureMethod.ADM_FIXED_PCT%2Fdepth%2F1773896106806?alt=media&amp;token=9d1e904b-6683-46e0-bcab-7c76b1e879ad" TargetMode="External"/><Relationship Id="rId126" Type="http://schemas.openxmlformats.org/officeDocument/2006/relationships/hyperlink" Target="https://firebasestorage.googleapis.com/v0/b/wt-foundation-production.appspot.com/o/measurements%2FMeasureMethod.ADM_FIXED_PCT%2Fdepth%2F1773947242420?alt=media&amp;token=c0eb6c01-a1ac-4119-aa74-2771a8654d34" TargetMode="External"/><Relationship Id="rId168" Type="http://schemas.openxmlformats.org/officeDocument/2006/relationships/hyperlink" Target="https://firebasestorage.googleapis.com/v0/b/wt-foundation-production.appspot.com/o/measurements%2FMeasureMethod.ADM_FIXED_PCT%2Fdepth%2F1773950852732?alt=media&amp;token=abad8556-3b30-42da-94e1-491b9f1f0cde" TargetMode="External"/><Relationship Id="rId333" Type="http://schemas.openxmlformats.org/officeDocument/2006/relationships/hyperlink" Target="https://firebasestorage.googleapis.com/v0/b/wt-foundation-production.appspot.com/o/measurements%2FMeasureMethod.ADM_FIXED_PCT%2FdbhPhoto%2F1776654599292?alt=media&amp;token=57cfe323-226c-4b87-8e0e-8b44099f0c5a" TargetMode="External"/><Relationship Id="rId72" Type="http://schemas.openxmlformats.org/officeDocument/2006/relationships/hyperlink" Target="https://firebasestorage.googleapis.com/v0/b/wt-foundation-production.appspot.com/o/measurements%2FMeasureMethod.ADM_FIXED_PCT%2Fdepth%2F1773954057958?alt=media&amp;token=ce6a1f53-2558-482a-87fc-0749a6a83883" TargetMode="External"/><Relationship Id="rId375" Type="http://schemas.openxmlformats.org/officeDocument/2006/relationships/hyperlink" Target="https://firebasestorage.googleapis.com/v0/b/wt-foundation-production.appspot.com/o/measurements%2FMeasureMethod.ADM_FIXED_PCT%2FdbhPhoto%2F1777918427982?alt=media&amp;token=75dbe300-19e5-4ef0-9b05-6d3c1290417c" TargetMode="External"/><Relationship Id="rId3" Type="http://schemas.openxmlformats.org/officeDocument/2006/relationships/hyperlink" Target="https://firebasestorage.googleapis.com/v0/b/wt-foundation-production.appspot.com/o/measurements%2FMeasureMethod.ADM_FIXED_PCT%2Fdepth%2F1773768496664?alt=media&amp;token=24c10cc4-7c54-4cb7-adaf-c457cba1dd09" TargetMode="External"/><Relationship Id="rId235" Type="http://schemas.openxmlformats.org/officeDocument/2006/relationships/hyperlink" Target="https://firebasestorage.googleapis.com/v0/b/wt-foundation-production.appspot.com/o/measurements%2FMeasureMethod.ADM_FIXED_PCT%2FdbhPhoto%2F1773952438658?alt=media&amp;token=e3e80379-55ba-4339-b765-e4992d6e13e3" TargetMode="External"/><Relationship Id="rId277" Type="http://schemas.openxmlformats.org/officeDocument/2006/relationships/hyperlink" Target="https://firebasestorage.googleapis.com/v0/b/wt-foundation-production.appspot.com/o/measurements%2FMeasureMethod.ADM_FIXED_PCT%2FdbhPhoto%2F1773953292012?alt=media&amp;token=b5ae1a82-471c-423a-b8e6-7fcd9ad0ef94" TargetMode="External"/><Relationship Id="rId400" Type="http://schemas.openxmlformats.org/officeDocument/2006/relationships/hyperlink" Target="https://firebasestorage.googleapis.com/v0/b/wt-foundation-production.appspot.com/o/measurements%2FMeasureMethod.ADM_FIXED_PCT%2FheightPhoto%2F1778276238957?alt=media&amp;token=37f1e9a8-6f9b-4478-b558-2853e2284cbd" TargetMode="External"/><Relationship Id="rId442" Type="http://schemas.openxmlformats.org/officeDocument/2006/relationships/hyperlink" Target="https://firebasestorage.googleapis.com/v0/b/wt-foundation-production.appspot.com/o/measurements%2FMeasureMethod.ADM_FIXED_PCT%2FheightPhoto%2F1778363840710?alt=media&amp;token=be09be1d-be9a-4035-98cc-3f33369f7eae" TargetMode="External"/><Relationship Id="rId484" Type="http://schemas.openxmlformats.org/officeDocument/2006/relationships/hyperlink" Target="https://firebasestorage.googleapis.com/v0/b/wt-foundation-production.appspot.com/o/measurements%2FMeasureMethod.ADM_FIXED_PCT%2FheightPhoto%2F1778363941558?alt=media&amp;token=30472e20-7bec-40f0-9ec8-b6b15e5ac44f" TargetMode="External"/><Relationship Id="rId137" Type="http://schemas.openxmlformats.org/officeDocument/2006/relationships/hyperlink" Target="https://firebasestorage.googleapis.com/v0/b/wt-foundation-production.appspot.com/o/measurements%2FMeasureMethod.ADM_FIXED_PCT%2FheightPhoto%2F1773955514840?alt=media&amp;token=9140a857-7060-4a0c-970c-321d3167c858" TargetMode="External"/><Relationship Id="rId302" Type="http://schemas.openxmlformats.org/officeDocument/2006/relationships/hyperlink" Target="https://firebasestorage.googleapis.com/v0/b/wt-foundation-production.appspot.com/o/measurements%2FMeasureMethod.ADM_FIXED_PCT%2FheightPhoto%2F1776452683885?alt=media&amp;token=7e8e45cd-6662-4569-8f97-27791d6fc428" TargetMode="External"/><Relationship Id="rId344" Type="http://schemas.openxmlformats.org/officeDocument/2006/relationships/hyperlink" Target="https://firebasestorage.googleapis.com/v0/b/wt-foundation-production.appspot.com/o/measurements%2FMeasureMethod.ADM_FIXED_PCT%2FheightPhoto%2F1777661646197?alt=media&amp;token=bd5bcb27-1762-4854-b594-a99d1e9fc935" TargetMode="External"/><Relationship Id="rId41" Type="http://schemas.openxmlformats.org/officeDocument/2006/relationships/hyperlink" Target="https://firebasestorage.googleapis.com/v0/b/wt-foundation-production.appspot.com/o/measurements%2FMeasureMethod.ADM_FIXED_PCT%2FheightPhoto%2F1773896238754?alt=media&amp;token=8dbe8db8-4057-403c-b83f-e3ef7aa12c62" TargetMode="External"/><Relationship Id="rId83" Type="http://schemas.openxmlformats.org/officeDocument/2006/relationships/hyperlink" Target="https://firebasestorage.googleapis.com/v0/b/wt-foundation-production.appspot.com/o/measurements%2FMeasureMethod.ADM_FIXED_PCT%2FheightPhoto%2F1773945017598?alt=media&amp;token=c2b16dae-8e79-4cdf-bc1f-bc6928af644f" TargetMode="External"/><Relationship Id="rId179" Type="http://schemas.openxmlformats.org/officeDocument/2006/relationships/hyperlink" Target="https://firebasestorage.googleapis.com/v0/b/wt-foundation-production.appspot.com/o/measurements%2FMeasureMethod.ADM_FIXED_PCT%2FheightPhoto%2F1773951470090?alt=media&amp;token=76f658b1-f30f-4bd0-aafd-f84ec5fd0ffe" TargetMode="External"/><Relationship Id="rId386" Type="http://schemas.openxmlformats.org/officeDocument/2006/relationships/hyperlink" Target="https://firebasestorage.googleapis.com/v0/b/wt-foundation-production.appspot.com/o/measurements%2FMeasureMethod.ADM_FIXED_PCT%2FheightPhoto%2F1778276205596?alt=media&amp;token=59381756-e50b-49ab-af78-108c4dfd4e27" TargetMode="External"/><Relationship Id="rId190" Type="http://schemas.openxmlformats.org/officeDocument/2006/relationships/hyperlink" Target="https://firebasestorage.googleapis.com/v0/b/wt-foundation-production.appspot.com/o/measurements%2FMeasureMethod.ADM_FIXED_PCT%2FdbhPhoto%2F1773951607700?alt=media&amp;token=95026702-32af-4f36-beaa-6bf550170f45" TargetMode="External"/><Relationship Id="rId204" Type="http://schemas.openxmlformats.org/officeDocument/2006/relationships/hyperlink" Target="https://firebasestorage.googleapis.com/v0/b/wt-foundation-production.appspot.com/o/measurements%2FMeasureMethod.ADM_FIXED_PCT%2Fdepth%2F1773951746498?alt=media&amp;token=769e2580-83fb-4763-89b6-358a96eb0005" TargetMode="External"/><Relationship Id="rId246" Type="http://schemas.openxmlformats.org/officeDocument/2006/relationships/hyperlink" Target="https://firebasestorage.googleapis.com/v0/b/wt-foundation-production.appspot.com/o/measurements%2FMeasureMethod.ADM_FIXED_PCT%2Fdepth%2F1773952869528?alt=media&amp;token=b9f01141-dfe5-45b5-8162-29e0485ba2fd" TargetMode="External"/><Relationship Id="rId288" Type="http://schemas.openxmlformats.org/officeDocument/2006/relationships/hyperlink" Target="https://firebasestorage.googleapis.com/v0/b/wt-foundation-production.appspot.com/o/measurements%2FMeasureMethod.ADM_FIXED_PCT%2Fdepth%2F1773953775954?alt=media&amp;token=9a1de21f-193d-4ea2-91b1-a41b6b2575ab" TargetMode="External"/><Relationship Id="rId411" Type="http://schemas.openxmlformats.org/officeDocument/2006/relationships/hyperlink" Target="https://firebasestorage.googleapis.com/v0/b/wt-foundation-production.appspot.com/o/measurements%2FMeasureMethod.ADM_FIXED_PCT%2FdbhPhoto%2F1778276282092?alt=media&amp;token=7dbd7e7e-0d71-44b3-a99e-44ec63a9eea7" TargetMode="External"/><Relationship Id="rId453" Type="http://schemas.openxmlformats.org/officeDocument/2006/relationships/hyperlink" Target="https://firebasestorage.googleapis.com/v0/b/wt-foundation-production.appspot.com/o/measurements%2FMeasureMethod.ADM_FIXED_PCT%2FdbhPhoto%2F1778363876984?alt=media&amp;token=e8c68657-5854-4ae9-bf36-7da814601836" TargetMode="External"/><Relationship Id="rId509" Type="http://schemas.openxmlformats.org/officeDocument/2006/relationships/hyperlink" Target="https://firebasestorage.googleapis.com/v0/b/wt-foundation-production.appspot.com/o/measurements%2FMeasureMethod.ADM_FIXED_PCT%2FdbhPhoto%2F1778399414671?alt=media&amp;token=cb061564-0715-405a-af9f-e18cc0094072" TargetMode="External"/><Relationship Id="rId106" Type="http://schemas.openxmlformats.org/officeDocument/2006/relationships/hyperlink" Target="https://firebasestorage.googleapis.com/v0/b/wt-foundation-production.appspot.com/o/measurements%2FMeasureMethod.ADM_FIXED_PCT%2FdbhPhoto%2F1773955419234?alt=media&amp;token=083ed568-3108-4dee-921c-182be391a2a6" TargetMode="External"/><Relationship Id="rId313" Type="http://schemas.openxmlformats.org/officeDocument/2006/relationships/hyperlink" Target="https://firebasestorage.googleapis.com/v0/b/wt-foundation-production.appspot.com/o/measurements%2FMeasureMethod.ADM_FIXED_PCT%2FdbhPhoto%2F1776654449123?alt=media&amp;token=cf301cc5-0a19-4c91-9f9b-602341c55970" TargetMode="External"/><Relationship Id="rId495" Type="http://schemas.openxmlformats.org/officeDocument/2006/relationships/hyperlink" Target="https://firebasestorage.googleapis.com/v0/b/wt-foundation-production.appspot.com/o/measurements%2FMeasureMethod.ADM_FIXED_PCT%2FdbhPhoto%2F1778365531288?alt=media&amp;token=52b7e687-7211-419b-abd4-ff5c1722854a" TargetMode="External"/><Relationship Id="rId10" Type="http://schemas.openxmlformats.org/officeDocument/2006/relationships/hyperlink" Target="https://firebasestorage.googleapis.com/v0/b/wt-foundation-production.appspot.com/o/measurements%2FMeasureMethod.ADM_FIXED_PCT%2FdbhPhoto%2F1773768535469?alt=media&amp;token=bc55fa73-8e3c-47f8-958d-c4e41701629a" TargetMode="External"/><Relationship Id="rId52" Type="http://schemas.openxmlformats.org/officeDocument/2006/relationships/hyperlink" Target="https://firebasestorage.googleapis.com/v0/b/wt-foundation-production.appspot.com/o/measurements%2FMeasureMethod.ADM_FIXED_PCT%2FdbhPhoto%2F1773953887904?alt=media&amp;token=47414445-6eaf-483a-94f4-51eff94748a7" TargetMode="External"/><Relationship Id="rId94" Type="http://schemas.openxmlformats.org/officeDocument/2006/relationships/hyperlink" Target="https://firebasestorage.googleapis.com/v0/b/wt-foundation-production.appspot.com/o/measurements%2FMeasureMethod.ADM_FIXED_PCT%2FdbhPhoto%2F1773945237787?alt=media&amp;token=91238ff9-a8d2-4031-8ebc-cd968371b8b1" TargetMode="External"/><Relationship Id="rId148" Type="http://schemas.openxmlformats.org/officeDocument/2006/relationships/hyperlink" Target="https://firebasestorage.googleapis.com/v0/b/wt-foundation-production.appspot.com/o/measurements%2FMeasureMethod.ADM_FIXED_PCT%2FdbhPhoto%2F1773950627145?alt=media&amp;token=ba0061e8-12aa-428c-b0c8-741ef09d533e" TargetMode="External"/><Relationship Id="rId355" Type="http://schemas.openxmlformats.org/officeDocument/2006/relationships/hyperlink" Target="https://firebasestorage.googleapis.com/v0/b/wt-foundation-production.appspot.com/o/measurements%2FMeasureMethod.ADM_FIXED_PCT%2FdbhPhoto%2F1777662874895?alt=media&amp;token=cdd66639-f24e-4126-afbc-cd155921b7c8" TargetMode="External"/><Relationship Id="rId397" Type="http://schemas.openxmlformats.org/officeDocument/2006/relationships/hyperlink" Target="https://firebasestorage.googleapis.com/v0/b/wt-foundation-production.appspot.com/o/measurements%2FMeasureMethod.ADM_FIXED_PCT%2FdbhPhoto%2F1778276237270?alt=media&amp;token=7aca114c-24d7-469c-b877-91782437fb0d" TargetMode="External"/><Relationship Id="rId520" Type="http://schemas.openxmlformats.org/officeDocument/2006/relationships/hyperlink" Target="https://firebasestorage.googleapis.com/v0/b/wt-foundation-production.appspot.com/o/measurements%2FMeasureMethod.ADM_FIXED_PCT%2FheightPhoto%2F1778399367799?alt=media&amp;token=6c80cf83-1b7e-4861-b4da-6e976efe4172" TargetMode="External"/><Relationship Id="rId215" Type="http://schemas.openxmlformats.org/officeDocument/2006/relationships/hyperlink" Target="https://firebasestorage.googleapis.com/v0/b/wt-foundation-production.appspot.com/o/measurements%2FMeasureMethod.ADM_FIXED_PCT%2FheightPhoto%2F1773952200994?alt=media&amp;token=7e974e7b-28c5-4c7b-8dce-cc9c89babd9b" TargetMode="External"/><Relationship Id="rId257" Type="http://schemas.openxmlformats.org/officeDocument/2006/relationships/hyperlink" Target="https://firebasestorage.googleapis.com/v0/b/wt-foundation-production.appspot.com/o/measurements%2FMeasureMethod.ADM_FIXED_PCT%2FheightPhoto%2F1773953078686?alt=media&amp;token=6fb81bf1-cbfb-4577-81a4-d50918521ac9" TargetMode="External"/><Relationship Id="rId422" Type="http://schemas.openxmlformats.org/officeDocument/2006/relationships/hyperlink" Target="https://firebasestorage.googleapis.com/v0/b/wt-foundation-production.appspot.com/o/measurements%2FMeasureMethod.ADM_FIXED_PCT%2FheightPhoto%2F1778363576147?alt=media&amp;token=a8609150-9f04-45e6-9441-e424dd44c10d" TargetMode="External"/><Relationship Id="rId464" Type="http://schemas.openxmlformats.org/officeDocument/2006/relationships/hyperlink" Target="https://firebasestorage.googleapis.com/v0/b/wt-foundation-production.appspot.com/o/measurements%2FMeasureMethod.ADM_FIXED_PCT%2FheightPhoto%2F1778363896862?alt=media&amp;token=e8ed65a8-057b-49f3-96b4-45e167ba3c6d" TargetMode="External"/><Relationship Id="rId299" Type="http://schemas.openxmlformats.org/officeDocument/2006/relationships/hyperlink" Target="https://firebasestorage.googleapis.com/v0/b/wt-foundation-production.appspot.com/o/measurements%2FMeasureMethod.ADM_FIXED_PCT%2FdbhPhoto%2F1776452682787?alt=media&amp;token=c19543db-557f-4be7-bed0-e7ab3903d2c9" TargetMode="External"/><Relationship Id="rId63" Type="http://schemas.openxmlformats.org/officeDocument/2006/relationships/hyperlink" Target="https://firebasestorage.googleapis.com/v0/b/wt-foundation-production.appspot.com/o/measurements%2FMeasureMethod.ADM_FIXED_PCT%2Fdepth%2F1773923561968?alt=media&amp;token=b55f1422-112b-498e-8d2a-5e7353f289f8" TargetMode="External"/><Relationship Id="rId159" Type="http://schemas.openxmlformats.org/officeDocument/2006/relationships/hyperlink" Target="https://firebasestorage.googleapis.com/v0/b/wt-foundation-production.appspot.com/o/measurements%2FMeasureMethod.ADM_FIXED_PCT%2Fdepth%2F1773950772435?alt=media&amp;token=f39bc85f-f3dd-48ec-99d3-d35ef6ee6b9c" TargetMode="External"/><Relationship Id="rId366" Type="http://schemas.openxmlformats.org/officeDocument/2006/relationships/hyperlink" Target="https://firebasestorage.googleapis.com/v0/b/wt-foundation-production.appspot.com/o/measurements%2FMeasureMethod.ADM_FIXED_PCT%2FheightPhoto%2F1777664988120?alt=media&amp;token=eeea371e-22bd-4879-9b2d-562d6c712a3d" TargetMode="External"/><Relationship Id="rId226" Type="http://schemas.openxmlformats.org/officeDocument/2006/relationships/hyperlink" Target="https://firebasestorage.googleapis.com/v0/b/wt-foundation-production.appspot.com/o/measurements%2FMeasureMethod.ADM_FIXED_PCT%2FdbhPhoto%2F1773952340313?alt=media&amp;token=d8ab6460-6564-4c89-a527-73a5bfe66af3" TargetMode="External"/><Relationship Id="rId433" Type="http://schemas.openxmlformats.org/officeDocument/2006/relationships/hyperlink" Target="https://firebasestorage.googleapis.com/v0/b/wt-foundation-production.appspot.com/o/measurements%2FMeasureMethod.ADM_FIXED_PCT%2FdbhPhoto%2F1778363689407?alt=media&amp;token=5237ad44-82d0-444a-b662-1aa4d4051ca3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rebasestorage.googleapis.com/v0/b/wt-foundation-production.appspot.com/o/measurements%2FMeasureMethod.ADM_FIXED_PCT%2FdbhPhoto%2F1778363922173?alt=media&amp;token=437cca91-1d19-4e76-85bd-596a56c9701a" TargetMode="External"/><Relationship Id="rId299" Type="http://schemas.openxmlformats.org/officeDocument/2006/relationships/hyperlink" Target="https://firebasestorage.googleapis.com/v0/b/wt-foundation-production.appspot.com/o/measurements%2FMeasureMethod.ADM_FIXED_PCT%2FdbhPhoto%2F1781838531099?alt=media&amp;token=ce4c7be1-bf37-4e68-b198-23c20a155232" TargetMode="External"/><Relationship Id="rId21" Type="http://schemas.openxmlformats.org/officeDocument/2006/relationships/hyperlink" Target="https://firebasestorage.googleapis.com/v0/b/wt-foundation-production.appspot.com/o/measurements%2FMeasureMethod.ADM_FIXED_PCT%2FdbhPhoto%2F1777663481541?alt=media&amp;token=edd3ae3b-1aa7-47d3-af3a-a88becd9c367" TargetMode="External"/><Relationship Id="rId63" Type="http://schemas.openxmlformats.org/officeDocument/2006/relationships/hyperlink" Target="https://firebasestorage.googleapis.com/v0/b/wt-foundation-production.appspot.com/o/measurements%2FMeasureMethod.ADM_FIXED_PCT%2FdbhPhoto%2F1778276292429?alt=media&amp;token=eee44a7c-2874-46d3-9c76-866a3fa4d3de" TargetMode="External"/><Relationship Id="rId159" Type="http://schemas.openxmlformats.org/officeDocument/2006/relationships/hyperlink" Target="https://firebasestorage.googleapis.com/v0/b/wt-foundation-production.appspot.com/o/measurements%2FMeasureMethod.ADM_FIXED_PCT%2FdbhPhoto%2F1778399370135?alt=media&amp;token=97fb718e-dc32-4bf2-9f26-762a38b8fb18" TargetMode="External"/><Relationship Id="rId170" Type="http://schemas.openxmlformats.org/officeDocument/2006/relationships/hyperlink" Target="https://firebasestorage.googleapis.com/v0/b/wt-foundation-production.appspot.com/o/measurements%2FMeasureMethod.ADM_FIXED_PCT%2FdbhPhoto%2F1773950714167?alt=media&amp;token=8e471003-0c0b-40f2-9102-c54fb5682241" TargetMode="External"/><Relationship Id="rId226" Type="http://schemas.openxmlformats.org/officeDocument/2006/relationships/hyperlink" Target="https://firebasestorage.googleapis.com/v0/b/wt-foundation-production.appspot.com/o/measurements%2FMeasureMethod.ADM_FIXED_PCT%2FheightPhoto%2F1781723874608?alt=media&amp;token=be6abef2-274e-42c4-805b-b3109bc006b4" TargetMode="External"/><Relationship Id="rId268" Type="http://schemas.openxmlformats.org/officeDocument/2006/relationships/hyperlink" Target="https://firebasestorage.googleapis.com/v0/b/wt-foundation-production.appspot.com/o/measurements%2FMeasureMethod.ADM_FIXED_PCT%2FheightPhoto%2F1781838037201?alt=media&amp;token=799bf7b8-01f6-4ab6-88ff-c95375a189db" TargetMode="External"/><Relationship Id="rId32" Type="http://schemas.openxmlformats.org/officeDocument/2006/relationships/hyperlink" Target="https://firebasestorage.googleapis.com/v0/b/wt-foundation-production.appspot.com/o/measurements%2FMeasureMethod.ADM_FIXED_PCT%2FheightPhoto%2F1778276153889?alt=media&amp;token=07b49f8d-393e-4ccb-8b45-1693ee65038c" TargetMode="External"/><Relationship Id="rId74" Type="http://schemas.openxmlformats.org/officeDocument/2006/relationships/hyperlink" Target="https://firebasestorage.googleapis.com/v0/b/wt-foundation-production.appspot.com/o/measurements%2FMeasureMethod.ADM_FIXED_PCT%2FheightPhoto%2F1778363603095?alt=media&amp;token=58ed725d-b542-4dbf-8097-c18aab8580d7" TargetMode="External"/><Relationship Id="rId128" Type="http://schemas.openxmlformats.org/officeDocument/2006/relationships/hyperlink" Target="https://firebasestorage.googleapis.com/v0/b/wt-foundation-production.appspot.com/o/measurements%2FMeasureMethod.ADM_FIXED_PCT%2FheightPhoto%2F1778399386453?alt=media&amp;token=eed6a65d-6d74-43a4-bf0a-239ee01f6297" TargetMode="External"/><Relationship Id="rId5" Type="http://schemas.openxmlformats.org/officeDocument/2006/relationships/hyperlink" Target="https://firebasestorage.googleapis.com/v0/b/wt-foundation-production.appspot.com/o/measurements%2FMeasureMethod.ADM_FIXED_PCT%2FdbhPhoto%2F1777661653256?alt=media&amp;token=bb016a6c-3490-4cc7-a93e-2a70ef62a37b" TargetMode="External"/><Relationship Id="rId181" Type="http://schemas.openxmlformats.org/officeDocument/2006/relationships/hyperlink" Target="https://firebasestorage.googleapis.com/v0/b/wt-foundation-production.appspot.com/o/measurements%2FMeasureMethod.ADM_FIXED_PCT%2Fdepth%2F1773950806995?alt=media&amp;token=2bd8abf9-118e-4a73-a3ec-d270d3c89f8c" TargetMode="External"/><Relationship Id="rId237" Type="http://schemas.openxmlformats.org/officeDocument/2006/relationships/hyperlink" Target="https://firebasestorage.googleapis.com/v0/b/wt-foundation-production.appspot.com/o/measurements%2FMeasureMethod.ADM_FIXED_PCT%2FdbhPhoto%2F1781803675800?alt=media&amp;token=9cf7ff66-5127-44e4-8ce8-a17476d441ce" TargetMode="External"/><Relationship Id="rId279" Type="http://schemas.openxmlformats.org/officeDocument/2006/relationships/hyperlink" Target="https://firebasestorage.googleapis.com/v0/b/wt-foundation-production.appspot.com/o/measurements%2FMeasureMethod.ADM_FIXED_PCT%2FdbhPhoto%2F1781838147733?alt=media&amp;token=3f2b5bcd-e4f9-4c23-a786-9176bd11357d" TargetMode="External"/><Relationship Id="rId43" Type="http://schemas.openxmlformats.org/officeDocument/2006/relationships/hyperlink" Target="https://firebasestorage.googleapis.com/v0/b/wt-foundation-production.appspot.com/o/measurements%2FMeasureMethod.ADM_FIXED_PCT%2FdbhPhoto%2F1778276227278?alt=media&amp;token=89565969-b65b-4ef8-afe1-e8f856a7453a" TargetMode="External"/><Relationship Id="rId139" Type="http://schemas.openxmlformats.org/officeDocument/2006/relationships/hyperlink" Target="https://firebasestorage.googleapis.com/v0/b/wt-foundation-production.appspot.com/o/measurements%2FMeasureMethod.ADM_FIXED_PCT%2FdbhPhoto%2F1778365534094?alt=media&amp;token=64c43889-d0ba-4b31-af40-95bdd427c218" TargetMode="External"/><Relationship Id="rId290" Type="http://schemas.openxmlformats.org/officeDocument/2006/relationships/hyperlink" Target="https://firebasestorage.googleapis.com/v0/b/wt-foundation-production.appspot.com/o/measurements%2FMeasureMethod.ADM_FIXED_PCT%2FheightPhoto%2F1781838155931?alt=media&amp;token=5e5b3218-52fa-4bb3-80c8-8bb7b9757457" TargetMode="External"/><Relationship Id="rId304" Type="http://schemas.openxmlformats.org/officeDocument/2006/relationships/hyperlink" Target="https://services1.arcgis.com/0j6vZbECadDEXdAS/arcgis/rest/services/GEDI_Footprint_1_trees/FeatureServer/0/53/attachments/46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&amp;s=841895" TargetMode="External"/><Relationship Id="rId85" Type="http://schemas.openxmlformats.org/officeDocument/2006/relationships/hyperlink" Target="https://firebasestorage.googleapis.com/v0/b/wt-foundation-production.appspot.com/o/measurements%2FMeasureMethod.ADM_FIXED_PCT%2FdbhPhoto%2F1778363724846?alt=media&amp;token=ed5c1f72-d6bc-4102-a6f8-e0fa7bfd6001" TargetMode="External"/><Relationship Id="rId150" Type="http://schemas.openxmlformats.org/officeDocument/2006/relationships/hyperlink" Target="https://firebasestorage.googleapis.com/v0/b/wt-foundation-production.appspot.com/o/measurements%2FMeasureMethod.ADM_FIXED_PCT%2FheightPhoto%2F1778399405205?alt=media&amp;token=c9e21be3-20ce-4a9a-bcea-f002236cec6b" TargetMode="External"/><Relationship Id="rId192" Type="http://schemas.openxmlformats.org/officeDocument/2006/relationships/hyperlink" Target="https://firebasestorage.googleapis.com/v0/b/wt-foundation-production.appspot.com/o/measurements%2FMeasureMethod.ADM_FIXED_PCT%2FheightPhoto%2F1773955564296?alt=media&amp;token=d84f46f4-8fc8-4608-9d72-acdc32979991" TargetMode="External"/><Relationship Id="rId206" Type="http://schemas.openxmlformats.org/officeDocument/2006/relationships/hyperlink" Target="https://firebasestorage.googleapis.com/v0/b/wt-foundation-production.appspot.com/o/measurements%2FMeasureMethod.ADM_FIXED_PCT%2FdbhPhoto%2F1773896151418?alt=media&amp;token=ce067017-2173-4c45-bf06-831706a135df" TargetMode="External"/><Relationship Id="rId248" Type="http://schemas.openxmlformats.org/officeDocument/2006/relationships/hyperlink" Target="https://firebasestorage.googleapis.com/v0/b/wt-foundation-production.appspot.com/o/measurements%2FMeasureMethod.ADM_FIXED_PCT%2FdbhPhoto%2F1781838048226?alt=media&amp;token=178825a5-2de1-45b0-8bc6-d79a0868b8ec" TargetMode="External"/><Relationship Id="rId12" Type="http://schemas.openxmlformats.org/officeDocument/2006/relationships/hyperlink" Target="https://firebasestorage.googleapis.com/v0/b/wt-foundation-production.appspot.com/o/measurements%2FMeasureMethod.ADM_FIXED_PCT%2FheightPhoto%2F1777661998171?alt=media&amp;token=ca3d5ddf-152b-4dfd-ac10-a7a05c1d08ee" TargetMode="External"/><Relationship Id="rId108" Type="http://schemas.openxmlformats.org/officeDocument/2006/relationships/hyperlink" Target="https://firebasestorage.googleapis.com/v0/b/wt-foundation-production.appspot.com/o/measurements%2FMeasureMethod.ADM_FIXED_PCT%2FheightPhoto%2F1778363887538?alt=media&amp;token=a17f6574-c7ec-4be4-b7ca-29fbc95c0786" TargetMode="External"/><Relationship Id="rId315" Type="http://schemas.openxmlformats.org/officeDocument/2006/relationships/hyperlink" Target="https://firebasestorage.googleapis.com/v0/b/wt-foundation-production.appspot.com/o/measurements%2FMeasureMethod.ADM_FIXED_PCT%2FheightPhoto%2F1781838554938?alt=media&amp;token=8eaa41c6-84d1-4db1-a661-cb0acab52bba" TargetMode="External"/><Relationship Id="rId54" Type="http://schemas.openxmlformats.org/officeDocument/2006/relationships/hyperlink" Target="https://firebasestorage.googleapis.com/v0/b/wt-foundation-production.appspot.com/o/measurements%2FMeasureMethod.ADM_FIXED_PCT%2FheightPhoto%2F1778276265403?alt=media&amp;token=409b4628-4ee8-4d11-9c90-13b6cfc5dfbe" TargetMode="External"/><Relationship Id="rId96" Type="http://schemas.openxmlformats.org/officeDocument/2006/relationships/hyperlink" Target="https://firebasestorage.googleapis.com/v0/b/wt-foundation-production.appspot.com/o/measurements%2FMeasureMethod.ADM_FIXED_PCT%2FheightPhoto%2F1778363854704?alt=media&amp;token=a276d4e5-bb77-4983-b803-69ef138d3c40" TargetMode="External"/><Relationship Id="rId161" Type="http://schemas.openxmlformats.org/officeDocument/2006/relationships/hyperlink" Target="https://firebasestorage.googleapis.com/v0/b/wt-foundation-production.appspot.com/o/measurements%2FMeasureMethod.ADM_FIXED_PCT%2FdbhPhoto%2F1778399374570?alt=media&amp;token=7e20e3e0-ac0d-4c49-9bf6-5191b4954327" TargetMode="External"/><Relationship Id="rId217" Type="http://schemas.openxmlformats.org/officeDocument/2006/relationships/hyperlink" Target="https://firebasestorage.googleapis.com/v0/b/wt-foundation-production.appspot.com/o/measurements%2FMeasureMethod.ADM_FIXED_PCT%2FdbhPhoto%2F1781723875646?alt=media&amp;token=05a5401f-c871-4ed7-9d8b-282af40b2817" TargetMode="External"/><Relationship Id="rId259" Type="http://schemas.openxmlformats.org/officeDocument/2006/relationships/hyperlink" Target="https://firebasestorage.googleapis.com/v0/b/wt-foundation-production.appspot.com/o/measurements%2FMeasureMethod.ADM_FIXED_PCT%2FheightPhoto%2F1781803674364?alt=media&amp;token=2d673c57-3660-4c04-b0bb-687acef8bb50" TargetMode="External"/><Relationship Id="rId23" Type="http://schemas.openxmlformats.org/officeDocument/2006/relationships/hyperlink" Target="https://firebasestorage.googleapis.com/v0/b/wt-foundation-production.appspot.com/o/measurements%2FMeasureMethod.ADM_FIXED_PCT%2FdbhPhoto%2F1777664172730?alt=media&amp;token=7823d1da-b5e7-4aee-b193-1023c1cc8b07" TargetMode="External"/><Relationship Id="rId119" Type="http://schemas.openxmlformats.org/officeDocument/2006/relationships/hyperlink" Target="https://firebasestorage.googleapis.com/v0/b/wt-foundation-production.appspot.com/o/measurements%2FMeasureMethod.ADM_FIXED_PCT%2FdbhPhoto%2F1778363927229?alt=media&amp;token=a5107aec-5bf7-4aee-9501-b1ce4a49311c" TargetMode="External"/><Relationship Id="rId270" Type="http://schemas.openxmlformats.org/officeDocument/2006/relationships/hyperlink" Target="https://firebasestorage.googleapis.com/v0/b/wt-foundation-production.appspot.com/o/measurements%2FMeasureMethod.ADM_FIXED_PCT%2FheightPhoto%2F1781838047055?alt=media&amp;token=c7b8db18-03bc-4f1a-bae3-c179b95a5426" TargetMode="External"/><Relationship Id="rId65" Type="http://schemas.openxmlformats.org/officeDocument/2006/relationships/hyperlink" Target="https://firebasestorage.googleapis.com/v0/b/wt-foundation-production.appspot.com/o/measurements%2FMeasureMethod.ADM_FIXED_PCT%2FdbhPhoto%2F1778276298907?alt=media&amp;token=cb172852-f8c7-4616-a8a0-4d1a1b3f8425" TargetMode="External"/><Relationship Id="rId130" Type="http://schemas.openxmlformats.org/officeDocument/2006/relationships/hyperlink" Target="https://firebasestorage.googleapis.com/v0/b/wt-foundation-production.appspot.com/o/measurements%2FMeasureMethod.ADM_FIXED_PCT%2FheightPhoto%2F1778365513734?alt=media&amp;token=1ba113e4-a0a4-4420-9b79-6caf980040a3" TargetMode="External"/><Relationship Id="rId172" Type="http://schemas.openxmlformats.org/officeDocument/2006/relationships/hyperlink" Target="https://firebasestorage.googleapis.com/v0/b/wt-foundation-production.appspot.com/o/measurements%2FMeasureMethod.ADM_FIXED_PCT%2Fdepth%2F1773950740362?alt=media&amp;token=ea25fe6d-3d5e-4529-b30d-3ac022c5e126" TargetMode="External"/><Relationship Id="rId228" Type="http://schemas.openxmlformats.org/officeDocument/2006/relationships/hyperlink" Target="https://firebasestorage.googleapis.com/v0/b/wt-foundation-production.appspot.com/o/measurements%2FMeasureMethod.ADM_FIXED_PCT%2FheightPhoto%2F1781723891761?alt=media&amp;token=63d7ca61-ad84-48d2-8526-6f60d82e4f01" TargetMode="External"/><Relationship Id="rId13" Type="http://schemas.openxmlformats.org/officeDocument/2006/relationships/hyperlink" Target="https://firebasestorage.googleapis.com/v0/b/wt-foundation-production.appspot.com/o/measurements%2FMeasureMethod.ADM_FIXED_PCT%2FdbhPhoto%2F1777662095644?alt=media&amp;token=a17d7455-01ef-4f3d-a054-ef4b36f8eac5" TargetMode="External"/><Relationship Id="rId109" Type="http://schemas.openxmlformats.org/officeDocument/2006/relationships/hyperlink" Target="https://firebasestorage.googleapis.com/v0/b/wt-foundation-production.appspot.com/o/measurements%2FMeasureMethod.ADM_FIXED_PCT%2FdbhPhoto%2F1778363894132?alt=media&amp;token=e9d3aa2a-48c8-4d95-8617-c6f00161e25c" TargetMode="External"/><Relationship Id="rId260" Type="http://schemas.openxmlformats.org/officeDocument/2006/relationships/hyperlink" Target="https://firebasestorage.googleapis.com/v0/b/wt-foundation-production.appspot.com/o/measurements%2FMeasureMethod.ADM_FIXED_PCT%2FheightPhoto%2F1781803677254?alt=media&amp;token=af7cf094-b864-4843-a3ff-6cb118399335" TargetMode="External"/><Relationship Id="rId281" Type="http://schemas.openxmlformats.org/officeDocument/2006/relationships/hyperlink" Target="https://services1.arcgis.com/0j6vZbECadDEXdAS/arcgis/rest/services/GEDI_Footprint_1_trees/FeatureServer/0/50/attachments/39?token=a4ScKDTipBjXN_Oqldylu4w..UgkQi_pE2TXisCb5jSTUnpixVgv0hqjaSApOkQg75dwShQYGf_twWwpGGF1P6BCN926pawb04AGvOVX8YrrC8G4VlcZ5E2bC6D8tVqT4NVzoz6lwYM3uYtjyPSAv7yfl5WCm6m-1yIpA7C_jsX1wKLfEJl6mUXzQ11UOpx4tzXSi0pfnZSJisMZTwOy25urJqdN3gkt_PKGY6JaHF91JM8b4BQ3fClU2CxnN2zxlWjhq3lVyYE83s6jl17JTdY_dniGWoW8KM_TaEwEg2fMK497-XzBZ7eztH73B7lIYmey8ySaKD5FvZCLQlW-QPyPz_wT5lulo19V9W6Zuk8mc&amp;s=455078" TargetMode="External"/><Relationship Id="rId316" Type="http://schemas.openxmlformats.org/officeDocument/2006/relationships/hyperlink" Target="https://firebasestorage.googleapis.com/v0/b/wt-foundation-production.appspot.com/o/measurements%2FMeasureMethod.ADM_FIXED_PCT%2FdbhPhoto%2F1781838559751?alt=media&amp;token=a4171be9-e169-4a00-aeff-fc41a33a4d44" TargetMode="External"/><Relationship Id="rId34" Type="http://schemas.openxmlformats.org/officeDocument/2006/relationships/hyperlink" Target="https://firebasestorage.googleapis.com/v0/b/wt-foundation-production.appspot.com/o/measurements%2FMeasureMethod.ADM_FIXED_PCT%2FheightPhoto%2F1778276203174?alt=media&amp;token=aa05fd92-f5ac-4f13-9410-64a550cf1651" TargetMode="External"/><Relationship Id="rId55" Type="http://schemas.openxmlformats.org/officeDocument/2006/relationships/hyperlink" Target="https://firebasestorage.googleapis.com/v0/b/wt-foundation-production.appspot.com/o/measurements%2FMeasureMethod.ADM_FIXED_PCT%2FdbhPhoto%2F1778276273536?alt=media&amp;token=4591fa50-a8d9-4ccf-8e26-eee44bfe6ae5" TargetMode="External"/><Relationship Id="rId76" Type="http://schemas.openxmlformats.org/officeDocument/2006/relationships/hyperlink" Target="https://firebasestorage.googleapis.com/v0/b/wt-foundation-production.appspot.com/o/measurements%2FMeasureMethod.ADM_FIXED_PCT%2FheightPhoto%2F1778363620011?alt=media&amp;token=eb687db4-f16a-4561-a4aa-2a884b7b9989" TargetMode="External"/><Relationship Id="rId97" Type="http://schemas.openxmlformats.org/officeDocument/2006/relationships/hyperlink" Target="https://firebasestorage.googleapis.com/v0/b/wt-foundation-production.appspot.com/o/measurements%2FMeasureMethod.ADM_FIXED_PCT%2FdbhPhoto%2F1778363868069?alt=media&amp;token=66474bc7-4895-4d4e-8e2d-b5c4dbbcadca" TargetMode="External"/><Relationship Id="rId120" Type="http://schemas.openxmlformats.org/officeDocument/2006/relationships/hyperlink" Target="https://firebasestorage.googleapis.com/v0/b/wt-foundation-production.appspot.com/o/measurements%2FMeasureMethod.ADM_FIXED_PCT%2FheightPhoto%2F1778363926778?alt=media&amp;token=aa4d3273-834a-46e8-b5a4-5d24004ebb8d" TargetMode="External"/><Relationship Id="rId141" Type="http://schemas.openxmlformats.org/officeDocument/2006/relationships/hyperlink" Target="https://firebasestorage.googleapis.com/v0/b/wt-foundation-production.appspot.com/o/measurements%2FMeasureMethod.ADM_FIXED_PCT%2FdbhPhoto%2F1778365540118?alt=media&amp;token=29ed7413-b22a-49ea-b9e8-70ae6bbb7dcd" TargetMode="External"/><Relationship Id="rId7" Type="http://schemas.openxmlformats.org/officeDocument/2006/relationships/hyperlink" Target="https://firebasestorage.googleapis.com/v0/b/wt-foundation-production.appspot.com/o/measurements%2FMeasureMethod.ADM_FIXED_PCT%2FdbhPhoto%2F1777661793021?alt=media&amp;token=14ef2caf-d682-4d95-bd8e-0e4ee67c3ef2" TargetMode="External"/><Relationship Id="rId162" Type="http://schemas.openxmlformats.org/officeDocument/2006/relationships/hyperlink" Target="https://firebasestorage.googleapis.com/v0/b/wt-foundation-production.appspot.com/o/measurements%2FMeasureMethod.ADM_FIXED_PCT%2FheightPhoto%2F1778399372322?alt=media&amp;token=e0acb653-09b3-4c17-93a4-fdadcc94df8f" TargetMode="External"/><Relationship Id="rId183" Type="http://schemas.openxmlformats.org/officeDocument/2006/relationships/hyperlink" Target="https://firebasestorage.googleapis.com/v0/b/wt-foundation-production.appspot.com/o/measurements%2FMeasureMethod.ADM_FIXED_PCT%2FheightPhoto%2F1773950816294?alt=media&amp;token=b2923eee-10a4-4273-bf26-df30df6a06e1" TargetMode="External"/><Relationship Id="rId218" Type="http://schemas.openxmlformats.org/officeDocument/2006/relationships/hyperlink" Target="https://firebasestorage.googleapis.com/v0/b/wt-foundation-production.appspot.com/o/measurements%2FMeasureMethod.ADM_FIXED_PCT%2FdbhPhoto%2F1781723883089?alt=media&amp;token=fc8925b0-e2f7-436a-b4f7-6226ad10a972" TargetMode="External"/><Relationship Id="rId239" Type="http://schemas.openxmlformats.org/officeDocument/2006/relationships/hyperlink" Target="https://firebasestorage.googleapis.com/v0/b/wt-foundation-production.appspot.com/o/measurements%2FMeasureMethod.ADM_FIXED_PCT%2FdbhPhoto%2F1781803680143?alt=media&amp;token=112193ed-8a20-456d-9090-a4db069547ab" TargetMode="External"/><Relationship Id="rId250" Type="http://schemas.openxmlformats.org/officeDocument/2006/relationships/hyperlink" Target="https://firebasestorage.googleapis.com/v0/b/wt-foundation-production.appspot.com/o/measurements%2FMeasureMethod.ADM_FIXED_PCT%2FdbhPhoto%2F1781838063023?alt=media&amp;token=5e524cba-a893-425c-9e99-5e592b38e0ff" TargetMode="External"/><Relationship Id="rId271" Type="http://schemas.openxmlformats.org/officeDocument/2006/relationships/hyperlink" Target="https://firebasestorage.googleapis.com/v0/b/wt-foundation-production.appspot.com/o/measurements%2FMeasureMethod.ADM_FIXED_PCT%2FheightPhoto%2F1781838050135?alt=media&amp;token=33ed59c4-081e-4826-813e-04b58c509f02" TargetMode="External"/><Relationship Id="rId292" Type="http://schemas.openxmlformats.org/officeDocument/2006/relationships/hyperlink" Target="https://firebasestorage.googleapis.com/v0/b/wt-foundation-production.appspot.com/o/measurements%2FMeasureMethod.ADM_FIXED_PCT%2FheightPhoto%2F1781838211018?alt=media&amp;token=8682df60-431e-4747-b57f-9e4ae47fda31" TargetMode="External"/><Relationship Id="rId306" Type="http://schemas.openxmlformats.org/officeDocument/2006/relationships/hyperlink" Target="https://firebasestorage.googleapis.com/v0/b/wt-foundation-production.appspot.com/o/measurements%2FMeasureMethod.ADM_FIXED_PCT%2FheightPhoto%2F1781838538168?alt=media&amp;token=af84cc52-a2a8-42c1-b923-386aed874b6e" TargetMode="External"/><Relationship Id="rId24" Type="http://schemas.openxmlformats.org/officeDocument/2006/relationships/hyperlink" Target="https://firebasestorage.googleapis.com/v0/b/wt-foundation-production.appspot.com/o/measurements%2FMeasureMethod.ADM_FIXED_PCT%2FheightPhoto%2F1777664172727?alt=media&amp;token=bce67835-0e21-4734-82ae-b666fde87630" TargetMode="External"/><Relationship Id="rId45" Type="http://schemas.openxmlformats.org/officeDocument/2006/relationships/hyperlink" Target="https://firebasestorage.googleapis.com/v0/b/wt-foundation-production.appspot.com/o/measurements%2FMeasureMethod.ADM_FIXED_PCT%2FdbhPhoto%2F1778276231631?alt=media&amp;token=5e7575ee-a150-4062-af1b-8c6fdcb6eed6" TargetMode="External"/><Relationship Id="rId66" Type="http://schemas.openxmlformats.org/officeDocument/2006/relationships/hyperlink" Target="https://firebasestorage.googleapis.com/v0/b/wt-foundation-production.appspot.com/o/measurements%2FMeasureMethod.ADM_FIXED_PCT%2FheightPhoto%2F1778276294226?alt=media&amp;token=d7b21fd2-3e5a-43ed-8cce-b54bac4c167b" TargetMode="External"/><Relationship Id="rId87" Type="http://schemas.openxmlformats.org/officeDocument/2006/relationships/hyperlink" Target="https://firebasestorage.googleapis.com/v0/b/wt-foundation-production.appspot.com/o/measurements%2FMeasureMethod.ADM_FIXED_PCT%2FdbhPhoto%2F1778363840451?alt=media&amp;token=dd289eb9-87cd-4508-b0c8-bb3afe266613" TargetMode="External"/><Relationship Id="rId110" Type="http://schemas.openxmlformats.org/officeDocument/2006/relationships/hyperlink" Target="https://firebasestorage.googleapis.com/v0/b/wt-foundation-production.appspot.com/o/measurements%2FMeasureMethod.ADM_FIXED_PCT%2FheightPhoto%2F1778363891023?alt=media&amp;token=18d2ea6f-38bf-46c0-8e6d-d8704889f520" TargetMode="External"/><Relationship Id="rId131" Type="http://schemas.openxmlformats.org/officeDocument/2006/relationships/hyperlink" Target="https://firebasestorage.googleapis.com/v0/b/wt-foundation-production.appspot.com/o/measurements%2FMeasureMethod.ADM_FIXED_PCT%2FdbhPhoto%2F1778365519897?alt=media&amp;token=a5998141-3ed2-43a8-a770-cb67e6d552d9" TargetMode="External"/><Relationship Id="rId152" Type="http://schemas.openxmlformats.org/officeDocument/2006/relationships/hyperlink" Target="https://firebasestorage.googleapis.com/v0/b/wt-foundation-production.appspot.com/o/measurements%2FMeasureMethod.ADM_FIXED_PCT%2FheightPhoto%2F1778399341042?alt=media&amp;token=2ea2e478-8fd1-4a92-b3fe-58f026197b34" TargetMode="External"/><Relationship Id="rId173" Type="http://schemas.openxmlformats.org/officeDocument/2006/relationships/hyperlink" Target="https://firebasestorage.googleapis.com/v0/b/wt-foundation-production.appspot.com/o/measurements%2FMeasureMethod.ADM_FIXED_PCT%2FdbhPhoto%2F1773950768100?alt=media&amp;token=aa264371-655a-46c9-9b37-5e838f8316d5" TargetMode="External"/><Relationship Id="rId194" Type="http://schemas.openxmlformats.org/officeDocument/2006/relationships/hyperlink" Target="https://firebasestorage.googleapis.com/v0/b/wt-foundation-production.appspot.com/o/measurements%2FMeasureMethod.ADM_FIXED_PCT%2FdbhPhoto%2F1773951475998?alt=media&amp;token=8d4df709-1c85-4481-831e-3b70c4704ba0" TargetMode="External"/><Relationship Id="rId208" Type="http://schemas.openxmlformats.org/officeDocument/2006/relationships/hyperlink" Target="https://firebasestorage.googleapis.com/v0/b/wt-foundation-production.appspot.com/o/measurements%2FMeasureMethod.ADM_FIXED_PCT%2Fdepth%2F1773896160637?alt=media&amp;token=7acdb7e2-5db0-4c94-ad2f-c7e0ebf6ccf4" TargetMode="External"/><Relationship Id="rId229" Type="http://schemas.openxmlformats.org/officeDocument/2006/relationships/hyperlink" Target="https://firebasestorage.googleapis.com/v0/b/wt-foundation-production.appspot.com/o/measurements%2FMeasureMethod.ADM_FIXED_PCT%2FdbhPhoto%2F1773950690391?alt=media&amp;token=3f6610cc-fef6-4940-aca1-a0fed9f588da" TargetMode="External"/><Relationship Id="rId240" Type="http://schemas.openxmlformats.org/officeDocument/2006/relationships/hyperlink" Target="https://firebasestorage.googleapis.com/v0/b/wt-foundation-production.appspot.com/o/measurements%2FMeasureMethod.ADM_FIXED_PCT%2FdbhPhoto%2F1781803681791?alt=media&amp;token=883649e1-3ec0-4c1a-8b68-55c50a2c1722" TargetMode="External"/><Relationship Id="rId261" Type="http://schemas.openxmlformats.org/officeDocument/2006/relationships/hyperlink" Target="https://firebasestorage.googleapis.com/v0/b/wt-foundation-production.appspot.com/o/measurements%2FMeasureMethod.ADM_FIXED_PCT%2FheightPhoto%2F1781803679000?alt=media&amp;token=81f6cf68-a8ab-414f-a2c6-3675690b0368" TargetMode="External"/><Relationship Id="rId14" Type="http://schemas.openxmlformats.org/officeDocument/2006/relationships/hyperlink" Target="https://firebasestorage.googleapis.com/v0/b/wt-foundation-production.appspot.com/o/measurements%2FMeasureMethod.ADM_FIXED_PCT%2FheightPhoto%2F1777662088609?alt=media&amp;token=0ba8bbdb-1454-4a6a-bc37-87701de0d5eb" TargetMode="External"/><Relationship Id="rId35" Type="http://schemas.openxmlformats.org/officeDocument/2006/relationships/hyperlink" Target="https://firebasestorage.googleapis.com/v0/b/wt-foundation-production.appspot.com/o/measurements%2FMeasureMethod.ADM_FIXED_PCT%2FdbhPhoto%2F1778276208933?alt=media&amp;token=e82a7b5c-4644-4835-9bf3-560ad4f68525" TargetMode="External"/><Relationship Id="rId56" Type="http://schemas.openxmlformats.org/officeDocument/2006/relationships/hyperlink" Target="https://firebasestorage.googleapis.com/v0/b/wt-foundation-production.appspot.com/o/measurements%2FMeasureMethod.ADM_FIXED_PCT%2FheightPhoto%2F1778276271162?alt=media&amp;token=b788a90f-bbf5-475f-8bc2-2864709d748b" TargetMode="External"/><Relationship Id="rId77" Type="http://schemas.openxmlformats.org/officeDocument/2006/relationships/hyperlink" Target="https://firebasestorage.googleapis.com/v0/b/wt-foundation-production.appspot.com/o/measurements%2FMeasureMethod.ADM_FIXED_PCT%2FdbhPhoto%2F1778363652834?alt=media&amp;token=d0f0fce7-8600-4868-b73b-4c9c5347e755" TargetMode="External"/><Relationship Id="rId100" Type="http://schemas.openxmlformats.org/officeDocument/2006/relationships/hyperlink" Target="https://firebasestorage.googleapis.com/v0/b/wt-foundation-production.appspot.com/o/measurements%2FMeasureMethod.ADM_FIXED_PCT%2FheightPhoto%2F1778363870554?alt=media&amp;token=ec51f1a7-40f5-464e-bf54-67db813d5982" TargetMode="External"/><Relationship Id="rId282" Type="http://schemas.openxmlformats.org/officeDocument/2006/relationships/hyperlink" Target="https://firebasestorage.googleapis.com/v0/b/wt-foundation-production.appspot.com/o/measurements%2FMeasureMethod.ADM_FIXED_PCT%2FdbhPhoto%2F1781838153243?alt=media&amp;token=fc262915-ce82-476d-a815-b4da732ef55f" TargetMode="External"/><Relationship Id="rId317" Type="http://schemas.openxmlformats.org/officeDocument/2006/relationships/hyperlink" Target="https://firebasestorage.googleapis.com/v0/b/wt-foundation-production.appspot.com/o/measurements%2FMeasureMethod.ADM_FIXED_PCT%2FheightPhoto%2F1781838558640?alt=media&amp;token=38a30a88-4177-4e5d-9a42-f4f6a42f7869" TargetMode="External"/><Relationship Id="rId8" Type="http://schemas.openxmlformats.org/officeDocument/2006/relationships/hyperlink" Target="https://firebasestorage.googleapis.com/v0/b/wt-foundation-production.appspot.com/o/measurements%2FMeasureMethod.ADM_FIXED_PCT%2FheightPhoto%2F1777661782039?alt=media&amp;token=84b9beca-7199-485b-a109-46aac9087233" TargetMode="External"/><Relationship Id="rId98" Type="http://schemas.openxmlformats.org/officeDocument/2006/relationships/hyperlink" Target="https://firebasestorage.googleapis.com/v0/b/wt-foundation-production.appspot.com/o/measurements%2FMeasureMethod.ADM_FIXED_PCT%2FheightPhoto%2F1778363862416?alt=media&amp;token=76ab5881-7552-4637-93bb-defe67be5720" TargetMode="External"/><Relationship Id="rId121" Type="http://schemas.openxmlformats.org/officeDocument/2006/relationships/hyperlink" Target="https://firebasestorage.googleapis.com/v0/b/wt-foundation-production.appspot.com/o/measurements%2FMeasureMethod.ADM_FIXED_PCT%2FdbhPhoto%2F1778363934722?alt=media&amp;token=49019678-eeb9-4c52-ab19-f29ad5a6aa45" TargetMode="External"/><Relationship Id="rId142" Type="http://schemas.openxmlformats.org/officeDocument/2006/relationships/hyperlink" Target="https://firebasestorage.googleapis.com/v0/b/wt-foundation-production.appspot.com/o/measurements%2FMeasureMethod.ADM_FIXED_PCT%2FheightPhoto%2F1778365537275?alt=media&amp;token=9aa0c799-0287-4878-b2b0-42c8af489362" TargetMode="External"/><Relationship Id="rId163" Type="http://schemas.openxmlformats.org/officeDocument/2006/relationships/hyperlink" Target="https://firebasestorage.googleapis.com/v0/b/wt-foundation-production.appspot.com/o/measurements%2FMeasureMethod.ADM_FIXED_PCT%2FdbhPhoto%2F1778399379395?alt=media&amp;token=c0ce81dc-fb4a-4f88-9f95-7dc72fef7e62" TargetMode="External"/><Relationship Id="rId184" Type="http://schemas.openxmlformats.org/officeDocument/2006/relationships/hyperlink" Target="https://firebasestorage.googleapis.com/v0/b/wt-foundation-production.appspot.com/o/measurements%2FMeasureMethod.ADM_FIXED_PCT%2Fdepth%2F1773950852732?alt=media&amp;token=abad8556-3b30-42da-94e1-491b9f1f0cde" TargetMode="External"/><Relationship Id="rId219" Type="http://schemas.openxmlformats.org/officeDocument/2006/relationships/hyperlink" Target="https://firebasestorage.googleapis.com/v0/b/wt-foundation-production.appspot.com/o/measurements%2FMeasureMethod.ADM_FIXED_PCT%2FdbhPhoto%2F1781723886398?alt=media&amp;token=0fc6db81-1de6-4148-949f-11b542db2286" TargetMode="External"/><Relationship Id="rId230" Type="http://schemas.openxmlformats.org/officeDocument/2006/relationships/hyperlink" Target="https://firebasestorage.googleapis.com/v0/b/wt-foundation-production.appspot.com/o/measurements%2FMeasureMethod.ADM_FIXED_PCT%2FdbhPhoto%2F1781838087715?alt=media&amp;token=078f12dd-b707-4dda-bb15-fe739c2545ae" TargetMode="External"/><Relationship Id="rId251" Type="http://schemas.openxmlformats.org/officeDocument/2006/relationships/hyperlink" Target="https://firebasestorage.googleapis.com/v0/b/wt-foundation-production.appspot.com/o/measurements%2FMeasureMethod.ADM_FIXED_PCT%2FdbhPhoto%2F1781838080054?alt=media&amp;token=fa394964-ba4c-4503-94be-f5ce773dce2d" TargetMode="External"/><Relationship Id="rId25" Type="http://schemas.openxmlformats.org/officeDocument/2006/relationships/hyperlink" Target="https://firebasestorage.googleapis.com/v0/b/wt-foundation-production.appspot.com/o/measurements%2FMeasureMethod.ADM_FIXED_PCT%2FdbhPhoto%2F1777664754270?alt=media&amp;token=f8de0272-7b7d-48ba-8cb8-59f0406e23b9" TargetMode="External"/><Relationship Id="rId46" Type="http://schemas.openxmlformats.org/officeDocument/2006/relationships/hyperlink" Target="https://firebasestorage.googleapis.com/v0/b/wt-foundation-production.appspot.com/o/measurements%2FMeasureMethod.ADM_FIXED_PCT%2FheightPhoto%2F1778276229204?alt=media&amp;token=29eb8298-7cf0-4613-a311-7eff7b457abd" TargetMode="External"/><Relationship Id="rId67" Type="http://schemas.openxmlformats.org/officeDocument/2006/relationships/hyperlink" Target="https://firebasestorage.googleapis.com/v0/b/wt-foundation-production.appspot.com/o/measurements%2FMeasureMethod.ADM_FIXED_PCT%2FdbhPhoto%2F1778276303232?alt=media&amp;token=e4e2bb0d-4ca4-41db-ad50-16c8f253afae" TargetMode="External"/><Relationship Id="rId272" Type="http://schemas.openxmlformats.org/officeDocument/2006/relationships/hyperlink" Target="https://firebasestorage.googleapis.com/v0/b/wt-foundation-production.appspot.com/o/measurements%2FMeasureMethod.ADM_FIXED_PCT%2FheightPhoto%2F1781838054407?alt=media&amp;token=cb43cda5-16f5-4933-9f19-250c557ff1dd" TargetMode="External"/><Relationship Id="rId293" Type="http://schemas.openxmlformats.org/officeDocument/2006/relationships/hyperlink" Target="https://firebasestorage.googleapis.com/v0/b/wt-foundation-production.appspot.com/o/measurements%2FMeasureMethod.ADM_FIXED_PCT%2FheightPhoto%2F1781838262286?alt=media&amp;token=b00a336e-fd97-436c-954e-e3eb91f1963e" TargetMode="External"/><Relationship Id="rId307" Type="http://schemas.openxmlformats.org/officeDocument/2006/relationships/hyperlink" Target="https://services1.arcgis.com/0j6vZbECadDEXdAS/arcgis/rest/services/GEDI_Footprint_1_trees/FeatureServer/0/54/attachments/47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&amp;s=865712" TargetMode="External"/><Relationship Id="rId88" Type="http://schemas.openxmlformats.org/officeDocument/2006/relationships/hyperlink" Target="https://firebasestorage.googleapis.com/v0/b/wt-foundation-production.appspot.com/o/measurements%2FMeasureMethod.ADM_FIXED_PCT%2FheightPhoto%2F1778363833038?alt=media&amp;token=b3672d3a-d5a9-4d5b-8bed-eaf33b8ed76f" TargetMode="External"/><Relationship Id="rId111" Type="http://schemas.openxmlformats.org/officeDocument/2006/relationships/hyperlink" Target="https://firebasestorage.googleapis.com/v0/b/wt-foundation-production.appspot.com/o/measurements%2FMeasureMethod.ADM_FIXED_PCT%2FdbhPhoto%2F1778363897260?alt=media&amp;token=aadc91c7-ef7c-4ab0-a081-87f47115a032" TargetMode="External"/><Relationship Id="rId132" Type="http://schemas.openxmlformats.org/officeDocument/2006/relationships/hyperlink" Target="https://firebasestorage.googleapis.com/v0/b/wt-foundation-production.appspot.com/o/measurements%2FMeasureMethod.ADM_FIXED_PCT%2FheightPhoto%2F1778365515879?alt=media&amp;token=0d63092e-e579-41d9-8c0c-4608ca634ddb" TargetMode="External"/><Relationship Id="rId153" Type="http://schemas.openxmlformats.org/officeDocument/2006/relationships/hyperlink" Target="https://firebasestorage.googleapis.com/v0/b/wt-foundation-production.appspot.com/o/measurements%2FMeasureMethod.ADM_FIXED_PCT%2FdbhPhoto%2F1778399354590?alt=media&amp;token=6c833d7a-68cf-4199-96d8-0440e5d0e9fe" TargetMode="External"/><Relationship Id="rId174" Type="http://schemas.openxmlformats.org/officeDocument/2006/relationships/hyperlink" Target="https://firebasestorage.googleapis.com/v0/b/wt-foundation-production.appspot.com/o/measurements%2FMeasureMethod.ADM_FIXED_PCT%2FheightPhoto%2F1773950758182?alt=media&amp;token=0889b749-7f4e-4409-80ef-4d18e98c4a11" TargetMode="External"/><Relationship Id="rId195" Type="http://schemas.openxmlformats.org/officeDocument/2006/relationships/hyperlink" Target="https://firebasestorage.googleapis.com/v0/b/wt-foundation-production.appspot.com/o/measurements%2FMeasureMethod.ADM_FIXED_PCT%2FheightPhoto%2F1773951470090?alt=media&amp;token=76f658b1-f30f-4bd0-aafd-f84ec5fd0ffe" TargetMode="External"/><Relationship Id="rId209" Type="http://schemas.openxmlformats.org/officeDocument/2006/relationships/hyperlink" Target="https://firebasestorage.googleapis.com/v0/b/wt-foundation-production.appspot.com/o/measurements%2FMeasureMethod.ADM_FIXED_PCT%2FdbhPhoto%2F1773896233465?alt=media&amp;token=033c44e3-86c4-420a-8514-869a443f380b" TargetMode="External"/><Relationship Id="rId220" Type="http://schemas.openxmlformats.org/officeDocument/2006/relationships/hyperlink" Target="https://firebasestorage.googleapis.com/v0/b/wt-foundation-production.appspot.com/o/measurements%2FMeasureMethod.ADM_FIXED_PCT%2FdbhPhoto%2F1781723888018?alt=media&amp;token=1f553501-c091-40be-a3f8-8601df7a882a" TargetMode="External"/><Relationship Id="rId241" Type="http://schemas.openxmlformats.org/officeDocument/2006/relationships/hyperlink" Target="https://firebasestorage.googleapis.com/v0/b/wt-foundation-production.appspot.com/o/measurements%2FMeasureMethod.ADM_FIXED_PCT%2FdbhPhoto%2F1781803683851?alt=media&amp;token=71bc3cfb-0d6f-4d20-965c-fe9077ff7d06" TargetMode="External"/><Relationship Id="rId15" Type="http://schemas.openxmlformats.org/officeDocument/2006/relationships/hyperlink" Target="https://firebasestorage.googleapis.com/v0/b/wt-foundation-production.appspot.com/o/measurements%2FMeasureMethod.ADM_FIXED_PCT%2FdbhPhoto%2F1777662461728?alt=media&amp;token=f97f008d-a028-486d-8b03-aee3483d2f3d" TargetMode="External"/><Relationship Id="rId36" Type="http://schemas.openxmlformats.org/officeDocument/2006/relationships/hyperlink" Target="https://firebasestorage.googleapis.com/v0/b/wt-foundation-production.appspot.com/o/measurements%2FMeasureMethod.ADM_FIXED_PCT%2FheightPhoto%2F1778276205596?alt=media&amp;token=59381756-e50b-49ab-af78-108c4dfd4e27" TargetMode="External"/><Relationship Id="rId57" Type="http://schemas.openxmlformats.org/officeDocument/2006/relationships/hyperlink" Target="https://firebasestorage.googleapis.com/v0/b/wt-foundation-production.appspot.com/o/measurements%2FMeasureMethod.ADM_FIXED_PCT%2FdbhPhoto%2F1778276278237?alt=media&amp;token=37becf67-e55c-4513-904d-a781d7604fb8" TargetMode="External"/><Relationship Id="rId262" Type="http://schemas.openxmlformats.org/officeDocument/2006/relationships/hyperlink" Target="https://firebasestorage.googleapis.com/v0/b/wt-foundation-production.appspot.com/o/measurements%2FMeasureMethod.ADM_FIXED_PCT%2FheightPhoto%2F1781803681019?alt=media&amp;token=6484eb2b-a6e6-48bd-89bc-ad69e3d4fd52" TargetMode="External"/><Relationship Id="rId283" Type="http://schemas.openxmlformats.org/officeDocument/2006/relationships/hyperlink" Target="https://firebasestorage.googleapis.com/v0/b/wt-foundation-production.appspot.com/o/measurements%2FMeasureMethod.ADM_FIXED_PCT%2FheightPhoto%2F1781838152387?alt=media&amp;token=1b87b20a-f44c-4b44-a7df-94d2db123a24" TargetMode="External"/><Relationship Id="rId318" Type="http://schemas.openxmlformats.org/officeDocument/2006/relationships/hyperlink" Target="https://firebasestorage.googleapis.com/v0/b/wt-foundation-production.appspot.com/o/measurements%2FMeasureMethod.ADM_FIXED_PCT%2FdbhPhoto%2F1781838548751?alt=media&amp;token=4c306765-8331-4e71-830a-cc95919dde39" TargetMode="External"/><Relationship Id="rId78" Type="http://schemas.openxmlformats.org/officeDocument/2006/relationships/hyperlink" Target="https://firebasestorage.googleapis.com/v0/b/wt-foundation-production.appspot.com/o/measurements%2FMeasureMethod.ADM_FIXED_PCT%2FheightPhoto%2F1778363649192?alt=media&amp;token=4eab073e-31fe-4130-8851-77b66bc0539f" TargetMode="External"/><Relationship Id="rId99" Type="http://schemas.openxmlformats.org/officeDocument/2006/relationships/hyperlink" Target="https://firebasestorage.googleapis.com/v0/b/wt-foundation-production.appspot.com/o/measurements%2FMeasureMethod.ADM_FIXED_PCT%2FdbhPhoto%2F1778363872294?alt=media&amp;token=0fb36779-13df-4d6d-aa4a-23b5f7124e4c" TargetMode="External"/><Relationship Id="rId101" Type="http://schemas.openxmlformats.org/officeDocument/2006/relationships/hyperlink" Target="https://firebasestorage.googleapis.com/v0/b/wt-foundation-production.appspot.com/o/measurements%2FMeasureMethod.ADM_FIXED_PCT%2FdbhPhoto%2F1778363876984?alt=media&amp;token=e8c68657-5854-4ae9-bf36-7da814601836" TargetMode="External"/><Relationship Id="rId122" Type="http://schemas.openxmlformats.org/officeDocument/2006/relationships/hyperlink" Target="https://firebasestorage.googleapis.com/v0/b/wt-foundation-production.appspot.com/o/measurements%2FMeasureMethod.ADM_FIXED_PCT%2FheightPhoto%2F1778363932792?alt=media&amp;token=43ade469-bd98-42f8-9889-158f401f5cda" TargetMode="External"/><Relationship Id="rId143" Type="http://schemas.openxmlformats.org/officeDocument/2006/relationships/hyperlink" Target="https://firebasestorage.googleapis.com/v0/b/wt-foundation-production.appspot.com/o/measurements%2FMeasureMethod.ADM_FIXED_PCT%2FdbhPhoto%2F1778399388616?alt=media&amp;token=f46a355e-cec8-4204-9ae3-2bd207c061c7" TargetMode="External"/><Relationship Id="rId164" Type="http://schemas.openxmlformats.org/officeDocument/2006/relationships/hyperlink" Target="https://firebasestorage.googleapis.com/v0/b/wt-foundation-production.appspot.com/o/measurements%2FMeasureMethod.ADM_FIXED_PCT%2FheightPhoto%2F1778399376559?alt=media&amp;token=854ad24e-4baf-4fd6-a49e-8bb491f87b1c" TargetMode="External"/><Relationship Id="rId185" Type="http://schemas.openxmlformats.org/officeDocument/2006/relationships/hyperlink" Target="https://firebasestorage.googleapis.com/v0/b/wt-foundation-production.appspot.com/o/measurements%2FMeasureMethod.ADM_FIXED_PCT%2FdbhPhoto%2F1773950876360?alt=media&amp;token=1688dc70-1ebf-4bfa-8ab4-dcb80155a149" TargetMode="External"/><Relationship Id="rId9" Type="http://schemas.openxmlformats.org/officeDocument/2006/relationships/hyperlink" Target="https://firebasestorage.googleapis.com/v0/b/wt-foundation-production.appspot.com/o/measurements%2FMeasureMethod.ADM_FIXED_PCT%2FdbhPhoto%2F1777661861627?alt=media&amp;token=99a05685-049d-4ad5-afad-0f198820a8f5" TargetMode="External"/><Relationship Id="rId210" Type="http://schemas.openxmlformats.org/officeDocument/2006/relationships/hyperlink" Target="https://firebasestorage.googleapis.com/v0/b/wt-foundation-production.appspot.com/o/measurements%2FMeasureMethod.ADM_FIXED_PCT%2FheightPhoto%2F1773896225606?alt=media&amp;token=ef6e46b9-d5f6-4e6b-a1a1-64393b4e31f8" TargetMode="External"/><Relationship Id="rId26" Type="http://schemas.openxmlformats.org/officeDocument/2006/relationships/hyperlink" Target="https://firebasestorage.googleapis.com/v0/b/wt-foundation-production.appspot.com/o/measurements%2FMeasureMethod.ADM_FIXED_PCT%2FheightPhoto%2F1777664741672?alt=media&amp;token=783e30f1-0d99-41e4-95ee-1434a8d4c0b6" TargetMode="External"/><Relationship Id="rId231" Type="http://schemas.openxmlformats.org/officeDocument/2006/relationships/hyperlink" Target="https://firebasestorage.googleapis.com/v0/b/wt-foundation-production.appspot.com/o/measurements%2FMeasureMethod.ADM_FIXED_PCT%2FheightPhoto%2F1781838085111?alt=media&amp;token=4bf2f986-467c-461c-b779-692256a89fee" TargetMode="External"/><Relationship Id="rId252" Type="http://schemas.openxmlformats.org/officeDocument/2006/relationships/hyperlink" Target="https://firebasestorage.googleapis.com/v0/b/wt-foundation-production.appspot.com/o/measurements%2FMeasureMethod.ADM_FIXED_PCT%2FdbhPhoto%2F1781803660211?alt=media&amp;token=f11489ce-0e2b-4c2a-8141-d9eacd666b2a" TargetMode="External"/><Relationship Id="rId273" Type="http://schemas.openxmlformats.org/officeDocument/2006/relationships/hyperlink" Target="https://firebasestorage.googleapis.com/v0/b/wt-foundation-production.appspot.com/o/measurements%2FMeasureMethod.ADM_FIXED_PCT%2FheightPhoto%2F1781838070841?alt=media&amp;token=2a10d3a1-c6bf-4ceb-801c-4fe866d8c16e" TargetMode="External"/><Relationship Id="rId294" Type="http://schemas.openxmlformats.org/officeDocument/2006/relationships/hyperlink" Target="https://firebasestorage.googleapis.com/v0/b/wt-foundation-production.appspot.com/o/measurements%2FMeasureMethod.ADM_FIXED_PCT%2FheightPhoto%2F1781838290627?alt=media&amp;token=c8262178-ea2c-4d63-accb-f44ce9593c0a" TargetMode="External"/><Relationship Id="rId308" Type="http://schemas.openxmlformats.org/officeDocument/2006/relationships/hyperlink" Target="https://firebasestorage.googleapis.com/v0/b/wt-foundation-production.appspot.com/o/measurements%2FMeasureMethod.ADM_FIXED_PCT%2FdbhPhoto%2F1781838544256?alt=media&amp;token=08517458-fdf3-4a5c-8ae4-81e682133067" TargetMode="External"/><Relationship Id="rId47" Type="http://schemas.openxmlformats.org/officeDocument/2006/relationships/hyperlink" Target="https://firebasestorage.googleapis.com/v0/b/wt-foundation-production.appspot.com/o/measurements%2FMeasureMethod.ADM_FIXED_PCT%2FdbhPhoto%2F1778276237270?alt=media&amp;token=7aca114c-24d7-469c-b877-91782437fb0d" TargetMode="External"/><Relationship Id="rId68" Type="http://schemas.openxmlformats.org/officeDocument/2006/relationships/hyperlink" Target="https://firebasestorage.googleapis.com/v0/b/wt-foundation-production.appspot.com/o/measurements%2FMeasureMethod.ADM_FIXED_PCT%2FheightPhoto%2F1778276301825?alt=media&amp;token=14adc0e1-15c6-4ae2-b4d6-3f2d59f00588" TargetMode="External"/><Relationship Id="rId89" Type="http://schemas.openxmlformats.org/officeDocument/2006/relationships/hyperlink" Target="https://firebasestorage.googleapis.com/v0/b/wt-foundation-production.appspot.com/o/measurements%2FMeasureMethod.ADM_FIXED_PCT%2FdbhPhoto%2F1778363842465?alt=media&amp;token=30ef3cce-e7b4-4297-8a69-7fd9225ba529" TargetMode="External"/><Relationship Id="rId112" Type="http://schemas.openxmlformats.org/officeDocument/2006/relationships/hyperlink" Target="https://firebasestorage.googleapis.com/v0/b/wt-foundation-production.appspot.com/o/measurements%2FMeasureMethod.ADM_FIXED_PCT%2FheightPhoto%2F1778363896862?alt=media&amp;token=e8ed65a8-057b-49f3-96b4-45e167ba3c6d" TargetMode="External"/><Relationship Id="rId133" Type="http://schemas.openxmlformats.org/officeDocument/2006/relationships/hyperlink" Target="https://firebasestorage.googleapis.com/v0/b/wt-foundation-production.appspot.com/o/measurements%2FMeasureMethod.ADM_FIXED_PCT%2FdbhPhoto%2F1778365524505?alt=media&amp;token=9c4ff805-9097-4b9d-bd01-4a359cec7b7b" TargetMode="External"/><Relationship Id="rId154" Type="http://schemas.openxmlformats.org/officeDocument/2006/relationships/hyperlink" Target="https://firebasestorage.googleapis.com/v0/b/wt-foundation-production.appspot.com/o/measurements%2FMeasureMethod.ADM_FIXED_PCT%2FheightPhoto%2F1778399341042?alt=media&amp;token=bac1c5e0-a79c-4d2f-9a0a-050177420c9f" TargetMode="External"/><Relationship Id="rId175" Type="http://schemas.openxmlformats.org/officeDocument/2006/relationships/hyperlink" Target="https://firebasestorage.googleapis.com/v0/b/wt-foundation-production.appspot.com/o/measurements%2FMeasureMethod.ADM_FIXED_PCT%2Fdepth%2F1773950772435?alt=media&amp;token=f39bc85f-f3dd-48ec-99d3-d35ef6ee6b9c" TargetMode="External"/><Relationship Id="rId196" Type="http://schemas.openxmlformats.org/officeDocument/2006/relationships/hyperlink" Target="https://firebasestorage.googleapis.com/v0/b/wt-foundation-production.appspot.com/o/measurements%2FMeasureMethod.ADM_FIXED_PCT%2Fdepth%2F1773951479108?alt=media&amp;token=cd5b6d3e-c7fb-46e4-829e-91bc6bfc5aaf" TargetMode="External"/><Relationship Id="rId200" Type="http://schemas.openxmlformats.org/officeDocument/2006/relationships/hyperlink" Target="https://firebasestorage.googleapis.com/v0/b/wt-foundation-production.appspot.com/o/measurements%2FMeasureMethod.ADM_FIXED_PCT%2FdbhPhoto%2F1773950592728?alt=media&amp;token=9fc8f863-6b5d-46dc-b542-970237acaa40" TargetMode="External"/><Relationship Id="rId16" Type="http://schemas.openxmlformats.org/officeDocument/2006/relationships/hyperlink" Target="https://firebasestorage.googleapis.com/v0/b/wt-foundation-production.appspot.com/o/measurements%2FMeasureMethod.ADM_FIXED_PCT%2FheightPhoto%2F1777662451138?alt=media&amp;token=2aeaef18-fc62-4515-9cbf-2d3fe497067a" TargetMode="External"/><Relationship Id="rId221" Type="http://schemas.openxmlformats.org/officeDocument/2006/relationships/hyperlink" Target="https://firebasestorage.googleapis.com/v0/b/wt-foundation-production.appspot.com/o/measurements%2FMeasureMethod.ADM_FIXED_PCT%2FheightPhoto%2F1781723886721?alt=media&amp;token=434746d1-42a9-46bf-9e25-6f5061f53c50" TargetMode="External"/><Relationship Id="rId242" Type="http://schemas.openxmlformats.org/officeDocument/2006/relationships/hyperlink" Target="https://firebasestorage.googleapis.com/v0/b/wt-foundation-production.appspot.com/o/measurements%2FMeasureMethod.ADM_FIXED_PCT%2FdbhPhoto%2F1781803685800?alt=media&amp;token=83d0e0fe-804b-40ec-94e7-f5cdb387ef40" TargetMode="External"/><Relationship Id="rId263" Type="http://schemas.openxmlformats.org/officeDocument/2006/relationships/hyperlink" Target="https://firebasestorage.googleapis.com/v0/b/wt-foundation-production.appspot.com/o/measurements%2FMeasureMethod.ADM_FIXED_PCT%2FheightPhoto%2F1781803682843?alt=media&amp;token=177f28bc-ca90-4015-a62a-5c2dc2725dde" TargetMode="External"/><Relationship Id="rId284" Type="http://schemas.openxmlformats.org/officeDocument/2006/relationships/hyperlink" Target="https://services1.arcgis.com/0j6vZbECadDEXdAS/arcgis/rest/services/GEDI_Footprint_1_trees/FeatureServer/0/49/attachments/42?token=abSypVu6DLSDSfkNbwn8yiw..1YtW_stEWnveCwxuWHb554rKL8Hu0KKBgwsNi4y7N9D8aEfe6TyTsFYLWXbW-C1LH5Q9fSakJMFVlH6w51AnZ0FApoWOiu5ozUXWLt1ItgoiHFj8Kdrb8xijvSQVFl01T7jNf3QbIKe_eL8LxZqgvOeHRw3lwqUruvnICnwyeJjXzCNXLAo5EJQjnZpEGxbX7Gz2TFo1uvbmMJVbisnTIhOFAKANYGUU8fziN159jpJiN_AoPlzckimImAyazeOrPOT_APsBbvzN0-Dj5iaacziJBLQuc3R8Xk8ymgTniCXNiUT6CCvJTnZ_e_aw-HAObGPQnxlPS4FJG2D_VDVu&amp;s=815744" TargetMode="External"/><Relationship Id="rId319" Type="http://schemas.openxmlformats.org/officeDocument/2006/relationships/hyperlink" Target="https://firebasestorage.googleapis.com/v0/b/wt-foundation-production.appspot.com/o/measurements%2FMeasureMethod.ADM_FIXED_PCT%2FheightPhoto%2F1781838546591?alt=media&amp;token=6ee48ded-72eb-4486-ae08-06b0a926aa4a" TargetMode="External"/><Relationship Id="rId37" Type="http://schemas.openxmlformats.org/officeDocument/2006/relationships/hyperlink" Target="https://firebasestorage.googleapis.com/v0/b/wt-foundation-production.appspot.com/o/measurements%2FMeasureMethod.ADM_FIXED_PCT%2FdbhPhoto%2F1778276211201?alt=media&amp;token=7227e301-ff19-481d-aa01-f90bff5eee18" TargetMode="External"/><Relationship Id="rId58" Type="http://schemas.openxmlformats.org/officeDocument/2006/relationships/hyperlink" Target="https://firebasestorage.googleapis.com/v0/b/wt-foundation-production.appspot.com/o/measurements%2FMeasureMethod.ADM_FIXED_PCT%2FheightPhoto%2F1778276275617?alt=media&amp;token=e341f9eb-a05a-4f5d-83cc-7ea35a058a86" TargetMode="External"/><Relationship Id="rId79" Type="http://schemas.openxmlformats.org/officeDocument/2006/relationships/hyperlink" Target="https://firebasestorage.googleapis.com/v0/b/wt-foundation-production.appspot.com/o/measurements%2FMeasureMethod.ADM_FIXED_PCT%2FdbhPhoto%2F1778363669017?alt=media&amp;token=0508e443-303d-4c79-b41e-47ac585b028b" TargetMode="External"/><Relationship Id="rId102" Type="http://schemas.openxmlformats.org/officeDocument/2006/relationships/hyperlink" Target="https://firebasestorage.googleapis.com/v0/b/wt-foundation-production.appspot.com/o/measurements%2FMeasureMethod.ADM_FIXED_PCT%2FheightPhoto%2F1778363874424?alt=media&amp;token=0ce15009-556d-4d78-95df-778189f18a0e" TargetMode="External"/><Relationship Id="rId123" Type="http://schemas.openxmlformats.org/officeDocument/2006/relationships/hyperlink" Target="https://firebasestorage.googleapis.com/v0/b/wt-foundation-production.appspot.com/o/measurements%2FMeasureMethod.ADM_FIXED_PCT%2FdbhPhoto%2F1778363939640?alt=media&amp;token=d83513e7-c0e8-416e-9f92-0eecb62bf9ab" TargetMode="External"/><Relationship Id="rId144" Type="http://schemas.openxmlformats.org/officeDocument/2006/relationships/hyperlink" Target="https://firebasestorage.googleapis.com/v0/b/wt-foundation-production.appspot.com/o/measurements%2FMeasureMethod.ADM_FIXED_PCT%2FheightPhoto%2F1778399386457?alt=media&amp;token=8062ded1-e43d-4936-950a-0d6a67d2b1c0" TargetMode="External"/><Relationship Id="rId90" Type="http://schemas.openxmlformats.org/officeDocument/2006/relationships/hyperlink" Target="https://firebasestorage.googleapis.com/v0/b/wt-foundation-production.appspot.com/o/measurements%2FMeasureMethod.ADM_FIXED_PCT%2FheightPhoto%2F1778363840710?alt=media&amp;token=be09be1d-be9a-4035-98cc-3f33369f7eae" TargetMode="External"/><Relationship Id="rId165" Type="http://schemas.openxmlformats.org/officeDocument/2006/relationships/hyperlink" Target="https://firebasestorage.googleapis.com/v0/b/wt-foundation-production.appspot.com/o/measurements%2FMeasureMethod.ADM_FIXED_PCT%2FdbhPhoto%2F1773950627145?alt=media&amp;token=ba0061e8-12aa-428c-b0c8-741ef09d533e" TargetMode="External"/><Relationship Id="rId186" Type="http://schemas.openxmlformats.org/officeDocument/2006/relationships/hyperlink" Target="https://firebasestorage.googleapis.com/v0/b/wt-foundation-production.appspot.com/o/measurements%2FMeasureMethod.ADM_FIXED_PCT%2FheightPhoto%2F1773950859411?alt=media&amp;token=866c1a6e-abd2-4a53-847a-1e064672b9ba" TargetMode="External"/><Relationship Id="rId211" Type="http://schemas.openxmlformats.org/officeDocument/2006/relationships/hyperlink" Target="https://firebasestorage.googleapis.com/v0/b/wt-foundation-production.appspot.com/o/measurements%2FMeasureMethod.ADM_FIXED_PCT%2Fdepth%2F1773896235794?alt=media&amp;token=a60fdfca-41f5-452e-8698-16730d3936c1" TargetMode="External"/><Relationship Id="rId232" Type="http://schemas.openxmlformats.org/officeDocument/2006/relationships/hyperlink" Target="https://firebasestorage.googleapis.com/v0/b/wt-foundation-production.appspot.com/o/measurements%2FMeasureMethod.ADM_FIXED_PCT%2FdbhPhoto%2F1781838116119?alt=media&amp;token=ec9b0285-bff8-4df6-a1bb-8e6653f6def4" TargetMode="External"/><Relationship Id="rId253" Type="http://schemas.openxmlformats.org/officeDocument/2006/relationships/hyperlink" Target="https://firebasestorage.googleapis.com/v0/b/wt-foundation-production.appspot.com/o/measurements%2FMeasureMethod.ADM_FIXED_PCT%2FdbhPhoto%2F1781803662280?alt=media&amp;token=71f543a3-2c28-4815-b8c1-bb106c58b188" TargetMode="External"/><Relationship Id="rId274" Type="http://schemas.openxmlformats.org/officeDocument/2006/relationships/hyperlink" Target="https://services1.arcgis.com/0j6vZbECadDEXdAS/arcgis/rest/services/GEDI_Footprint_1_trees/FeatureServer/0/98/attachments/30?token=ao52L_k31BAKY8Blc2HzENw..O9GosqdA_uLMr3_qcHp1IExuwOyNhBhE2kaJtWGrkrfU_7PxE-CbCmoS6xuVQ8-RpV3svAW4k--oZty_ddXwUYMPCXQYgwAfghLlc9_L7Xzjg_09ryHXrxQNlNZbjp4D9tgeMLw3Oz9bVLaj2CcnAHrdsq31S_0-iZNMVbrJPclTNM4CfF_KA8jU1fxI0H34fbwceJYm3yRpywB6NT_lTmaTJyGaYirf7UmC_iVIyMY5ouQtagS0uMPkARx3Hbxm798eN_pLBisiETqbp9SpG-VbtNEXDGcfn0WWTk6DYwYcAw87XMFuBJwDOPJNvaGris9giDDOaf2yM4xQJSR3" TargetMode="External"/><Relationship Id="rId295" Type="http://schemas.openxmlformats.org/officeDocument/2006/relationships/hyperlink" Target="https://firebasestorage.googleapis.com/v0/b/wt-foundation-production.appspot.com/o/measurements%2FMeasureMethod.ADM_FIXED_PCT%2FdbhPhoto%2F1781838528274?alt=media&amp;token=86bfb70e-69be-476d-a94b-a124a42d5226" TargetMode="External"/><Relationship Id="rId309" Type="http://schemas.openxmlformats.org/officeDocument/2006/relationships/hyperlink" Target="https://firebasestorage.googleapis.com/v0/b/wt-foundation-production.appspot.com/o/measurements%2FMeasureMethod.ADM_FIXED_PCT%2FheightPhoto%2F1781838541191?alt=media&amp;token=27ef3407-41fb-48bf-a6b4-9047f19163a9" TargetMode="External"/><Relationship Id="rId27" Type="http://schemas.openxmlformats.org/officeDocument/2006/relationships/hyperlink" Target="https://firebasestorage.googleapis.com/v0/b/wt-foundation-production.appspot.com/o/measurements%2FMeasureMethod.ADM_FIXED_PCT%2FdbhPhoto%2F1778276027634?alt=media&amp;token=ee763374-119c-4174-bef6-543ec39089bd" TargetMode="External"/><Relationship Id="rId48" Type="http://schemas.openxmlformats.org/officeDocument/2006/relationships/hyperlink" Target="https://firebasestorage.googleapis.com/v0/b/wt-foundation-production.appspot.com/o/measurements%2FMeasureMethod.ADM_FIXED_PCT%2FheightPhoto%2F1778276233811?alt=media&amp;token=fda8322d-420c-492e-80d5-3128f0dc7835" TargetMode="External"/><Relationship Id="rId69" Type="http://schemas.openxmlformats.org/officeDocument/2006/relationships/hyperlink" Target="https://firebasestorage.googleapis.com/v0/b/wt-foundation-production.appspot.com/o/measurements%2FMeasureMethod.ADM_FIXED_PCT%2FdbhPhoto%2F1778363576152?alt=media&amp;token=de70695e-45b8-4400-864d-680252aa49f9" TargetMode="External"/><Relationship Id="rId113" Type="http://schemas.openxmlformats.org/officeDocument/2006/relationships/hyperlink" Target="https://firebasestorage.googleapis.com/v0/b/wt-foundation-production.appspot.com/o/measurements%2FMeasureMethod.ADM_FIXED_PCT%2FdbhPhoto%2F1778363899911?alt=media&amp;token=2c8a7012-c177-4319-be51-a1a326c1d24e" TargetMode="External"/><Relationship Id="rId134" Type="http://schemas.openxmlformats.org/officeDocument/2006/relationships/hyperlink" Target="https://firebasestorage.googleapis.com/v0/b/wt-foundation-production.appspot.com/o/measurements%2FMeasureMethod.ADM_FIXED_PCT%2FheightPhoto%2F1778365521836?alt=media&amp;token=af78d634-f47a-4c68-8e0a-98915820d04f" TargetMode="External"/><Relationship Id="rId320" Type="http://schemas.openxmlformats.org/officeDocument/2006/relationships/drawing" Target="../drawings/drawing2.xml"/><Relationship Id="rId80" Type="http://schemas.openxmlformats.org/officeDocument/2006/relationships/hyperlink" Target="https://firebasestorage.googleapis.com/v0/b/wt-foundation-production.appspot.com/o/measurements%2FMeasureMethod.ADM_FIXED_PCT%2FheightPhoto%2F1778363655918?alt=media&amp;token=13db40e7-5c35-46af-af7e-3c64e9eec336" TargetMode="External"/><Relationship Id="rId155" Type="http://schemas.openxmlformats.org/officeDocument/2006/relationships/hyperlink" Target="https://firebasestorage.googleapis.com/v0/b/wt-foundation-production.appspot.com/o/measurements%2FMeasureMethod.ADM_FIXED_PCT%2FdbhPhoto%2F1778399359816?alt=media&amp;token=22743d60-0b10-437f-9ebc-4ab28c13bf7c" TargetMode="External"/><Relationship Id="rId176" Type="http://schemas.openxmlformats.org/officeDocument/2006/relationships/hyperlink" Target="https://firebasestorage.googleapis.com/v0/b/wt-foundation-production.appspot.com/o/measurements%2FMeasureMethod.ADM_FIXED_PCT%2FdbhPhoto%2F1773950786629?alt=media&amp;token=cfa941c3-bca8-4974-9ebc-cce955dbd390" TargetMode="External"/><Relationship Id="rId197" Type="http://schemas.openxmlformats.org/officeDocument/2006/relationships/hyperlink" Target="https://firebasestorage.googleapis.com/v0/b/wt-foundation-production.appspot.com/o/measurements%2FMeasureMethod.ADM_FIXED_PCT%2FdbhPhoto%2F1773951487781?alt=media&amp;token=a601171a-2131-44ae-acf3-b126a30a4c38" TargetMode="External"/><Relationship Id="rId201" Type="http://schemas.openxmlformats.org/officeDocument/2006/relationships/hyperlink" Target="https://firebasestorage.googleapis.com/v0/b/wt-foundation-production.appspot.com/o/measurements%2FMeasureMethod.ADM_FIXED_PCT%2FheightPhoto%2F1773950588554?alt=media&amp;token=d7f07d37-8460-4836-80ac-d58aa1491888" TargetMode="External"/><Relationship Id="rId222" Type="http://schemas.openxmlformats.org/officeDocument/2006/relationships/hyperlink" Target="https://firebasestorage.googleapis.com/v0/b/wt-foundation-production.appspot.com/o/measurements%2FMeasureMethod.ADM_FIXED_PCT%2FdbhPhoto%2F1781723889280?alt=media&amp;token=6f008db5-d1a7-4dd5-bdcd-0c592a295b8d" TargetMode="External"/><Relationship Id="rId243" Type="http://schemas.openxmlformats.org/officeDocument/2006/relationships/hyperlink" Target="https://firebasestorage.googleapis.com/v0/b/wt-foundation-production.appspot.com/o/measurements%2FMeasureMethod.ADM_FIXED_PCT%2FdbhPhoto%2F1781838014954?alt=media&amp;token=20c85b99-d785-4562-9429-3a44e5bec34e" TargetMode="External"/><Relationship Id="rId264" Type="http://schemas.openxmlformats.org/officeDocument/2006/relationships/hyperlink" Target="https://firebasestorage.googleapis.com/v0/b/wt-foundation-production.appspot.com/o/measurements%2FMeasureMethod.ADM_FIXED_PCT%2FheightPhoto%2F1781803684871?alt=media&amp;token=dc8fe41e-f36c-4b35-a630-a13fb35eb6b3" TargetMode="External"/><Relationship Id="rId285" Type="http://schemas.openxmlformats.org/officeDocument/2006/relationships/hyperlink" Target="https://firebasestorage.googleapis.com/v0/b/wt-foundation-production.appspot.com/o/measurements%2FMeasureMethod.ADM_FIXED_PCT%2FdbhPhoto%2F1781838156623?alt=media&amp;token=946956b8-ebec-44da-96e1-f4b0251e2631" TargetMode="External"/><Relationship Id="rId17" Type="http://schemas.openxmlformats.org/officeDocument/2006/relationships/hyperlink" Target="https://firebasestorage.googleapis.com/v0/b/wt-foundation-production.appspot.com/o/measurements%2FMeasureMethod.ADM_FIXED_PCT%2FdbhPhoto%2F1777662874895?alt=media&amp;token=cdd66639-f24e-4126-afbc-cd155921b7c8" TargetMode="External"/><Relationship Id="rId38" Type="http://schemas.openxmlformats.org/officeDocument/2006/relationships/hyperlink" Target="https://firebasestorage.googleapis.com/v0/b/wt-foundation-production.appspot.com/o/measurements%2FMeasureMethod.ADM_FIXED_PCT%2FheightPhoto%2F1778276210180?alt=media&amp;token=09045526-47cc-4d53-97f2-04795db84040" TargetMode="External"/><Relationship Id="rId59" Type="http://schemas.openxmlformats.org/officeDocument/2006/relationships/hyperlink" Target="https://firebasestorage.googleapis.com/v0/b/wt-foundation-production.appspot.com/o/measurements%2FMeasureMethod.ADM_FIXED_PCT%2FdbhPhoto%2F1778276282092?alt=media&amp;token=7dbd7e7e-0d71-44b3-a99e-44ec63a9eea7" TargetMode="External"/><Relationship Id="rId103" Type="http://schemas.openxmlformats.org/officeDocument/2006/relationships/hyperlink" Target="https://firebasestorage.googleapis.com/v0/b/wt-foundation-production.appspot.com/o/measurements%2FMeasureMethod.ADM_FIXED_PCT%2FdbhPhoto%2F1778363881385?alt=media&amp;token=205b890d-c9a7-425c-9425-4f3e6e955434" TargetMode="External"/><Relationship Id="rId124" Type="http://schemas.openxmlformats.org/officeDocument/2006/relationships/hyperlink" Target="https://firebasestorage.googleapis.com/v0/b/wt-foundation-production.appspot.com/o/measurements%2FMeasureMethod.ADM_FIXED_PCT%2FheightPhoto%2F1778363937253?alt=media&amp;token=ad9b4c53-de44-489a-9c28-5afe7170b7e2" TargetMode="External"/><Relationship Id="rId310" Type="http://schemas.openxmlformats.org/officeDocument/2006/relationships/hyperlink" Target="https://firebasestorage.googleapis.com/v0/b/wt-foundation-production.appspot.com/o/measurements%2FMeasureMethod.ADM_FIXED_PCT%2FdbhPhoto%2F1781838567861?alt=media&amp;token=881f2412-ca18-43e9-a614-75de5a01e47c" TargetMode="External"/><Relationship Id="rId70" Type="http://schemas.openxmlformats.org/officeDocument/2006/relationships/hyperlink" Target="https://firebasestorage.googleapis.com/v0/b/wt-foundation-production.appspot.com/o/measurements%2FMeasureMethod.ADM_FIXED_PCT%2FheightPhoto%2F1778363576147?alt=media&amp;token=a8609150-9f04-45e6-9441-e424dd44c10d" TargetMode="External"/><Relationship Id="rId91" Type="http://schemas.openxmlformats.org/officeDocument/2006/relationships/hyperlink" Target="https://firebasestorage.googleapis.com/v0/b/wt-foundation-production.appspot.com/o/measurements%2FMeasureMethod.ADM_FIXED_PCT%2FdbhPhoto%2F1778363848302?alt=media&amp;token=74e0e4e1-b48b-4491-9a8b-5afe4aa8b14b" TargetMode="External"/><Relationship Id="rId145" Type="http://schemas.openxmlformats.org/officeDocument/2006/relationships/hyperlink" Target="https://firebasestorage.googleapis.com/v0/b/wt-foundation-production.appspot.com/o/measurements%2FMeasureMethod.ADM_FIXED_PCT%2FdbhPhoto%2F1778399396196?alt=media&amp;token=20bc9496-c05d-4ac1-97b1-3a59669a3824" TargetMode="External"/><Relationship Id="rId166" Type="http://schemas.openxmlformats.org/officeDocument/2006/relationships/hyperlink" Target="https://firebasestorage.googleapis.com/v0/b/wt-foundation-production.appspot.com/o/measurements%2FMeasureMethod.ADM_FIXED_PCT%2FheightPhoto%2F1773950615253?alt=media&amp;token=fcacf634-1f28-4620-a0f3-b253155f17c9" TargetMode="External"/><Relationship Id="rId187" Type="http://schemas.openxmlformats.org/officeDocument/2006/relationships/hyperlink" Target="https://firebasestorage.googleapis.com/v0/b/wt-foundation-production.appspot.com/o/measurements%2FMeasureMethod.ADM_FIXED_PCT%2Fdepth%2F1773950910716?alt=media&amp;token=8e9e320c-e0ae-4d97-9a8b-a51493f7a5c9" TargetMode="External"/><Relationship Id="rId1" Type="http://schemas.openxmlformats.org/officeDocument/2006/relationships/hyperlink" Target="https://firebasestorage.googleapis.com/v0/b/wt-foundation-production.appspot.com/o/measurements%2FMeasureMethod.ADM_FIXED_PCT%2FdbhPhoto%2F1777661297248?alt=media&amp;token=526bd46a-f805-431a-b911-8a142a70c727" TargetMode="External"/><Relationship Id="rId212" Type="http://schemas.openxmlformats.org/officeDocument/2006/relationships/hyperlink" Target="https://firebasestorage.googleapis.com/v0/b/wt-foundation-production.appspot.com/o/measurements%2FMeasureMethod.ADM_FIXED_PCT%2FdbhPhoto%2F1781723864974?alt=media&amp;token=d87f2385-ecad-4d4a-9a23-d1f67e7497c5" TargetMode="External"/><Relationship Id="rId233" Type="http://schemas.openxmlformats.org/officeDocument/2006/relationships/hyperlink" Target="https://firebasestorage.googleapis.com/v0/b/wt-foundation-production.appspot.com/o/measurements%2FMeasureMethod.ADM_FIXED_PCT%2FheightPhoto%2F1781838090373?alt=media&amp;token=dfb04177-ee44-418a-b051-0f3ad1869251" TargetMode="External"/><Relationship Id="rId254" Type="http://schemas.openxmlformats.org/officeDocument/2006/relationships/hyperlink" Target="https://firebasestorage.googleapis.com/v0/b/wt-foundation-production.appspot.com/o/measurements%2FMeasureMethod.ADM_FIXED_PCT%2FheightPhoto%2F1781803660211?alt=media&amp;token=b101223c-f6a6-468b-b242-cd0a82fb7461" TargetMode="External"/><Relationship Id="rId28" Type="http://schemas.openxmlformats.org/officeDocument/2006/relationships/hyperlink" Target="https://firebasestorage.googleapis.com/v0/b/wt-foundation-production.appspot.com/o/measurements%2FMeasureMethod.ADM_FIXED_PCT%2FheightPhoto%2F1778276027634?alt=media&amp;token=7fe81402-626d-4fdb-873b-4de7dc22da14" TargetMode="External"/><Relationship Id="rId49" Type="http://schemas.openxmlformats.org/officeDocument/2006/relationships/hyperlink" Target="https://firebasestorage.googleapis.com/v0/b/wt-foundation-production.appspot.com/o/measurements%2FMeasureMethod.ADM_FIXED_PCT%2FdbhPhoto%2F1778276241997?alt=media&amp;token=cc9a7371-3347-4b15-bc05-797f0c3225f1" TargetMode="External"/><Relationship Id="rId114" Type="http://schemas.openxmlformats.org/officeDocument/2006/relationships/hyperlink" Target="https://firebasestorage.googleapis.com/v0/b/wt-foundation-production.appspot.com/o/measurements%2FMeasureMethod.ADM_FIXED_PCT%2FheightPhoto%2F1778363899556?alt=media&amp;token=d22d8f0d-dc37-4167-9076-87cf1343ee4e" TargetMode="External"/><Relationship Id="rId275" Type="http://schemas.openxmlformats.org/officeDocument/2006/relationships/hyperlink" Target="https://firebasestorage.googleapis.com/v0/b/wt-foundation-production.appspot.com/o/measurements%2FMeasureMethod.ADM_FIXED_PCT%2FdbhPhoto%2F1781838120637?alt=media&amp;token=b9dc505b-3375-46db-88c8-2b83973272cd" TargetMode="External"/><Relationship Id="rId296" Type="http://schemas.openxmlformats.org/officeDocument/2006/relationships/hyperlink" Target="https://firebasestorage.googleapis.com/v0/b/wt-foundation-production.appspot.com/o/measurements%2FMeasureMethod.ADM_FIXED_PCT%2FheightPhoto%2F1781838524539?alt=media&amp;token=beea6f4c-4a83-4d53-8a07-317de7da44c8" TargetMode="External"/><Relationship Id="rId300" Type="http://schemas.openxmlformats.org/officeDocument/2006/relationships/hyperlink" Target="https://firebasestorage.googleapis.com/v0/b/wt-foundation-production.appspot.com/o/measurements%2FMeasureMethod.ADM_FIXED_PCT%2FheightPhoto%2F1781838530001?alt=media&amp;token=2f163329-6d52-4a0d-9e4f-7a0089806ef5" TargetMode="External"/><Relationship Id="rId60" Type="http://schemas.openxmlformats.org/officeDocument/2006/relationships/hyperlink" Target="https://firebasestorage.googleapis.com/v0/b/wt-foundation-production.appspot.com/o/measurements%2FMeasureMethod.ADM_FIXED_PCT%2FheightPhoto%2F1778276278987?alt=media&amp;token=a4a611d3-6b74-498a-b08b-f08ab64a6afe" TargetMode="External"/><Relationship Id="rId81" Type="http://schemas.openxmlformats.org/officeDocument/2006/relationships/hyperlink" Target="https://firebasestorage.googleapis.com/v0/b/wt-foundation-production.appspot.com/o/measurements%2FMeasureMethod.ADM_FIXED_PCT%2FdbhPhoto%2F1778363689407?alt=media&amp;token=5237ad44-82d0-444a-b662-1aa4d4051ca3" TargetMode="External"/><Relationship Id="rId135" Type="http://schemas.openxmlformats.org/officeDocument/2006/relationships/hyperlink" Target="https://firebasestorage.googleapis.com/v0/b/wt-foundation-production.appspot.com/o/measurements%2FMeasureMethod.ADM_FIXED_PCT%2FdbhPhoto%2F1778365526615?alt=media&amp;token=b2e165bd-8ca5-495b-8d47-4d11a63a1792" TargetMode="External"/><Relationship Id="rId156" Type="http://schemas.openxmlformats.org/officeDocument/2006/relationships/hyperlink" Target="https://firebasestorage.googleapis.com/v0/b/wt-foundation-production.appspot.com/o/measurements%2FMeasureMethod.ADM_FIXED_PCT%2FheightPhoto%2F1778399354939?alt=media&amp;token=a81286a7-4fb2-4e33-a575-593abf6097f2" TargetMode="External"/><Relationship Id="rId177" Type="http://schemas.openxmlformats.org/officeDocument/2006/relationships/hyperlink" Target="https://firebasestorage.googleapis.com/v0/b/wt-foundation-production.appspot.com/o/measurements%2FMeasureMethod.ADM_FIXED_PCT%2FheightPhoto%2F1773950780177?alt=media&amp;token=841aee65-83b9-49ee-824c-90fbd8396787" TargetMode="External"/><Relationship Id="rId198" Type="http://schemas.openxmlformats.org/officeDocument/2006/relationships/hyperlink" Target="https://firebasestorage.googleapis.com/v0/b/wt-foundation-production.appspot.com/o/measurements%2FMeasureMethod.ADM_FIXED_PCT%2FheightPhoto%2F1773951483361?alt=media&amp;token=65df6c4b-c134-47be-8244-72dc3f5d76a4" TargetMode="External"/><Relationship Id="rId202" Type="http://schemas.openxmlformats.org/officeDocument/2006/relationships/hyperlink" Target="https://firebasestorage.googleapis.com/v0/b/wt-foundation-production.appspot.com/o/measurements%2FMeasureMethod.ADM_FIXED_PCT%2Fdepth%2F1773950610873?alt=media&amp;token=461cd95f-32b8-4a47-8d16-805531305f92" TargetMode="External"/><Relationship Id="rId223" Type="http://schemas.openxmlformats.org/officeDocument/2006/relationships/hyperlink" Target="https://firebasestorage.googleapis.com/v0/b/wt-foundation-production.appspot.com/o/measurements%2FMeasureMethod.ADM_FIXED_PCT%2FheightPhoto%2F1781723888737?alt=media&amp;token=218813eb-2f76-4f88-a02c-be33ebaf3236" TargetMode="External"/><Relationship Id="rId244" Type="http://schemas.openxmlformats.org/officeDocument/2006/relationships/hyperlink" Target="https://firebasestorage.googleapis.com/v0/b/wt-foundation-production.appspot.com/o/measurements%2FMeasureMethod.ADM_FIXED_PCT%2FdbhPhoto%2F1781838014954?alt=media&amp;token=20c85b99-d785-4562-9429-3a44e5bec34e" TargetMode="External"/><Relationship Id="rId18" Type="http://schemas.openxmlformats.org/officeDocument/2006/relationships/hyperlink" Target="https://firebasestorage.googleapis.com/v0/b/wt-foundation-production.appspot.com/o/measurements%2FMeasureMethod.ADM_FIXED_PCT%2FheightPhoto%2F1777662841437?alt=media&amp;token=3168d94c-994e-4de0-a33d-0e157f15f4c2" TargetMode="External"/><Relationship Id="rId39" Type="http://schemas.openxmlformats.org/officeDocument/2006/relationships/hyperlink" Target="https://firebasestorage.googleapis.com/v0/b/wt-foundation-production.appspot.com/o/measurements%2FMeasureMethod.ADM_FIXED_PCT%2FdbhPhoto%2F1778276213235?alt=media&amp;token=12ddde00-e171-45f8-bda4-4e0c372369c4" TargetMode="External"/><Relationship Id="rId265" Type="http://schemas.openxmlformats.org/officeDocument/2006/relationships/hyperlink" Target="https://firebasestorage.googleapis.com/v0/b/wt-foundation-production.appspot.com/o/measurements%2FMeasureMethod.ADM_FIXED_PCT%2FheightPhoto%2F1781803687171?alt=media&amp;token=0af7d819-0832-4a32-a927-7c4326d22d20" TargetMode="External"/><Relationship Id="rId286" Type="http://schemas.openxmlformats.org/officeDocument/2006/relationships/hyperlink" Target="https://firebasestorage.googleapis.com/v0/b/wt-foundation-production.appspot.com/o/measurements%2FMeasureMethod.ADM_FIXED_PCT%2FdbhPhoto%2F1781838210309?alt=media&amp;token=e951aa79-d7d3-471a-b872-b6dab1a673a7" TargetMode="External"/><Relationship Id="rId50" Type="http://schemas.openxmlformats.org/officeDocument/2006/relationships/hyperlink" Target="https://firebasestorage.googleapis.com/v0/b/wt-foundation-production.appspot.com/o/measurements%2FMeasureMethod.ADM_FIXED_PCT%2FheightPhoto%2F1778276238957?alt=media&amp;token=37f1e9a8-6f9b-4478-b558-2853e2284cbd" TargetMode="External"/><Relationship Id="rId104" Type="http://schemas.openxmlformats.org/officeDocument/2006/relationships/hyperlink" Target="https://firebasestorage.googleapis.com/v0/b/wt-foundation-production.appspot.com/o/measurements%2FMeasureMethod.ADM_FIXED_PCT%2FheightPhoto%2F1778363877450?alt=media&amp;token=ebbe0cbd-963c-43e8-92df-3f264211d4bc" TargetMode="External"/><Relationship Id="rId125" Type="http://schemas.openxmlformats.org/officeDocument/2006/relationships/hyperlink" Target="https://firebasestorage.googleapis.com/v0/b/wt-foundation-production.appspot.com/o/measurements%2FMeasureMethod.ADM_FIXED_PCT%2FdbhPhoto%2F1778399386453?alt=media&amp;token=a13c863d-5a1b-4bd2-8419-d4c1019354a7" TargetMode="External"/><Relationship Id="rId146" Type="http://schemas.openxmlformats.org/officeDocument/2006/relationships/hyperlink" Target="https://firebasestorage.googleapis.com/v0/b/wt-foundation-production.appspot.com/o/measurements%2FMeasureMethod.ADM_FIXED_PCT%2FheightPhoto%2F1778399393614?alt=media&amp;token=21d0cb0f-07c1-4260-a71c-de281348c81a" TargetMode="External"/><Relationship Id="rId167" Type="http://schemas.openxmlformats.org/officeDocument/2006/relationships/hyperlink" Target="https://firebasestorage.googleapis.com/v0/b/wt-foundation-production.appspot.com/o/measurements%2FMeasureMethod.ADM_FIXED_PCT%2Fdepth%2F1773950649077?alt=media&amp;token=414b12a7-fbe8-41df-9e5d-85dbd4c569c2" TargetMode="External"/><Relationship Id="rId188" Type="http://schemas.openxmlformats.org/officeDocument/2006/relationships/hyperlink" Target="https://firebasestorage.googleapis.com/v0/b/wt-foundation-production.appspot.com/o/measurements%2FMeasureMethod.ADM_FIXED_PCT%2FdbhPhoto%2F1773950962098?alt=media&amp;token=8ff6cdcd-c628-497f-9fe9-2f73f3d00e0c" TargetMode="External"/><Relationship Id="rId311" Type="http://schemas.openxmlformats.org/officeDocument/2006/relationships/hyperlink" Target="https://firebasestorage.googleapis.com/v0/b/wt-foundation-production.appspot.com/o/measurements%2FMeasureMethod.ADM_FIXED_PCT%2FheightPhoto%2F1781838565854?alt=media&amp;token=171a0a08-df4b-4038-8a33-a1388f1287ce" TargetMode="External"/><Relationship Id="rId71" Type="http://schemas.openxmlformats.org/officeDocument/2006/relationships/hyperlink" Target="https://firebasestorage.googleapis.com/v0/b/wt-foundation-production.appspot.com/o/measurements%2FMeasureMethod.ADM_FIXED_PCT%2FdbhPhoto%2F1778363580024?alt=media&amp;token=a1dde6b9-931e-4793-9222-46cc3660d360" TargetMode="External"/><Relationship Id="rId92" Type="http://schemas.openxmlformats.org/officeDocument/2006/relationships/hyperlink" Target="https://firebasestorage.googleapis.com/v0/b/wt-foundation-production.appspot.com/o/measurements%2FMeasureMethod.ADM_FIXED_PCT%2FheightPhoto%2F1778363846170?alt=media&amp;token=8c7aff57-4fe9-428c-8a76-60e763327c5b" TargetMode="External"/><Relationship Id="rId213" Type="http://schemas.openxmlformats.org/officeDocument/2006/relationships/hyperlink" Target="https://firebasestorage.googleapis.com/v0/b/wt-foundation-production.appspot.com/o/measurements%2FMeasureMethod.ADM_FIXED_PCT%2FheightPhoto%2F1781723855129?alt=media&amp;token=e1621e56-ce47-4dba-8baa-9b355596b874" TargetMode="External"/><Relationship Id="rId234" Type="http://schemas.openxmlformats.org/officeDocument/2006/relationships/hyperlink" Target="https://firebasestorage.googleapis.com/v0/b/wt-foundation-production.appspot.com/o/measurements%2FMeasureMethod.ADM_FIXED_PCT%2FdbhPhoto%2F1781803665339?alt=media&amp;token=479e30fa-736a-4a18-9ad6-b8cc5bddc5fb" TargetMode="External"/><Relationship Id="rId2" Type="http://schemas.openxmlformats.org/officeDocument/2006/relationships/hyperlink" Target="https://firebasestorage.googleapis.com/v0/b/wt-foundation-production.appspot.com/o/measurements%2FMeasureMethod.ADM_FIXED_PCT%2FheightPhoto%2F1777661290457?alt=media&amp;token=b4ebca95-2e65-43df-8ef5-eb5dcdb53827" TargetMode="External"/><Relationship Id="rId29" Type="http://schemas.openxmlformats.org/officeDocument/2006/relationships/hyperlink" Target="https://firebasestorage.googleapis.com/v0/b/wt-foundation-production.appspot.com/o/measurements%2FMeasureMethod.ADM_FIXED_PCT%2FdbhPhoto%2F1778276027634?alt=media&amp;token=fdf805e8-e0f9-4f98-9ffc-1486ed832378" TargetMode="External"/><Relationship Id="rId255" Type="http://schemas.openxmlformats.org/officeDocument/2006/relationships/hyperlink" Target="https://firebasestorage.googleapis.com/v0/b/wt-foundation-production.appspot.com/o/measurements%2FMeasureMethod.ADM_FIXED_PCT%2FheightPhoto%2F1781803660211?alt=media&amp;token=b101223c-f6a6-468b-b242-cd0a82fb7461" TargetMode="External"/><Relationship Id="rId276" Type="http://schemas.openxmlformats.org/officeDocument/2006/relationships/hyperlink" Target="https://firebasestorage.googleapis.com/v0/b/wt-foundation-production.appspot.com/o/measurements%2FMeasureMethod.ADM_FIXED_PCT%2FheightPhoto%2F1781838116310?alt=media&amp;token=5576e09a-841f-46f3-b2f9-8315175d074e" TargetMode="External"/><Relationship Id="rId297" Type="http://schemas.openxmlformats.org/officeDocument/2006/relationships/hyperlink" Target="https://services1.arcgis.com/0j6vZbECadDEXdAS/arcgis/rest/services/GEDI_Footprint_1_trees/FeatureServer/0/51/attachments/43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" TargetMode="External"/><Relationship Id="rId40" Type="http://schemas.openxmlformats.org/officeDocument/2006/relationships/hyperlink" Target="https://firebasestorage.googleapis.com/v0/b/wt-foundation-production.appspot.com/o/measurements%2FMeasureMethod.ADM_FIXED_PCT%2FheightPhoto%2F1778276212909?alt=media&amp;token=829bc7b5-49d5-4cf3-9a81-3d390023cda9" TargetMode="External"/><Relationship Id="rId115" Type="http://schemas.openxmlformats.org/officeDocument/2006/relationships/hyperlink" Target="https://firebasestorage.googleapis.com/v0/b/wt-foundation-production.appspot.com/o/measurements%2FMeasureMethod.ADM_FIXED_PCT%2FdbhPhoto%2F1778363912112?alt=media&amp;token=68b97b2e-ccd3-48ed-ac65-9907a819ec2d" TargetMode="External"/><Relationship Id="rId136" Type="http://schemas.openxmlformats.org/officeDocument/2006/relationships/hyperlink" Target="https://firebasestorage.googleapis.com/v0/b/wt-foundation-production.appspot.com/o/measurements%2FMeasureMethod.ADM_FIXED_PCT%2FheightPhoto%2F1778365524686?alt=media&amp;token=25b433ba-ed26-4b7f-9565-43fb4e130b5e" TargetMode="External"/><Relationship Id="rId157" Type="http://schemas.openxmlformats.org/officeDocument/2006/relationships/hyperlink" Target="https://firebasestorage.googleapis.com/v0/b/wt-foundation-production.appspot.com/o/measurements%2FMeasureMethod.ADM_FIXED_PCT%2FdbhPhoto%2F1778399363942?alt=media&amp;token=f09890f2-fc0f-40d6-b00b-92b611674789" TargetMode="External"/><Relationship Id="rId178" Type="http://schemas.openxmlformats.org/officeDocument/2006/relationships/hyperlink" Target="https://firebasestorage.googleapis.com/v0/b/wt-foundation-production.appspot.com/o/measurements%2FMeasureMethod.ADM_FIXED_PCT%2Fdepth%2F1773950793374?alt=media&amp;token=fd3fd6bf-a31f-4f0e-86e2-44b48081078f" TargetMode="External"/><Relationship Id="rId301" Type="http://schemas.openxmlformats.org/officeDocument/2006/relationships/hyperlink" Target="https://services1.arcgis.com/0j6vZbECadDEXdAS/arcgis/rest/services/GEDI_Footprint_1_trees/FeatureServer/0/52/attachments/45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&amp;s=853981" TargetMode="External"/><Relationship Id="rId61" Type="http://schemas.openxmlformats.org/officeDocument/2006/relationships/hyperlink" Target="https://firebasestorage.googleapis.com/v0/b/wt-foundation-production.appspot.com/o/measurements%2FMeasureMethod.ADM_FIXED_PCT%2FdbhPhoto%2F1778276288365?alt=media&amp;token=35521e3e-2eed-46fc-9b98-93157515bf65" TargetMode="External"/><Relationship Id="rId82" Type="http://schemas.openxmlformats.org/officeDocument/2006/relationships/hyperlink" Target="https://firebasestorage.googleapis.com/v0/b/wt-foundation-production.appspot.com/o/measurements%2FMeasureMethod.ADM_FIXED_PCT%2FheightPhoto%2F1778363672140?alt=media&amp;token=eabe9a0f-aea1-44bf-b8a7-5805b09e3f76" TargetMode="External"/><Relationship Id="rId199" Type="http://schemas.openxmlformats.org/officeDocument/2006/relationships/hyperlink" Target="https://firebasestorage.googleapis.com/v0/b/wt-foundation-production.appspot.com/o/measurements%2FMeasureMethod.ADM_FIXED_PCT%2Fdepth%2F1773951497259?alt=media&amp;token=fd052629-5a55-4adb-a56e-da4977e9ded9" TargetMode="External"/><Relationship Id="rId203" Type="http://schemas.openxmlformats.org/officeDocument/2006/relationships/hyperlink" Target="https://firebasestorage.googleapis.com/v0/b/wt-foundation-production.appspot.com/o/measurements%2FMeasureMethod.ADM_FIXED_PCT%2FdbhPhoto%2F1773896122238?alt=media&amp;token=beb517a7-15a1-4e16-a0c6-5b414a4e0f7d" TargetMode="External"/><Relationship Id="rId19" Type="http://schemas.openxmlformats.org/officeDocument/2006/relationships/hyperlink" Target="https://firebasestorage.googleapis.com/v0/b/wt-foundation-production.appspot.com/o/measurements%2FMeasureMethod.ADM_FIXED_PCT%2FdbhPhoto%2F1777663286522?alt=media&amp;token=c16d2057-a580-4367-a653-a28797e1a1e3" TargetMode="External"/><Relationship Id="rId224" Type="http://schemas.openxmlformats.org/officeDocument/2006/relationships/hyperlink" Target="https://firebasestorage.googleapis.com/v0/b/wt-foundation-production.appspot.com/o/measurements%2FMeasureMethod.ADM_FIXED_PCT%2FheightPhoto%2F1781723881967?alt=media&amp;token=e3f3be12-897d-4bb7-9a14-a19e14557def" TargetMode="External"/><Relationship Id="rId245" Type="http://schemas.openxmlformats.org/officeDocument/2006/relationships/hyperlink" Target="https://firebasestorage.googleapis.com/v0/b/wt-foundation-production.appspot.com/o/measurements%2FMeasureMethod.ADM_FIXED_PCT%2FdbhPhoto%2F1781838027485?alt=media&amp;token=337e13f1-12ef-483f-bb0e-fecc0069ce0c" TargetMode="External"/><Relationship Id="rId266" Type="http://schemas.openxmlformats.org/officeDocument/2006/relationships/hyperlink" Target="https://firebasestorage.googleapis.com/v0/b/wt-foundation-production.appspot.com/o/measurements%2FMeasureMethod.ADM_FIXED_PCT%2FheightPhoto%2F1781838014954?alt=media&amp;token=6d3f206f-8948-4a5b-a151-0832dbb4a07c" TargetMode="External"/><Relationship Id="rId287" Type="http://schemas.openxmlformats.org/officeDocument/2006/relationships/hyperlink" Target="https://firebasestorage.googleapis.com/v0/b/wt-foundation-production.appspot.com/o/measurements%2FMeasureMethod.ADM_FIXED_PCT%2FdbhPhoto%2F1781838255605?alt=media&amp;token=b5ae02de-828e-44a7-ac36-72f979c3e906" TargetMode="External"/><Relationship Id="rId30" Type="http://schemas.openxmlformats.org/officeDocument/2006/relationships/hyperlink" Target="https://firebasestorage.googleapis.com/v0/b/wt-foundation-production.appspot.com/o/measurements%2FMeasureMethod.ADM_FIXED_PCT%2FheightPhoto%2F1778276027634?alt=media&amp;token=7fe81402-626d-4fdb-873b-4de7dc22da14" TargetMode="External"/><Relationship Id="rId105" Type="http://schemas.openxmlformats.org/officeDocument/2006/relationships/hyperlink" Target="https://firebasestorage.googleapis.com/v0/b/wt-foundation-production.appspot.com/o/measurements%2FMeasureMethod.ADM_FIXED_PCT%2FdbhPhoto%2F1778363885892?alt=media&amp;token=58c86711-cb9d-4034-80f0-8426a9f1100f" TargetMode="External"/><Relationship Id="rId126" Type="http://schemas.openxmlformats.org/officeDocument/2006/relationships/hyperlink" Target="https://firebasestorage.googleapis.com/v0/b/wt-foundation-production.appspot.com/o/measurements%2FMeasureMethod.ADM_FIXED_PCT%2FheightPhoto%2F1778363941558?alt=media&amp;token=30472e20-7bec-40f0-9ec8-b6b15e5ac44f" TargetMode="External"/><Relationship Id="rId147" Type="http://schemas.openxmlformats.org/officeDocument/2006/relationships/hyperlink" Target="https://firebasestorage.googleapis.com/v0/b/wt-foundation-production.appspot.com/o/measurements%2FMeasureMethod.ADM_FIXED_PCT%2FdbhPhoto%2F1778399403444?alt=media&amp;token=b6d9ff08-0c15-406e-9fae-df3ca6329ce0" TargetMode="External"/><Relationship Id="rId168" Type="http://schemas.openxmlformats.org/officeDocument/2006/relationships/hyperlink" Target="https://firebasestorage.googleapis.com/v0/b/wt-foundation-production.appspot.com/o/measurements%2FMeasureMethod.ADM_FIXED_PCT%2FheightPhoto%2F1773950682732?alt=media&amp;token=cf6c449a-3359-4b76-9ad4-f1dc24d1dac0" TargetMode="External"/><Relationship Id="rId312" Type="http://schemas.openxmlformats.org/officeDocument/2006/relationships/hyperlink" Target="https://services1.arcgis.com/0j6vZbECadDEXdAS/arcgis/rest/services/GEDI_Footprint_1_trees/FeatureServer/0/108/attachments/37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" TargetMode="External"/><Relationship Id="rId51" Type="http://schemas.openxmlformats.org/officeDocument/2006/relationships/hyperlink" Target="https://firebasestorage.googleapis.com/v0/b/wt-foundation-production.appspot.com/o/measurements%2FMeasureMethod.ADM_FIXED_PCT%2FdbhPhoto%2F1778276246430?alt=media&amp;token=9f3a0fa4-2651-472f-af85-50456791bde6" TargetMode="External"/><Relationship Id="rId72" Type="http://schemas.openxmlformats.org/officeDocument/2006/relationships/hyperlink" Target="https://firebasestorage.googleapis.com/v0/b/wt-foundation-production.appspot.com/o/measurements%2FMeasureMethod.ADM_FIXED_PCT%2FheightPhoto%2F1778363576152?alt=media&amp;token=1f720e16-a05d-4f02-948c-54e894f84d7c" TargetMode="External"/><Relationship Id="rId93" Type="http://schemas.openxmlformats.org/officeDocument/2006/relationships/hyperlink" Target="https://firebasestorage.googleapis.com/v0/b/wt-foundation-production.appspot.com/o/measurements%2FMeasureMethod.ADM_FIXED_PCT%2FdbhPhoto%2F1778363851949?alt=media&amp;token=35a3d59a-b246-46e2-9188-af82cfdedcde" TargetMode="External"/><Relationship Id="rId189" Type="http://schemas.openxmlformats.org/officeDocument/2006/relationships/hyperlink" Target="https://firebasestorage.googleapis.com/v0/b/wt-foundation-production.appspot.com/o/measurements%2FMeasureMethod.ADM_FIXED_PCT%2FheightPhoto%2F1773950960131?alt=media&amp;token=fe453abf-4cf9-41dd-ba57-cc4d6976a343" TargetMode="External"/><Relationship Id="rId3" Type="http://schemas.openxmlformats.org/officeDocument/2006/relationships/hyperlink" Target="https://firebasestorage.googleapis.com/v0/b/wt-foundation-production.appspot.com/o/measurements%2FMeasureMethod.ADM_FIXED_PCT%2FdbhPhoto%2F1777661391152?alt=media&amp;token=c3558e55-ff89-4fc8-99f9-ca71d0556998" TargetMode="External"/><Relationship Id="rId214" Type="http://schemas.openxmlformats.org/officeDocument/2006/relationships/hyperlink" Target="https://firebasestorage.googleapis.com/v0/b/wt-foundation-production.appspot.com/o/measurements%2FMeasureMethod.ADM_FIXED_PCT%2FdbhPhoto%2F1781723869462?alt=media&amp;token=c744b31d-d504-41fc-94f1-d26925532686" TargetMode="External"/><Relationship Id="rId235" Type="http://schemas.openxmlformats.org/officeDocument/2006/relationships/hyperlink" Target="https://firebasestorage.googleapis.com/v0/b/wt-foundation-production.appspot.com/o/measurements%2FMeasureMethod.ADM_FIXED_PCT%2FdbhPhoto%2F1781803669231?alt=media&amp;token=a217e1a3-f92f-451c-9668-8c85d7b4b80a" TargetMode="External"/><Relationship Id="rId256" Type="http://schemas.openxmlformats.org/officeDocument/2006/relationships/hyperlink" Target="https://firebasestorage.googleapis.com/v0/b/wt-foundation-production.appspot.com/o/measurements%2FMeasureMethod.ADM_FIXED_PCT%2FheightPhoto%2F1781803664407?alt=media&amp;token=c3c1a12e-f48d-4d81-b1e1-29e56648cf4e" TargetMode="External"/><Relationship Id="rId277" Type="http://schemas.openxmlformats.org/officeDocument/2006/relationships/hyperlink" Target="https://firebasestorage.googleapis.com/v0/b/wt-foundation-production.appspot.com/o/measurements%2FMeasureMethod.ADM_FIXED_PCT%2FdbhPhoto%2F1781838130168?alt=media&amp;token=e81dbb7a-ea35-4df6-b14f-fd383d0095b8" TargetMode="External"/><Relationship Id="rId298" Type="http://schemas.openxmlformats.org/officeDocument/2006/relationships/hyperlink" Target="https://services1.arcgis.com/0j6vZbECadDEXdAS/arcgis/rest/services/GEDI_Footprint_1_trees/FeatureServer/0/51/attachments/44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" TargetMode="External"/><Relationship Id="rId116" Type="http://schemas.openxmlformats.org/officeDocument/2006/relationships/hyperlink" Target="https://firebasestorage.googleapis.com/v0/b/wt-foundation-production.appspot.com/o/measurements%2FMeasureMethod.ADM_FIXED_PCT%2FheightPhoto%2F1778363909194?alt=media&amp;token=61861192-cc23-4986-bafb-70a332a25e51" TargetMode="External"/><Relationship Id="rId137" Type="http://schemas.openxmlformats.org/officeDocument/2006/relationships/hyperlink" Target="https://firebasestorage.googleapis.com/v0/b/wt-foundation-production.appspot.com/o/measurements%2FMeasureMethod.ADM_FIXED_PCT%2FdbhPhoto%2F1778365531288?alt=media&amp;token=52b7e687-7211-419b-abd4-ff5c1722854a" TargetMode="External"/><Relationship Id="rId158" Type="http://schemas.openxmlformats.org/officeDocument/2006/relationships/hyperlink" Target="https://firebasestorage.googleapis.com/v0/b/wt-foundation-production.appspot.com/o/measurements%2FMeasureMethod.ADM_FIXED_PCT%2FheightPhoto%2F1778399360881?alt=media&amp;token=8060e1b6-2389-42d4-b838-b4e5b6283494" TargetMode="External"/><Relationship Id="rId302" Type="http://schemas.openxmlformats.org/officeDocument/2006/relationships/hyperlink" Target="https://firebasestorage.googleapis.com/v0/b/wt-foundation-production.appspot.com/o/measurements%2FMeasureMethod.ADM_FIXED_PCT%2FdbhPhoto%2F1781838536428?alt=media&amp;token=f0107dca-bb55-4e70-a756-faff474e437d" TargetMode="External"/><Relationship Id="rId20" Type="http://schemas.openxmlformats.org/officeDocument/2006/relationships/hyperlink" Target="https://firebasestorage.googleapis.com/v0/b/wt-foundation-production.appspot.com/o/measurements%2FMeasureMethod.ADM_FIXED_PCT%2FheightPhoto%2F1777663267476?alt=media&amp;token=12f14930-4aee-4dcc-9840-fe0936f0c160" TargetMode="External"/><Relationship Id="rId41" Type="http://schemas.openxmlformats.org/officeDocument/2006/relationships/hyperlink" Target="https://firebasestorage.googleapis.com/v0/b/wt-foundation-production.appspot.com/o/measurements%2FMeasureMethod.ADM_FIXED_PCT%2FdbhPhoto%2F1778276222231?alt=media&amp;token=76de8080-ea71-4923-9ed4-8fd949260d03" TargetMode="External"/><Relationship Id="rId62" Type="http://schemas.openxmlformats.org/officeDocument/2006/relationships/hyperlink" Target="https://firebasestorage.googleapis.com/v0/b/wt-foundation-production.appspot.com/o/measurements%2FMeasureMethod.ADM_FIXED_PCT%2FheightPhoto%2F1778276284593?alt=media&amp;token=f37cea9e-7ba4-46c9-b2da-9e7f0d7ef7fb" TargetMode="External"/><Relationship Id="rId83" Type="http://schemas.openxmlformats.org/officeDocument/2006/relationships/hyperlink" Target="https://firebasestorage.googleapis.com/v0/b/wt-foundation-production.appspot.com/o/measurements%2FMeasureMethod.ADM_FIXED_PCT%2FdbhPhoto%2F1778363712000?alt=media&amp;token=ce882bc6-05ac-41e8-a9cc-a56912def8ff" TargetMode="External"/><Relationship Id="rId179" Type="http://schemas.openxmlformats.org/officeDocument/2006/relationships/hyperlink" Target="https://firebasestorage.googleapis.com/v0/b/wt-foundation-production.appspot.com/o/measurements%2FMeasureMethod.ADM_FIXED_PCT%2FdbhPhoto%2F1773950800253?alt=media&amp;token=c55dbcae-3a74-40db-9b42-1cf525d20953" TargetMode="External"/><Relationship Id="rId190" Type="http://schemas.openxmlformats.org/officeDocument/2006/relationships/hyperlink" Target="https://firebasestorage.googleapis.com/v0/b/wt-foundation-production.appspot.com/o/measurements%2FMeasureMethod.ADM_FIXED_PCT%2Fdepth%2F1773955550061?alt=media&amp;token=d8073def-329b-40c8-8a05-3b8d8254e870" TargetMode="External"/><Relationship Id="rId204" Type="http://schemas.openxmlformats.org/officeDocument/2006/relationships/hyperlink" Target="https://firebasestorage.googleapis.com/v0/b/wt-foundation-production.appspot.com/o/measurements%2FMeasureMethod.ADM_FIXED_PCT%2FheightPhoto%2F1773896116710?alt=media&amp;token=ea46caa3-c378-478f-8160-7efd3a5364ff" TargetMode="External"/><Relationship Id="rId225" Type="http://schemas.openxmlformats.org/officeDocument/2006/relationships/hyperlink" Target="https://firebasestorage.googleapis.com/v0/b/wt-foundation-production.appspot.com/o/measurements%2FMeasureMethod.ADM_FIXED_PCT%2FheightPhoto%2F1781723885387?alt=media&amp;token=152f4fa8-7e92-4526-a6b3-f0a923f65426" TargetMode="External"/><Relationship Id="rId246" Type="http://schemas.openxmlformats.org/officeDocument/2006/relationships/hyperlink" Target="https://firebasestorage.googleapis.com/v0/b/wt-foundation-production.appspot.com/o/measurements%2FMeasureMethod.ADM_FIXED_PCT%2FdbhPhoto%2F1781838041599?alt=media&amp;token=650c1baf-9856-44fa-8c4d-9f5c44514984" TargetMode="External"/><Relationship Id="rId267" Type="http://schemas.openxmlformats.org/officeDocument/2006/relationships/hyperlink" Target="https://firebasestorage.googleapis.com/v0/b/wt-foundation-production.appspot.com/o/measurements%2FMeasureMethod.ADM_FIXED_PCT%2FheightPhoto%2F1781838014954?alt=media&amp;token=20e6d7e2-1965-4ead-86aa-0589fd2fb64a" TargetMode="External"/><Relationship Id="rId288" Type="http://schemas.openxmlformats.org/officeDocument/2006/relationships/hyperlink" Target="https://firebasestorage.googleapis.com/v0/b/wt-foundation-production.appspot.com/o/measurements%2FMeasureMethod.ADM_FIXED_PCT%2FdbhPhoto%2F1781838282037?alt=media&amp;token=00ec29f5-da06-4774-8fb8-6ec976565047" TargetMode="External"/><Relationship Id="rId106" Type="http://schemas.openxmlformats.org/officeDocument/2006/relationships/hyperlink" Target="https://firebasestorage.googleapis.com/v0/b/wt-foundation-production.appspot.com/o/measurements%2FMeasureMethod.ADM_FIXED_PCT%2FheightPhoto%2F1778363885678?alt=media&amp;token=2fd5a3fb-971c-4527-8390-8707d54d0c4a" TargetMode="External"/><Relationship Id="rId127" Type="http://schemas.openxmlformats.org/officeDocument/2006/relationships/hyperlink" Target="https://firebasestorage.googleapis.com/v0/b/wt-foundation-production.appspot.com/o/measurements%2FMeasureMethod.ADM_FIXED_PCT%2FdbhPhoto%2F1778365513729?alt=media&amp;token=bc140a6c-432f-45d9-a887-650a81794477" TargetMode="External"/><Relationship Id="rId313" Type="http://schemas.openxmlformats.org/officeDocument/2006/relationships/hyperlink" Target="https://services1.arcgis.com/0j6vZbECadDEXdAS/arcgis/rest/services/GEDI_Footprint_1_trees/FeatureServer/0/55/attachments/1?token=arWipgykShC9z9IYhMlwNeg..uPPHcQXCQLbYhDIHMKA_AsmeNe6NpRWqtabULTKVxATw6PJgB8KFJrLSVddeQVaPKPlFgo9-AII1azyMzoNrojIPnPrl8OOzBoC7zxzJxRK3Fbw8Cgq2zDfjlNIIGFeSqiUcTbtyZXdIVPL3akV5TCdsOnuEJ9VJ6NZAZ95pxVmkFAF4PZ3nsHukYnbNcA0OU1dSeoW5eGxTDkw-3kspG3SK4fmdZYCSkHsuT4sF0rVXtUnm7wc30ZmlWOgctboDvItiOVOBlBFzS88k9J_fZDzxBBBPP-I0OuK8oRZNhg4HEUbyqVpH39R6hBTGcaXbIEEPGiNLwHx6y8AJEvwi&amp;s=818684" TargetMode="External"/><Relationship Id="rId10" Type="http://schemas.openxmlformats.org/officeDocument/2006/relationships/hyperlink" Target="https://firebasestorage.googleapis.com/v0/b/wt-foundation-production.appspot.com/o/measurements%2FMeasureMethod.ADM_FIXED_PCT%2FheightPhoto%2F1777661854488?alt=media&amp;token=89cd7e5b-a286-437c-b48c-9b26ac25bb2b" TargetMode="External"/><Relationship Id="rId31" Type="http://schemas.openxmlformats.org/officeDocument/2006/relationships/hyperlink" Target="https://firebasestorage.googleapis.com/v0/b/wt-foundation-production.appspot.com/o/measurements%2FMeasureMethod.ADM_FIXED_PCT%2FdbhPhoto%2F1778276158471?alt=media&amp;token=00eb517e-4db6-49ff-9e95-eaaac4d6b79a" TargetMode="External"/><Relationship Id="rId52" Type="http://schemas.openxmlformats.org/officeDocument/2006/relationships/hyperlink" Target="https://firebasestorage.googleapis.com/v0/b/wt-foundation-production.appspot.com/o/measurements%2FMeasureMethod.ADM_FIXED_PCT%2FheightPhoto%2F1778276243751?alt=media&amp;token=c2f5a237-7990-48e5-aae6-69e1b4e098b3" TargetMode="External"/><Relationship Id="rId73" Type="http://schemas.openxmlformats.org/officeDocument/2006/relationships/hyperlink" Target="https://firebasestorage.googleapis.com/v0/b/wt-foundation-production.appspot.com/o/measurements%2FMeasureMethod.ADM_FIXED_PCT%2FdbhPhoto%2F1778363612914?alt=media&amp;token=88d52af1-d097-4155-b597-93f3b6d61243" TargetMode="External"/><Relationship Id="rId94" Type="http://schemas.openxmlformats.org/officeDocument/2006/relationships/hyperlink" Target="https://firebasestorage.googleapis.com/v0/b/wt-foundation-production.appspot.com/o/measurements%2FMeasureMethod.ADM_FIXED_PCT%2FheightPhoto%2F1778363851233?alt=media&amp;token=0028f1d3-0b75-4696-989d-9ebadb8b42f9" TargetMode="External"/><Relationship Id="rId148" Type="http://schemas.openxmlformats.org/officeDocument/2006/relationships/hyperlink" Target="https://firebasestorage.googleapis.com/v0/b/wt-foundation-production.appspot.com/o/measurements%2FMeasureMethod.ADM_FIXED_PCT%2FheightPhoto%2F1778399401260?alt=media&amp;token=55cb38e0-e2e7-43e2-b88f-3696a352ce8e" TargetMode="External"/><Relationship Id="rId169" Type="http://schemas.openxmlformats.org/officeDocument/2006/relationships/hyperlink" Target="https://firebasestorage.googleapis.com/v0/b/wt-foundation-production.appspot.com/o/measurements%2FMeasureMethod.ADM_FIXED_PCT%2Fdepth%2F1773950696536?alt=media&amp;token=6aa01d9e-bccb-4da3-8cb5-1e5a19ece46e" TargetMode="External"/><Relationship Id="rId4" Type="http://schemas.openxmlformats.org/officeDocument/2006/relationships/hyperlink" Target="https://firebasestorage.googleapis.com/v0/b/wt-foundation-production.appspot.com/o/measurements%2FMeasureMethod.ADM_FIXED_PCT%2FheightPhoto%2F1777661381410?alt=media&amp;token=3c847b7a-5858-40ac-8325-728586e68bfa" TargetMode="External"/><Relationship Id="rId180" Type="http://schemas.openxmlformats.org/officeDocument/2006/relationships/hyperlink" Target="https://firebasestorage.googleapis.com/v0/b/wt-foundation-production.appspot.com/o/measurements%2FMeasureMethod.ADM_FIXED_PCT%2FheightPhoto%2F1773950799452?alt=media&amp;token=48d64b6c-9d4d-4dd3-9640-1fcbf794c8b3" TargetMode="External"/><Relationship Id="rId215" Type="http://schemas.openxmlformats.org/officeDocument/2006/relationships/hyperlink" Target="https://firebasestorage.googleapis.com/v0/b/wt-foundation-production.appspot.com/o/measurements%2FMeasureMethod.ADM_FIXED_PCT%2FdbhPhoto%2F1781723871543?alt=media&amp;token=7324d6de-8b33-414a-9ae0-50ca63434651" TargetMode="External"/><Relationship Id="rId236" Type="http://schemas.openxmlformats.org/officeDocument/2006/relationships/hyperlink" Target="https://firebasestorage.googleapis.com/v0/b/wt-foundation-production.appspot.com/o/measurements%2FMeasureMethod.ADM_FIXED_PCT%2FdbhPhoto%2F1781803673755?alt=media&amp;token=ff3fed3c-7768-4d1d-bbf3-b08e4cffaf6b" TargetMode="External"/><Relationship Id="rId257" Type="http://schemas.openxmlformats.org/officeDocument/2006/relationships/hyperlink" Target="https://firebasestorage.googleapis.com/v0/b/wt-foundation-production.appspot.com/o/measurements%2FMeasureMethod.ADM_FIXED_PCT%2FheightPhoto%2F1781803668985?alt=media&amp;token=e8faf049-4f9f-4916-a1c5-03ff1766f3d7" TargetMode="External"/><Relationship Id="rId278" Type="http://schemas.openxmlformats.org/officeDocument/2006/relationships/hyperlink" Target="https://firebasestorage.googleapis.com/v0/b/wt-foundation-production.appspot.com/o/measurements%2FMeasureMethod.ADM_FIXED_PCT%2FheightPhoto%2F1781838125321?alt=media&amp;token=d1719f0b-d445-45ea-8a11-4c82968a29ae" TargetMode="External"/><Relationship Id="rId303" Type="http://schemas.openxmlformats.org/officeDocument/2006/relationships/hyperlink" Target="https://firebasestorage.googleapis.com/v0/b/wt-foundation-production.appspot.com/o/measurements%2FMeasureMethod.ADM_FIXED_PCT%2FheightPhoto%2F1781838532507?alt=media&amp;token=1d200eee-44f3-42ce-9ba7-811f17340bb6" TargetMode="External"/><Relationship Id="rId42" Type="http://schemas.openxmlformats.org/officeDocument/2006/relationships/hyperlink" Target="https://firebasestorage.googleapis.com/v0/b/wt-foundation-production.appspot.com/o/measurements%2FMeasureMethod.ADM_FIXED_PCT%2FheightPhoto%2F1778276220870?alt=media&amp;token=3885a3be-6e74-446f-9a2c-b75fbc96a677" TargetMode="External"/><Relationship Id="rId84" Type="http://schemas.openxmlformats.org/officeDocument/2006/relationships/hyperlink" Target="https://firebasestorage.googleapis.com/v0/b/wt-foundation-production.appspot.com/o/measurements%2FMeasureMethod.ADM_FIXED_PCT%2FheightPhoto%2F1778363694849?alt=media&amp;token=ba261537-85af-441f-9441-78ef7e530de6" TargetMode="External"/><Relationship Id="rId138" Type="http://schemas.openxmlformats.org/officeDocument/2006/relationships/hyperlink" Target="https://firebasestorage.googleapis.com/v0/b/wt-foundation-production.appspot.com/o/measurements%2FMeasureMethod.ADM_FIXED_PCT%2FheightPhoto%2F1778365529889?alt=media&amp;token=26bb30d2-0a26-482b-922e-f37510c05bfa" TargetMode="External"/><Relationship Id="rId191" Type="http://schemas.openxmlformats.org/officeDocument/2006/relationships/hyperlink" Target="https://firebasestorage.googleapis.com/v0/b/wt-foundation-production.appspot.com/o/measurements%2FMeasureMethod.ADM_FIXED_PCT%2FdbhPhoto%2F1773951464303?alt=media&amp;token=90f38c91-c034-48ea-b69b-79067b1e0281" TargetMode="External"/><Relationship Id="rId205" Type="http://schemas.openxmlformats.org/officeDocument/2006/relationships/hyperlink" Target="https://firebasestorage.googleapis.com/v0/b/wt-foundation-production.appspot.com/o/measurements%2FMeasureMethod.ADM_FIXED_PCT%2Fdepth%2F1773896128224?alt=media&amp;token=c9fb6799-ee1d-47c1-a416-38af36859577" TargetMode="External"/><Relationship Id="rId247" Type="http://schemas.openxmlformats.org/officeDocument/2006/relationships/hyperlink" Target="https://firebasestorage.googleapis.com/v0/b/wt-foundation-production.appspot.com/o/measurements%2FMeasureMethod.ADM_FIXED_PCT%2FdbhPhoto%2F1781838044699?alt=media&amp;token=ef6edc58-e934-4541-89ea-b167533a570c" TargetMode="External"/><Relationship Id="rId107" Type="http://schemas.openxmlformats.org/officeDocument/2006/relationships/hyperlink" Target="https://firebasestorage.googleapis.com/v0/b/wt-foundation-production.appspot.com/o/measurements%2FMeasureMethod.ADM_FIXED_PCT%2FdbhPhoto%2F1778363890513?alt=media&amp;token=1f69e97b-5893-455d-a199-0371f5a63306" TargetMode="External"/><Relationship Id="rId289" Type="http://schemas.openxmlformats.org/officeDocument/2006/relationships/hyperlink" Target="https://firebasestorage.googleapis.com/v0/b/wt-foundation-production.appspot.com/o/measurements%2FMeasureMethod.ADM_FIXED_PCT%2FdbhPhoto%2F1781838325502?alt=media&amp;token=7a42b687-5e95-40fe-800f-627f70588c3f" TargetMode="External"/><Relationship Id="rId11" Type="http://schemas.openxmlformats.org/officeDocument/2006/relationships/hyperlink" Target="https://firebasestorage.googleapis.com/v0/b/wt-foundation-production.appspot.com/o/measurements%2FMeasureMethod.ADM_FIXED_PCT%2FdbhPhoto%2F1777662011072?alt=media&amp;token=006cee0b-f419-4857-82bb-34fb5adb4aa6" TargetMode="External"/><Relationship Id="rId53" Type="http://schemas.openxmlformats.org/officeDocument/2006/relationships/hyperlink" Target="https://firebasestorage.googleapis.com/v0/b/wt-foundation-production.appspot.com/o/measurements%2FMeasureMethod.ADM_FIXED_PCT%2FdbhPhoto%2F1778276268067?alt=media&amp;token=5023f051-5a26-4e52-bc8b-3cae69018bb2" TargetMode="External"/><Relationship Id="rId149" Type="http://schemas.openxmlformats.org/officeDocument/2006/relationships/hyperlink" Target="https://firebasestorage.googleapis.com/v0/b/wt-foundation-production.appspot.com/o/measurements%2FMeasureMethod.ADM_FIXED_PCT%2FdbhPhoto%2F1778399409960?alt=media&amp;token=6f01c33e-d8ff-49ca-974b-63d8ca6c9aa7" TargetMode="External"/><Relationship Id="rId314" Type="http://schemas.openxmlformats.org/officeDocument/2006/relationships/hyperlink" Target="https://firebasestorage.googleapis.com/v0/b/wt-foundation-production.appspot.com/o/measurements%2FMeasureMethod.ADM_FIXED_PCT%2FdbhPhoto%2F1781838557324?alt=media&amp;token=be1e612f-f6fd-419a-aa53-7a87bc011735" TargetMode="External"/><Relationship Id="rId95" Type="http://schemas.openxmlformats.org/officeDocument/2006/relationships/hyperlink" Target="https://firebasestorage.googleapis.com/v0/b/wt-foundation-production.appspot.com/o/measurements%2FMeasureMethod.ADM_FIXED_PCT%2FdbhPhoto%2F1778363860533?alt=media&amp;token=264fb231-67d6-4257-a448-d3c30b355c5a" TargetMode="External"/><Relationship Id="rId160" Type="http://schemas.openxmlformats.org/officeDocument/2006/relationships/hyperlink" Target="https://firebasestorage.googleapis.com/v0/b/wt-foundation-production.appspot.com/o/measurements%2FMeasureMethod.ADM_FIXED_PCT%2FheightPhoto%2F1778399367799?alt=media&amp;token=6c80cf83-1b7e-4861-b4da-6e976efe4172" TargetMode="External"/><Relationship Id="rId216" Type="http://schemas.openxmlformats.org/officeDocument/2006/relationships/hyperlink" Target="https://firebasestorage.googleapis.com/v0/b/wt-foundation-production.appspot.com/o/measurements%2FMeasureMethod.ADM_FIXED_PCT%2FdbhPhoto%2F1781723873542?alt=media&amp;token=2cafb71e-3b84-42eb-ba42-77f8c5c35af9" TargetMode="External"/><Relationship Id="rId258" Type="http://schemas.openxmlformats.org/officeDocument/2006/relationships/hyperlink" Target="https://firebasestorage.googleapis.com/v0/b/wt-foundation-production.appspot.com/o/measurements%2FMeasureMethod.ADM_FIXED_PCT%2FheightPhoto%2F1781803672516?alt=media&amp;token=47ee7829-5506-426c-be5c-495c170cc7e6" TargetMode="External"/><Relationship Id="rId22" Type="http://schemas.openxmlformats.org/officeDocument/2006/relationships/hyperlink" Target="https://firebasestorage.googleapis.com/v0/b/wt-foundation-production.appspot.com/o/measurements%2FMeasureMethod.ADM_FIXED_PCT%2FheightPhoto%2F1777663473731?alt=media&amp;token=e0517204-00cb-4eb7-a63f-5c3aff85c72b" TargetMode="External"/><Relationship Id="rId64" Type="http://schemas.openxmlformats.org/officeDocument/2006/relationships/hyperlink" Target="https://firebasestorage.googleapis.com/v0/b/wt-foundation-production.appspot.com/o/measurements%2FMeasureMethod.ADM_FIXED_PCT%2FheightPhoto%2F1778276289317?alt=media&amp;token=5122a896-9eeb-4e5a-9b3b-fcd6401584c7" TargetMode="External"/><Relationship Id="rId118" Type="http://schemas.openxmlformats.org/officeDocument/2006/relationships/hyperlink" Target="https://firebasestorage.googleapis.com/v0/b/wt-foundation-production.appspot.com/o/measurements%2FMeasureMethod.ADM_FIXED_PCT%2FheightPhoto%2F1778363919242?alt=media&amp;token=6ec52ac3-5229-479d-a8e0-9e679900cf99" TargetMode="External"/><Relationship Id="rId171" Type="http://schemas.openxmlformats.org/officeDocument/2006/relationships/hyperlink" Target="https://firebasestorage.googleapis.com/v0/b/wt-foundation-production.appspot.com/o/measurements%2FMeasureMethod.ADM_FIXED_PCT%2FheightPhoto%2F1773950701941?alt=media&amp;token=334acf8e-1b2d-42b9-ae12-bdaba847603b" TargetMode="External"/><Relationship Id="rId227" Type="http://schemas.openxmlformats.org/officeDocument/2006/relationships/hyperlink" Target="https://firebasestorage.googleapis.com/v0/b/wt-foundation-production.appspot.com/o/measurements%2FMeasureMethod.ADM_FIXED_PCT%2FdbhPhoto%2F1781723892773?alt=media&amp;token=c7f0e7fc-2528-4273-a4da-d2dcd82d07e8" TargetMode="External"/><Relationship Id="rId269" Type="http://schemas.openxmlformats.org/officeDocument/2006/relationships/hyperlink" Target="https://firebasestorage.googleapis.com/v0/b/wt-foundation-production.appspot.com/o/measurements%2FMeasureMethod.ADM_FIXED_PCT%2FheightPhoto%2F1781838043858?alt=media&amp;token=b9349674-2590-4a61-819e-acea9bea3ff1" TargetMode="External"/><Relationship Id="rId33" Type="http://schemas.openxmlformats.org/officeDocument/2006/relationships/hyperlink" Target="https://firebasestorage.googleapis.com/v0/b/wt-foundation-production.appspot.com/o/measurements%2FMeasureMethod.ADM_FIXED_PCT%2FdbhPhoto%2F1778276203187?alt=media&amp;token=d9dbad09-687a-4eca-baf6-b94764258631" TargetMode="External"/><Relationship Id="rId129" Type="http://schemas.openxmlformats.org/officeDocument/2006/relationships/hyperlink" Target="https://firebasestorage.googleapis.com/v0/b/wt-foundation-production.appspot.com/o/measurements%2FMeasureMethod.ADM_FIXED_PCT%2FdbhPhoto%2F1778365513741?alt=media&amp;token=05882b9d-3f38-4a41-b95a-44c2d924c02e" TargetMode="External"/><Relationship Id="rId280" Type="http://schemas.openxmlformats.org/officeDocument/2006/relationships/hyperlink" Target="https://firebasestorage.googleapis.com/v0/b/wt-foundation-production.appspot.com/o/measurements%2FMeasureMethod.ADM_FIXED_PCT%2FheightPhoto%2F1781838137594?alt=media&amp;token=fe18b788-aa3a-43f8-b5a2-cbd78d2dd0d4" TargetMode="External"/><Relationship Id="rId75" Type="http://schemas.openxmlformats.org/officeDocument/2006/relationships/hyperlink" Target="https://firebasestorage.googleapis.com/v0/b/wt-foundation-production.appspot.com/o/measurements%2FMeasureMethod.ADM_FIXED_PCT%2FdbhPhoto%2F1778363642048?alt=media&amp;token=a6083727-9fa1-413d-a4ce-845a4202b91a" TargetMode="External"/><Relationship Id="rId140" Type="http://schemas.openxmlformats.org/officeDocument/2006/relationships/hyperlink" Target="https://firebasestorage.googleapis.com/v0/b/wt-foundation-production.appspot.com/o/measurements%2FMeasureMethod.ADM_FIXED_PCT%2FheightPhoto%2F1778365533723?alt=media&amp;token=8961b3aa-9753-4c92-9fef-7097c1f0f32c" TargetMode="External"/><Relationship Id="rId182" Type="http://schemas.openxmlformats.org/officeDocument/2006/relationships/hyperlink" Target="https://firebasestorage.googleapis.com/v0/b/wt-foundation-production.appspot.com/o/measurements%2FMeasureMethod.ADM_FIXED_PCT%2FdbhPhoto%2F1773950833094?alt=media&amp;token=1a523a6e-2219-476d-80df-b91a47f5f70b" TargetMode="External"/><Relationship Id="rId6" Type="http://schemas.openxmlformats.org/officeDocument/2006/relationships/hyperlink" Target="https://firebasestorage.googleapis.com/v0/b/wt-foundation-production.appspot.com/o/measurements%2FMeasureMethod.ADM_FIXED_PCT%2FheightPhoto%2F1777661646197?alt=media&amp;token=bd5bcb27-1762-4854-b594-a99d1e9fc935" TargetMode="External"/><Relationship Id="rId238" Type="http://schemas.openxmlformats.org/officeDocument/2006/relationships/hyperlink" Target="https://firebasestorage.googleapis.com/v0/b/wt-foundation-production.appspot.com/o/measurements%2FMeasureMethod.ADM_FIXED_PCT%2FdbhPhoto%2F1781803677659?alt=media&amp;token=161f5d1a-dcb9-4a74-8746-cb6b813ccfad" TargetMode="External"/><Relationship Id="rId291" Type="http://schemas.openxmlformats.org/officeDocument/2006/relationships/hyperlink" Target="https://firebasestorage.googleapis.com/v0/b/wt-foundation-production.appspot.com/o/measurements%2FMeasureMethod.ADM_FIXED_PCT%2FheightPhoto%2F1781838201290?alt=media&amp;token=d2eb55f7-9910-40ae-ab02-5e3f79166d88" TargetMode="External"/><Relationship Id="rId305" Type="http://schemas.openxmlformats.org/officeDocument/2006/relationships/hyperlink" Target="https://firebasestorage.googleapis.com/v0/b/wt-foundation-production.appspot.com/o/measurements%2FMeasureMethod.ADM_FIXED_PCT%2FdbhPhoto%2F1781838538562?alt=media&amp;token=3153aa8d-0de8-4841-a3ae-87ba6492d062" TargetMode="External"/><Relationship Id="rId44" Type="http://schemas.openxmlformats.org/officeDocument/2006/relationships/hyperlink" Target="https://firebasestorage.googleapis.com/v0/b/wt-foundation-production.appspot.com/o/measurements%2FMeasureMethod.ADM_FIXED_PCT%2FheightPhoto%2F1778276224361?alt=media&amp;token=03396310-7bea-4a83-91a7-4ba545d9d245" TargetMode="External"/><Relationship Id="rId86" Type="http://schemas.openxmlformats.org/officeDocument/2006/relationships/hyperlink" Target="https://firebasestorage.googleapis.com/v0/b/wt-foundation-production.appspot.com/o/measurements%2FMeasureMethod.ADM_FIXED_PCT%2FheightPhoto%2F1778363722127?alt=media&amp;token=4f95fd9f-f155-401a-be78-1e12db948b2f" TargetMode="External"/><Relationship Id="rId151" Type="http://schemas.openxmlformats.org/officeDocument/2006/relationships/hyperlink" Target="https://firebasestorage.googleapis.com/v0/b/wt-foundation-production.appspot.com/o/measurements%2FMeasureMethod.ADM_FIXED_PCT%2FdbhPhoto%2F1778399341042?alt=media&amp;token=3f19249c-fc4c-467e-b829-87a286056ce5" TargetMode="External"/><Relationship Id="rId193" Type="http://schemas.openxmlformats.org/officeDocument/2006/relationships/hyperlink" Target="https://firebasestorage.googleapis.com/v0/b/wt-foundation-production.appspot.com/o/measurements%2FMeasureMethod.ADM_FIXED_PCT%2Fdepth%2F1773951464316?alt=media&amp;token=96bd8b0c-23ff-45d4-ad38-49c737e4506d" TargetMode="External"/><Relationship Id="rId207" Type="http://schemas.openxmlformats.org/officeDocument/2006/relationships/hyperlink" Target="https://firebasestorage.googleapis.com/v0/b/wt-foundation-production.appspot.com/o/measurements%2FMeasureMethod.ADM_FIXED_PCT%2FheightPhoto%2F1773896143908?alt=media&amp;token=b9cda55f-d757-40da-aaec-f31e83fa3f63" TargetMode="External"/><Relationship Id="rId249" Type="http://schemas.openxmlformats.org/officeDocument/2006/relationships/hyperlink" Target="https://firebasestorage.googleapis.com/v0/b/wt-foundation-production.appspot.com/o/measurements%2FMeasureMethod.ADM_FIXED_PCT%2FdbhPhoto%2F1781838052019?alt=media&amp;token=8f14bca9-53a7-408d-b75d-5c3921f2253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irebasestorage.googleapis.com/v0/b/wt-foundation-production.appspot.com/o/measurements%2FMeasureMethod.ADM_FIXED_PCT%2FdbhPhoto%2F1781838156623?alt=media&amp;token=946956b8-ebec-44da-96e1-f4b0251e2631" TargetMode="External"/><Relationship Id="rId21" Type="http://schemas.openxmlformats.org/officeDocument/2006/relationships/hyperlink" Target="https://firebasestorage.googleapis.com/v0/b/wt-foundation-production.appspot.com/o/measurements%2FMeasureMethod.ADM_FIXED_PCT%2FdbhPhoto%2F1781838116119?alt=media&amp;token=ec9b0285-bff8-4df6-a1bb-8e6653f6def4" TargetMode="External"/><Relationship Id="rId42" Type="http://schemas.openxmlformats.org/officeDocument/2006/relationships/hyperlink" Target="https://firebasestorage.googleapis.com/v0/b/wt-foundation-production.appspot.com/o/measurements%2FMeasureMethod.ADM_FIXED_PCT%2FdbhPhoto%2F1781838567861?alt=media&amp;token=881f2412-ca18-43e9-a614-75de5a01e47c" TargetMode="External"/><Relationship Id="rId47" Type="http://schemas.openxmlformats.org/officeDocument/2006/relationships/hyperlink" Target="https://firebasestorage.googleapis.com/v0/b/wt-foundation-production.appspot.com/o/measurements%2FMeasureMethod.ADM_FIXED_PCT%2FheightPhoto%2F1781803664407?alt=media&amp;token=c3c1a12e-f48d-4d81-b1e1-29e56648cf4e" TargetMode="External"/><Relationship Id="rId63" Type="http://schemas.openxmlformats.org/officeDocument/2006/relationships/hyperlink" Target="https://firebasestorage.googleapis.com/v0/b/wt-foundation-production.appspot.com/o/measurements%2FMeasureMethod.ADM_FIXED_PCT%2FheightPhoto%2F1781838054407?alt=media&amp;token=cb43cda5-16f5-4933-9f19-250c557ff1dd" TargetMode="External"/><Relationship Id="rId68" Type="http://schemas.openxmlformats.org/officeDocument/2006/relationships/hyperlink" Target="https://firebasestorage.googleapis.com/v0/b/wt-foundation-production.appspot.com/o/measurements%2FMeasureMethod.ADM_FIXED_PCT%2FheightPhoto%2F1781838116310?alt=media&amp;token=5576e09a-841f-46f3-b2f9-8315175d074e" TargetMode="External"/><Relationship Id="rId84" Type="http://schemas.openxmlformats.org/officeDocument/2006/relationships/hyperlink" Target="https://firebasestorage.googleapis.com/v0/b/wt-foundation-production.appspot.com/o/measurements%2FMeasureMethod.ADM_FIXED_PCT%2FheightPhoto%2F1781838551097?alt=media&amp;token=cf4ac040-c9b5-4740-9c24-4dd6e4d4d2f4" TargetMode="External"/><Relationship Id="rId16" Type="http://schemas.openxmlformats.org/officeDocument/2006/relationships/hyperlink" Target="https://firebasestorage.googleapis.com/v0/b/wt-foundation-production.appspot.com/o/measurements%2FMeasureMethod.ADM_FIXED_PCT%2FdbhPhoto%2F1781838052019?alt=media&amp;token=8f14bca9-53a7-408d-b75d-5c3921f2253a" TargetMode="External"/><Relationship Id="rId11" Type="http://schemas.openxmlformats.org/officeDocument/2006/relationships/hyperlink" Target="https://firebasestorage.googleapis.com/v0/b/wt-foundation-production.appspot.com/o/measurements%2FMeasureMethod.ADM_FIXED_PCT%2FdbhPhoto%2F1781838014954?alt=media&amp;token=20c85b99-d785-4562-9429-3a44e5bec34e" TargetMode="External"/><Relationship Id="rId32" Type="http://schemas.openxmlformats.org/officeDocument/2006/relationships/hyperlink" Target="https://firebasestorage.googleapis.com/v0/b/wt-foundation-production.appspot.com/o/measurements%2FMeasureMethod.ADM_FIXED_PCT%2FdbhPhoto%2F1781838528274?alt=media&amp;token=86bfb70e-69be-476d-a94b-a124a42d5226" TargetMode="External"/><Relationship Id="rId37" Type="http://schemas.openxmlformats.org/officeDocument/2006/relationships/hyperlink" Target="https://firebasestorage.googleapis.com/v0/b/wt-foundation-production.appspot.com/o/measurements%2FMeasureMethod.ADM_FIXED_PCT%2FdbhPhoto%2F1781838548751?alt=media&amp;token=4c306765-8331-4e71-830a-cc95919dde39" TargetMode="External"/><Relationship Id="rId53" Type="http://schemas.openxmlformats.org/officeDocument/2006/relationships/hyperlink" Target="https://firebasestorage.googleapis.com/v0/b/wt-foundation-production.appspot.com/o/measurements%2FMeasureMethod.ADM_FIXED_PCT%2FheightPhoto%2F1781803681019?alt=media&amp;token=6484eb2b-a6e6-48bd-89bc-ad69e3d4fd52" TargetMode="External"/><Relationship Id="rId58" Type="http://schemas.openxmlformats.org/officeDocument/2006/relationships/hyperlink" Target="https://firebasestorage.googleapis.com/v0/b/wt-foundation-production.appspot.com/o/measurements%2FMeasureMethod.ADM_FIXED_PCT%2FheightPhoto%2F1781838014954?alt=media&amp;token=20e6d7e2-1965-4ead-86aa-0589fd2fb64a" TargetMode="External"/><Relationship Id="rId74" Type="http://schemas.openxmlformats.org/officeDocument/2006/relationships/hyperlink" Target="https://firebasestorage.googleapis.com/v0/b/wt-foundation-production.appspot.com/o/measurements%2FMeasureMethod.ADM_FIXED_PCT%2FheightPhoto%2F1781838211018?alt=media&amp;token=8682df60-431e-4747-b57f-9e4ae47fda31" TargetMode="External"/><Relationship Id="rId79" Type="http://schemas.openxmlformats.org/officeDocument/2006/relationships/hyperlink" Target="https://firebasestorage.googleapis.com/v0/b/wt-foundation-production.appspot.com/o/measurements%2FMeasureMethod.ADM_FIXED_PCT%2FheightPhoto%2F1781838530001?alt=media&amp;token=2f163329-6d52-4a0d-9e4f-7a0089806ef5" TargetMode="External"/><Relationship Id="rId5" Type="http://schemas.openxmlformats.org/officeDocument/2006/relationships/hyperlink" Target="https://firebasestorage.googleapis.com/v0/b/wt-foundation-production.appspot.com/o/measurements%2FMeasureMethod.ADM_FIXED_PCT%2FdbhPhoto%2F1781803677659?alt=media&amp;token=161f5d1a-dcb9-4a74-8746-cb6b813ccfad" TargetMode="External"/><Relationship Id="rId19" Type="http://schemas.openxmlformats.org/officeDocument/2006/relationships/hyperlink" Target="https://firebasestorage.googleapis.com/v0/b/wt-foundation-production.appspot.com/o/measurements%2FMeasureMethod.ADM_FIXED_PCT%2FdbhPhoto%2F1781838082338?alt=media&amp;token=3547d840-084a-4ba2-b9db-781b3ad9c9eb" TargetMode="External"/><Relationship Id="rId14" Type="http://schemas.openxmlformats.org/officeDocument/2006/relationships/hyperlink" Target="https://firebasestorage.googleapis.com/v0/b/wt-foundation-production.appspot.com/o/measurements%2FMeasureMethod.ADM_FIXED_PCT%2FdbhPhoto%2F1781838044699?alt=media&amp;token=ef6edc58-e934-4541-89ea-b167533a570c" TargetMode="External"/><Relationship Id="rId22" Type="http://schemas.openxmlformats.org/officeDocument/2006/relationships/hyperlink" Target="https://firebasestorage.googleapis.com/v0/b/wt-foundation-production.appspot.com/o/measurements%2FMeasureMethod.ADM_FIXED_PCT%2FdbhPhoto%2F1781838120637?alt=media&amp;token=b9dc505b-3375-46db-88c8-2b83973272cd" TargetMode="External"/><Relationship Id="rId27" Type="http://schemas.openxmlformats.org/officeDocument/2006/relationships/hyperlink" Target="https://firebasestorage.googleapis.com/v0/b/wt-foundation-production.appspot.com/o/measurements%2FMeasureMethod.ADM_FIXED_PCT%2FdbhPhoto%2F1781838210309?alt=media&amp;token=e951aa79-d7d3-471a-b872-b6dab1a673a7" TargetMode="External"/><Relationship Id="rId30" Type="http://schemas.openxmlformats.org/officeDocument/2006/relationships/hyperlink" Target="https://firebasestorage.googleapis.com/v0/b/wt-foundation-production.appspot.com/o/measurements%2FMeasureMethod.ADM_FIXED_PCT%2FdbhPhoto%2F1781838325502?alt=media&amp;token=7a42b687-5e95-40fe-800f-627f70588c3f" TargetMode="External"/><Relationship Id="rId35" Type="http://schemas.openxmlformats.org/officeDocument/2006/relationships/hyperlink" Target="https://firebasestorage.googleapis.com/v0/b/wt-foundation-production.appspot.com/o/measurements%2FMeasureMethod.ADM_FIXED_PCT%2FdbhPhoto%2F1781838538562?alt=media&amp;token=3153aa8d-0de8-4841-a3ae-87ba6492d062" TargetMode="External"/><Relationship Id="rId43" Type="http://schemas.openxmlformats.org/officeDocument/2006/relationships/hyperlink" Target="https://firebasestorage.googleapis.com/v0/b/wt-foundation-production.appspot.com/o/measurements%2FMeasureMethod.ADM_FIXED_PCT%2FdbhPhoto%2F1781803660211?alt=media&amp;token=f11489ce-0e2b-4c2a-8141-d9eacd666b2a" TargetMode="External"/><Relationship Id="rId48" Type="http://schemas.openxmlformats.org/officeDocument/2006/relationships/hyperlink" Target="https://firebasestorage.googleapis.com/v0/b/wt-foundation-production.appspot.com/o/measurements%2FMeasureMethod.ADM_FIXED_PCT%2FheightPhoto%2F1781803668985?alt=media&amp;token=e8faf049-4f9f-4916-a1c5-03ff1766f3d7" TargetMode="External"/><Relationship Id="rId56" Type="http://schemas.openxmlformats.org/officeDocument/2006/relationships/hyperlink" Target="https://firebasestorage.googleapis.com/v0/b/wt-foundation-production.appspot.com/o/measurements%2FMeasureMethod.ADM_FIXED_PCT%2FheightPhoto%2F1781803687171?alt=media&amp;token=0af7d819-0832-4a32-a927-7c4326d22d20" TargetMode="External"/><Relationship Id="rId64" Type="http://schemas.openxmlformats.org/officeDocument/2006/relationships/hyperlink" Target="https://firebasestorage.googleapis.com/v0/b/wt-foundation-production.appspot.com/o/measurements%2FMeasureMethod.ADM_FIXED_PCT%2FheightPhoto%2F1781838070841?alt=media&amp;token=2a10d3a1-c6bf-4ceb-801c-4fe866d8c16e" TargetMode="External"/><Relationship Id="rId69" Type="http://schemas.openxmlformats.org/officeDocument/2006/relationships/hyperlink" Target="https://firebasestorage.googleapis.com/v0/b/wt-foundation-production.appspot.com/o/measurements%2FMeasureMethod.ADM_FIXED_PCT%2FheightPhoto%2F1781838125321?alt=media&amp;token=d1719f0b-d445-45ea-8a11-4c82968a29ae" TargetMode="External"/><Relationship Id="rId77" Type="http://schemas.openxmlformats.org/officeDocument/2006/relationships/hyperlink" Target="https://firebasestorage.googleapis.com/v0/b/wt-foundation-production.appspot.com/o/measurements%2FMeasureMethod.ADM%2FheightPhoto%2F1781838340756?alt=media&amp;token=ba533fce-48db-4463-aeca-632cd1bcf6f8" TargetMode="External"/><Relationship Id="rId8" Type="http://schemas.openxmlformats.org/officeDocument/2006/relationships/hyperlink" Target="https://firebasestorage.googleapis.com/v0/b/wt-foundation-production.appspot.com/o/measurements%2FMeasureMethod.ADM_FIXED_PCT%2FdbhPhoto%2F1781803683851?alt=media&amp;token=71bc3cfb-0d6f-4d20-965c-fe9077ff7d06" TargetMode="External"/><Relationship Id="rId51" Type="http://schemas.openxmlformats.org/officeDocument/2006/relationships/hyperlink" Target="https://firebasestorage.googleapis.com/v0/b/wt-foundation-production.appspot.com/o/measurements%2FMeasureMethod.ADM_FIXED_PCT%2FheightPhoto%2F1781803677254?alt=media&amp;token=af7cf094-b864-4843-a3ff-6cb118399335" TargetMode="External"/><Relationship Id="rId72" Type="http://schemas.openxmlformats.org/officeDocument/2006/relationships/hyperlink" Target="https://firebasestorage.googleapis.com/v0/b/wt-foundation-production.appspot.com/o/measurements%2FMeasureMethod.ADM_FIXED_PCT%2FheightPhoto%2F1781838155931?alt=media&amp;token=5e5b3218-52fa-4bb3-80c8-8bb7b9757457" TargetMode="External"/><Relationship Id="rId80" Type="http://schemas.openxmlformats.org/officeDocument/2006/relationships/hyperlink" Target="https://firebasestorage.googleapis.com/v0/b/wt-foundation-production.appspot.com/o/measurements%2FMeasureMethod.ADM_FIXED_PCT%2FheightPhoto%2F1781838532507?alt=media&amp;token=1d200eee-44f3-42ce-9ba7-811f17340bb6" TargetMode="External"/><Relationship Id="rId85" Type="http://schemas.openxmlformats.org/officeDocument/2006/relationships/hyperlink" Target="https://firebasestorage.googleapis.com/v0/b/wt-foundation-production.appspot.com/o/measurements%2FMeasureMethod.ADM_FIXED_PCT%2FheightPhoto%2F1781838554938?alt=media&amp;token=8eaa41c6-84d1-4db1-a661-cb0acab52bba" TargetMode="External"/><Relationship Id="rId3" Type="http://schemas.openxmlformats.org/officeDocument/2006/relationships/hyperlink" Target="https://firebasestorage.googleapis.com/v0/b/wt-foundation-production.appspot.com/o/measurements%2FMeasureMethod.ADM_FIXED_PCT%2FdbhPhoto%2F1781803673755?alt=media&amp;token=ff3fed3c-7768-4d1d-bbf3-b08e4cffaf6b" TargetMode="External"/><Relationship Id="rId12" Type="http://schemas.openxmlformats.org/officeDocument/2006/relationships/hyperlink" Target="https://firebasestorage.googleapis.com/v0/b/wt-foundation-production.appspot.com/o/measurements%2FMeasureMethod.ADM_FIXED_PCT%2FdbhPhoto%2F1781838027485?alt=media&amp;token=337e13f1-12ef-483f-bb0e-fecc0069ce0c" TargetMode="External"/><Relationship Id="rId17" Type="http://schemas.openxmlformats.org/officeDocument/2006/relationships/hyperlink" Target="https://firebasestorage.googleapis.com/v0/b/wt-foundation-production.appspot.com/o/measurements%2FMeasureMethod.ADM_FIXED_PCT%2FdbhPhoto%2F1781838063023?alt=media&amp;token=5e524cba-a893-425c-9e99-5e592b38e0ff" TargetMode="External"/><Relationship Id="rId25" Type="http://schemas.openxmlformats.org/officeDocument/2006/relationships/hyperlink" Target="https://firebasestorage.googleapis.com/v0/b/wt-foundation-production.appspot.com/o/measurements%2FMeasureMethod.ADM_FIXED_PCT%2FdbhPhoto%2F1781838153243?alt=media&amp;token=fc262915-ce82-476d-a815-b4da732ef55f" TargetMode="External"/><Relationship Id="rId33" Type="http://schemas.openxmlformats.org/officeDocument/2006/relationships/hyperlink" Target="https://firebasestorage.googleapis.com/v0/b/wt-foundation-production.appspot.com/o/measurements%2FMeasureMethod.ADM_FIXED_PCT%2FdbhPhoto%2F1781838531099?alt=media&amp;token=ce4c7be1-bf37-4e68-b198-23c20a155232" TargetMode="External"/><Relationship Id="rId38" Type="http://schemas.openxmlformats.org/officeDocument/2006/relationships/hyperlink" Target="https://firebasestorage.googleapis.com/v0/b/wt-foundation-production.appspot.com/o/measurements%2FMeasureMethod.ADM_FIXED_PCT%2FdbhPhoto%2F1781838553606?alt=media&amp;token=a242841f-7db8-4eb4-9268-99be89e80af4" TargetMode="External"/><Relationship Id="rId46" Type="http://schemas.openxmlformats.org/officeDocument/2006/relationships/hyperlink" Target="https://firebasestorage.googleapis.com/v0/b/wt-foundation-production.appspot.com/o/measurements%2FMeasureMethod.ADM_FIXED_PCT%2FheightPhoto%2F1781803660211?alt=media&amp;token=b101223c-f6a6-468b-b242-cd0a82fb7461" TargetMode="External"/><Relationship Id="rId59" Type="http://schemas.openxmlformats.org/officeDocument/2006/relationships/hyperlink" Target="https://firebasestorage.googleapis.com/v0/b/wt-foundation-production.appspot.com/o/measurements%2FMeasureMethod.ADM_FIXED_PCT%2FheightPhoto%2F1781838037201?alt=media&amp;token=799bf7b8-01f6-4ab6-88ff-c95375a189db" TargetMode="External"/><Relationship Id="rId67" Type="http://schemas.openxmlformats.org/officeDocument/2006/relationships/hyperlink" Target="https://firebasestorage.googleapis.com/v0/b/wt-foundation-production.appspot.com/o/measurements%2FMeasureMethod.ADM_FIXED_PCT%2FheightPhoto%2F1781838090373?alt=media&amp;token=dfb04177-ee44-418a-b051-0f3ad1869251" TargetMode="External"/><Relationship Id="rId20" Type="http://schemas.openxmlformats.org/officeDocument/2006/relationships/hyperlink" Target="https://firebasestorage.googleapis.com/v0/b/wt-foundation-production.appspot.com/o/measurements%2FMeasureMethod.ADM_FIXED_PCT%2FdbhPhoto%2F1781838087715?alt=media&amp;token=078f12dd-b707-4dda-bb15-fe739c2545ae" TargetMode="External"/><Relationship Id="rId41" Type="http://schemas.openxmlformats.org/officeDocument/2006/relationships/hyperlink" Target="https://firebasestorage.googleapis.com/v0/b/wt-foundation-production.appspot.com/o/measurements%2FMeasureMethod.ADM_FIXED_PCT%2FdbhPhoto%2F1781838563839?alt=media&amp;token=f27d4907-98cc-4503-ae2f-a0195e7a3d4e" TargetMode="External"/><Relationship Id="rId54" Type="http://schemas.openxmlformats.org/officeDocument/2006/relationships/hyperlink" Target="https://firebasestorage.googleapis.com/v0/b/wt-foundation-production.appspot.com/o/measurements%2FMeasureMethod.ADM_FIXED_PCT%2FheightPhoto%2F1781803682843?alt=media&amp;token=177f28bc-ca90-4015-a62a-5c2dc2725dde" TargetMode="External"/><Relationship Id="rId62" Type="http://schemas.openxmlformats.org/officeDocument/2006/relationships/hyperlink" Target="https://firebasestorage.googleapis.com/v0/b/wt-foundation-production.appspot.com/o/measurements%2FMeasureMethod.ADM_FIXED_PCT%2FheightPhoto%2F1781838050135?alt=media&amp;token=33ed59c4-081e-4826-813e-04b58c509f02" TargetMode="External"/><Relationship Id="rId70" Type="http://schemas.openxmlformats.org/officeDocument/2006/relationships/hyperlink" Target="https://firebasestorage.googleapis.com/v0/b/wt-foundation-production.appspot.com/o/measurements%2FMeasureMethod.ADM_FIXED_PCT%2FheightPhoto%2F1781838137594?alt=media&amp;token=fe18b788-aa3a-43f8-b5a2-cbd78d2dd0d4" TargetMode="External"/><Relationship Id="rId75" Type="http://schemas.openxmlformats.org/officeDocument/2006/relationships/hyperlink" Target="https://firebasestorage.googleapis.com/v0/b/wt-foundation-production.appspot.com/o/measurements%2FMeasureMethod.ADM_FIXED_PCT%2FheightPhoto%2F1781838262286?alt=media&amp;token=b00a336e-fd97-436c-954e-e3eb91f1963e" TargetMode="External"/><Relationship Id="rId83" Type="http://schemas.openxmlformats.org/officeDocument/2006/relationships/hyperlink" Target="https://firebasestorage.googleapis.com/v0/b/wt-foundation-production.appspot.com/o/measurements%2FMeasureMethod.ADM_FIXED_PCT%2FheightPhoto%2F1781838546591?alt=media&amp;token=6ee48ded-72eb-4486-ae08-06b0a926aa4a" TargetMode="External"/><Relationship Id="rId88" Type="http://schemas.openxmlformats.org/officeDocument/2006/relationships/hyperlink" Target="https://firebasestorage.googleapis.com/v0/b/wt-foundation-production.appspot.com/o/measurements%2FMeasureMethod.ADM_FIXED_PCT%2FheightPhoto%2F1781838565854?alt=media&amp;token=171a0a08-df4b-4038-8a33-a1388f1287ce" TargetMode="External"/><Relationship Id="rId1" Type="http://schemas.openxmlformats.org/officeDocument/2006/relationships/hyperlink" Target="https://firebasestorage.googleapis.com/v0/b/wt-foundation-production.appspot.com/o/measurements%2FMeasureMethod.ADM_FIXED_PCT%2FdbhPhoto%2F1781803665339?alt=media&amp;token=479e30fa-736a-4a18-9ad6-b8cc5bddc5fb" TargetMode="External"/><Relationship Id="rId6" Type="http://schemas.openxmlformats.org/officeDocument/2006/relationships/hyperlink" Target="https://firebasestorage.googleapis.com/v0/b/wt-foundation-production.appspot.com/o/measurements%2FMeasureMethod.ADM_FIXED_PCT%2FdbhPhoto%2F1781803680143?alt=media&amp;token=112193ed-8a20-456d-9090-a4db069547ab" TargetMode="External"/><Relationship Id="rId15" Type="http://schemas.openxmlformats.org/officeDocument/2006/relationships/hyperlink" Target="https://firebasestorage.googleapis.com/v0/b/wt-foundation-production.appspot.com/o/measurements%2FMeasureMethod.ADM_FIXED_PCT%2FdbhPhoto%2F1781838048226?alt=media&amp;token=178825a5-2de1-45b0-8bc6-d79a0868b8ec" TargetMode="External"/><Relationship Id="rId23" Type="http://schemas.openxmlformats.org/officeDocument/2006/relationships/hyperlink" Target="https://firebasestorage.googleapis.com/v0/b/wt-foundation-production.appspot.com/o/measurements%2FMeasureMethod.ADM_FIXED_PCT%2FdbhPhoto%2F1781838130168?alt=media&amp;token=e81dbb7a-ea35-4df6-b14f-fd383d0095b8" TargetMode="External"/><Relationship Id="rId28" Type="http://schemas.openxmlformats.org/officeDocument/2006/relationships/hyperlink" Target="https://firebasestorage.googleapis.com/v0/b/wt-foundation-production.appspot.com/o/measurements%2FMeasureMethod.ADM_FIXED_PCT%2FdbhPhoto%2F1781838255605?alt=media&amp;token=b5ae02de-828e-44a7-ac36-72f979c3e906" TargetMode="External"/><Relationship Id="rId36" Type="http://schemas.openxmlformats.org/officeDocument/2006/relationships/hyperlink" Target="https://firebasestorage.googleapis.com/v0/b/wt-foundation-production.appspot.com/o/measurements%2FMeasureMethod.ADM_FIXED_PCT%2FdbhPhoto%2F1781838544256?alt=media&amp;token=08517458-fdf3-4a5c-8ae4-81e682133067" TargetMode="External"/><Relationship Id="rId49" Type="http://schemas.openxmlformats.org/officeDocument/2006/relationships/hyperlink" Target="https://firebasestorage.googleapis.com/v0/b/wt-foundation-production.appspot.com/o/measurements%2FMeasureMethod.ADM_FIXED_PCT%2FheightPhoto%2F1781803672516?alt=media&amp;token=47ee7829-5506-426c-be5c-495c170cc7e6" TargetMode="External"/><Relationship Id="rId57" Type="http://schemas.openxmlformats.org/officeDocument/2006/relationships/hyperlink" Target="https://firebasestorage.googleapis.com/v0/b/wt-foundation-production.appspot.com/o/measurements%2FMeasureMethod.ADM_FIXED_PCT%2FheightPhoto%2F1781838014954?alt=media&amp;token=6d3f206f-8948-4a5b-a151-0832dbb4a07c" TargetMode="External"/><Relationship Id="rId10" Type="http://schemas.openxmlformats.org/officeDocument/2006/relationships/hyperlink" Target="https://firebasestorage.googleapis.com/v0/b/wt-foundation-production.appspot.com/o/measurements%2FMeasureMethod.ADM_FIXED_PCT%2FdbhPhoto%2F1781838014954?alt=media&amp;token=20c85b99-d785-4562-9429-3a44e5bec34e" TargetMode="External"/><Relationship Id="rId31" Type="http://schemas.openxmlformats.org/officeDocument/2006/relationships/hyperlink" Target="https://firebasestorage.googleapis.com/v0/b/wt-foundation-production.appspot.com/o/measurements%2FMeasureMethod.ADM%2FdbhPhoto%2F1781838524495?alt=media&amp;token=0810b57d-edc9-484c-94f6-7c250192d057" TargetMode="External"/><Relationship Id="rId44" Type="http://schemas.openxmlformats.org/officeDocument/2006/relationships/hyperlink" Target="https://firebasestorage.googleapis.com/v0/b/wt-foundation-production.appspot.com/o/measurements%2FMeasureMethod.ADM_FIXED_PCT%2FdbhPhoto%2F1781803662280?alt=media&amp;token=71f543a3-2c28-4815-b8c1-bb106c58b188" TargetMode="External"/><Relationship Id="rId52" Type="http://schemas.openxmlformats.org/officeDocument/2006/relationships/hyperlink" Target="https://firebasestorage.googleapis.com/v0/b/wt-foundation-production.appspot.com/o/measurements%2FMeasureMethod.ADM_FIXED_PCT%2FheightPhoto%2F1781803679000?alt=media&amp;token=81f6cf68-a8ab-414f-a2c6-3675690b0368" TargetMode="External"/><Relationship Id="rId60" Type="http://schemas.openxmlformats.org/officeDocument/2006/relationships/hyperlink" Target="https://firebasestorage.googleapis.com/v0/b/wt-foundation-production.appspot.com/o/measurements%2FMeasureMethod.ADM_FIXED_PCT%2FheightPhoto%2F1781838043858?alt=media&amp;token=b9349674-2590-4a61-819e-acea9bea3ff1" TargetMode="External"/><Relationship Id="rId65" Type="http://schemas.openxmlformats.org/officeDocument/2006/relationships/hyperlink" Target="https://firebasestorage.googleapis.com/v0/b/wt-foundation-production.appspot.com/o/measurements%2FMeasureMethod.ADM_FIXED_PCT%2FheightPhoto%2F1781838081660?alt=media&amp;token=7037bd40-d81c-4d3d-aa87-d19f1479ddd3" TargetMode="External"/><Relationship Id="rId73" Type="http://schemas.openxmlformats.org/officeDocument/2006/relationships/hyperlink" Target="https://firebasestorage.googleapis.com/v0/b/wt-foundation-production.appspot.com/o/measurements%2FMeasureMethod.ADM_FIXED_PCT%2FheightPhoto%2F1781838201290?alt=media&amp;token=d2eb55f7-9910-40ae-ab02-5e3f79166d88" TargetMode="External"/><Relationship Id="rId78" Type="http://schemas.openxmlformats.org/officeDocument/2006/relationships/hyperlink" Target="https://firebasestorage.googleapis.com/v0/b/wt-foundation-production.appspot.com/o/measurements%2FMeasureMethod.ADM_FIXED_PCT%2FheightPhoto%2F1781838524539?alt=media&amp;token=beea6f4c-4a83-4d53-8a07-317de7da44c8" TargetMode="External"/><Relationship Id="rId81" Type="http://schemas.openxmlformats.org/officeDocument/2006/relationships/hyperlink" Target="https://firebasestorage.googleapis.com/v0/b/wt-foundation-production.appspot.com/o/measurements%2FMeasureMethod.ADM_FIXED_PCT%2FheightPhoto%2F1781838538168?alt=media&amp;token=af84cc52-a2a8-42c1-b923-386aed874b6e" TargetMode="External"/><Relationship Id="rId86" Type="http://schemas.openxmlformats.org/officeDocument/2006/relationships/hyperlink" Target="https://firebasestorage.googleapis.com/v0/b/wt-foundation-production.appspot.com/o/measurements%2FMeasureMethod.ADM_FIXED_PCT%2FheightPhoto%2F1781838558640?alt=media&amp;token=38a30a88-4177-4e5d-9a42-f4f6a42f7869" TargetMode="External"/><Relationship Id="rId4" Type="http://schemas.openxmlformats.org/officeDocument/2006/relationships/hyperlink" Target="https://firebasestorage.googleapis.com/v0/b/wt-foundation-production.appspot.com/o/measurements%2FMeasureMethod.ADM_FIXED_PCT%2FdbhPhoto%2F1781803675800?alt=media&amp;token=9cf7ff66-5127-44e4-8ce8-a17476d441ce" TargetMode="External"/><Relationship Id="rId9" Type="http://schemas.openxmlformats.org/officeDocument/2006/relationships/hyperlink" Target="https://firebasestorage.googleapis.com/v0/b/wt-foundation-production.appspot.com/o/measurements%2FMeasureMethod.ADM_FIXED_PCT%2FdbhPhoto%2F1781803685800?alt=media&amp;token=83d0e0fe-804b-40ec-94e7-f5cdb387ef40" TargetMode="External"/><Relationship Id="rId13" Type="http://schemas.openxmlformats.org/officeDocument/2006/relationships/hyperlink" Target="https://firebasestorage.googleapis.com/v0/b/wt-foundation-production.appspot.com/o/measurements%2FMeasureMethod.ADM_FIXED_PCT%2FdbhPhoto%2F1781838041599?alt=media&amp;token=650c1baf-9856-44fa-8c4d-9f5c44514984" TargetMode="External"/><Relationship Id="rId18" Type="http://schemas.openxmlformats.org/officeDocument/2006/relationships/hyperlink" Target="https://firebasestorage.googleapis.com/v0/b/wt-foundation-production.appspot.com/o/measurements%2FMeasureMethod.ADM_FIXED_PCT%2FdbhPhoto%2F1781838080054?alt=media&amp;token=fa394964-ba4c-4503-94be-f5ce773dce2d" TargetMode="External"/><Relationship Id="rId39" Type="http://schemas.openxmlformats.org/officeDocument/2006/relationships/hyperlink" Target="https://firebasestorage.googleapis.com/v0/b/wt-foundation-production.appspot.com/o/measurements%2FMeasureMethod.ADM_FIXED_PCT%2FdbhPhoto%2F1781838557324?alt=media&amp;token=be1e612f-f6fd-419a-aa53-7a87bc011735" TargetMode="External"/><Relationship Id="rId34" Type="http://schemas.openxmlformats.org/officeDocument/2006/relationships/hyperlink" Target="https://firebasestorage.googleapis.com/v0/b/wt-foundation-production.appspot.com/o/measurements%2FMeasureMethod.ADM_FIXED_PCT%2FdbhPhoto%2F1781838536428?alt=media&amp;token=f0107dca-bb55-4e70-a756-faff474e437d" TargetMode="External"/><Relationship Id="rId50" Type="http://schemas.openxmlformats.org/officeDocument/2006/relationships/hyperlink" Target="https://firebasestorage.googleapis.com/v0/b/wt-foundation-production.appspot.com/o/measurements%2FMeasureMethod.ADM_FIXED_PCT%2FheightPhoto%2F1781803674364?alt=media&amp;token=2d673c57-3660-4c04-b0bb-687acef8bb50" TargetMode="External"/><Relationship Id="rId55" Type="http://schemas.openxmlformats.org/officeDocument/2006/relationships/hyperlink" Target="https://firebasestorage.googleapis.com/v0/b/wt-foundation-production.appspot.com/o/measurements%2FMeasureMethod.ADM_FIXED_PCT%2FheightPhoto%2F1781803684871?alt=media&amp;token=dc8fe41e-f36c-4b35-a630-a13fb35eb6b3" TargetMode="External"/><Relationship Id="rId76" Type="http://schemas.openxmlformats.org/officeDocument/2006/relationships/hyperlink" Target="https://firebasestorage.googleapis.com/v0/b/wt-foundation-production.appspot.com/o/measurements%2FMeasureMethod.ADM_FIXED_PCT%2FheightPhoto%2F1781838290627?alt=media&amp;token=c8262178-ea2c-4d63-accb-f44ce9593c0a" TargetMode="External"/><Relationship Id="rId7" Type="http://schemas.openxmlformats.org/officeDocument/2006/relationships/hyperlink" Target="https://firebasestorage.googleapis.com/v0/b/wt-foundation-production.appspot.com/o/measurements%2FMeasureMethod.ADM_FIXED_PCT%2FdbhPhoto%2F1781803681791?alt=media&amp;token=883649e1-3ec0-4c1a-8b68-55c50a2c1722" TargetMode="External"/><Relationship Id="rId71" Type="http://schemas.openxmlformats.org/officeDocument/2006/relationships/hyperlink" Target="https://firebasestorage.googleapis.com/v0/b/wt-foundation-production.appspot.com/o/measurements%2FMeasureMethod.ADM_FIXED_PCT%2FheightPhoto%2F1781838152387?alt=media&amp;token=1b87b20a-f44c-4b44-a7df-94d2db123a24" TargetMode="External"/><Relationship Id="rId2" Type="http://schemas.openxmlformats.org/officeDocument/2006/relationships/hyperlink" Target="https://firebasestorage.googleapis.com/v0/b/wt-foundation-production.appspot.com/o/measurements%2FMeasureMethod.ADM_FIXED_PCT%2FdbhPhoto%2F1781803669231?alt=media&amp;token=a217e1a3-f92f-451c-9668-8c85d7b4b80a" TargetMode="External"/><Relationship Id="rId29" Type="http://schemas.openxmlformats.org/officeDocument/2006/relationships/hyperlink" Target="https://firebasestorage.googleapis.com/v0/b/wt-foundation-production.appspot.com/o/measurements%2FMeasureMethod.ADM_FIXED_PCT%2FdbhPhoto%2F1781838282037?alt=media&amp;token=00ec29f5-da06-4774-8fb8-6ec976565047" TargetMode="External"/><Relationship Id="rId24" Type="http://schemas.openxmlformats.org/officeDocument/2006/relationships/hyperlink" Target="https://firebasestorage.googleapis.com/v0/b/wt-foundation-production.appspot.com/o/measurements%2FMeasureMethod.ADM_FIXED_PCT%2FdbhPhoto%2F1781838147733?alt=media&amp;token=3f2b5bcd-e4f9-4c23-a786-9176bd11357d" TargetMode="External"/><Relationship Id="rId40" Type="http://schemas.openxmlformats.org/officeDocument/2006/relationships/hyperlink" Target="https://firebasestorage.googleapis.com/v0/b/wt-foundation-production.appspot.com/o/measurements%2FMeasureMethod.ADM_FIXED_PCT%2FdbhPhoto%2F1781838559751?alt=media&amp;token=a4171be9-e169-4a00-aeff-fc41a33a4d44" TargetMode="External"/><Relationship Id="rId45" Type="http://schemas.openxmlformats.org/officeDocument/2006/relationships/hyperlink" Target="https://firebasestorage.googleapis.com/v0/b/wt-foundation-production.appspot.com/o/measurements%2FMeasureMethod.ADM_FIXED_PCT%2FheightPhoto%2F1781803660211?alt=media&amp;token=b101223c-f6a6-468b-b242-cd0a82fb7461" TargetMode="External"/><Relationship Id="rId66" Type="http://schemas.openxmlformats.org/officeDocument/2006/relationships/hyperlink" Target="https://firebasestorage.googleapis.com/v0/b/wt-foundation-production.appspot.com/o/measurements%2FMeasureMethod.ADM_FIXED_PCT%2FheightPhoto%2F1781838085111?alt=media&amp;token=4bf2f986-467c-461c-b779-692256a89fee" TargetMode="External"/><Relationship Id="rId87" Type="http://schemas.openxmlformats.org/officeDocument/2006/relationships/hyperlink" Target="https://firebasestorage.googleapis.com/v0/b/wt-foundation-production.appspot.com/o/measurements%2FMeasureMethod.ADM_FIXED_PCT%2FheightPhoto%2F1781838561610?alt=media&amp;token=3397251e-4a72-424e-81e7-cdb5f49c8c7a" TargetMode="External"/><Relationship Id="rId61" Type="http://schemas.openxmlformats.org/officeDocument/2006/relationships/hyperlink" Target="https://firebasestorage.googleapis.com/v0/b/wt-foundation-production.appspot.com/o/measurements%2FMeasureMethod.ADM_FIXED_PCT%2FheightPhoto%2F1781838047055?alt=media&amp;token=c7b8db18-03bc-4f1a-bae3-c179b95a5426" TargetMode="External"/><Relationship Id="rId82" Type="http://schemas.openxmlformats.org/officeDocument/2006/relationships/hyperlink" Target="https://firebasestorage.googleapis.com/v0/b/wt-foundation-production.appspot.com/o/measurements%2FMeasureMethod.ADM_FIXED_PCT%2FheightPhoto%2F1781838541191?alt=media&amp;token=27ef3407-41fb-48bf-a6b4-9047f19163a9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firebasestorage.googleapis.com/v0/b/wt-foundation-production.appspot.com/o/measurements%2FMeasureMethod.ADM_FIXED_PCT%2FdbhPhoto%2F1773895938390?alt=media&amp;token=b4d0b648-5312-4f12-90cf-5b36478bb617" TargetMode="External"/><Relationship Id="rId3" Type="http://schemas.openxmlformats.org/officeDocument/2006/relationships/hyperlink" Target="https://firebasestorage.googleapis.com/v0/b/wt-foundation-production.appspot.com/o/measurements%2FMeasureMethod.ADM_FIXED_PCT%2FdbhPhoto%2F1773768429721?alt=media&amp;token=b57c2e2d-da85-4d34-8131-1ebd5b0518dd" TargetMode="External"/><Relationship Id="rId7" Type="http://schemas.openxmlformats.org/officeDocument/2006/relationships/hyperlink" Target="https://firebasestorage.googleapis.com/v0/b/wt-foundation-production.appspot.com/o/measurements%2FMeasureMethod.ADM_FIXED_PCT%2FdbhPhoto%2F1773857389672?alt=media&amp;token=35bf63b1-c8bc-452b-967a-f8b840ac6f1c" TargetMode="External"/><Relationship Id="rId12" Type="http://schemas.openxmlformats.org/officeDocument/2006/relationships/hyperlink" Target="https://firebasestorage.googleapis.com/v0/b/wt-foundation-production.appspot.com/o/measurements%2FMeasureMethod.ADM_FIXED_PCT%2FdbhPhoto%2F1773896093687?alt=media&amp;token=ba4ba541-fe82-4a7a-bf02-75678f8cc29c" TargetMode="External"/><Relationship Id="rId2" Type="http://schemas.openxmlformats.org/officeDocument/2006/relationships/hyperlink" Target="https://firebasestorage.googleapis.com/v0/b/wt-foundation-production.appspot.com/o/measurements%2FMeasureMethod.ADM_FIXED_PCT%2FdbhPhoto%2F1773300400017?alt=media&amp;token=1bee9cc3-f974-469a-91e0-6165d82f671f" TargetMode="External"/><Relationship Id="rId1" Type="http://schemas.openxmlformats.org/officeDocument/2006/relationships/hyperlink" Target="https://firebasestorage.googleapis.com/v0/b/wt-foundation-production.appspot.com/o/measurements%2FMeasureMethod.ADM_FIXED_PCT%2FdbhPhoto%2F1773768455780?alt=media&amp;token=8918caa2-020e-47a3-ac4c-54d6e7bcb77a" TargetMode="External"/><Relationship Id="rId6" Type="http://schemas.openxmlformats.org/officeDocument/2006/relationships/hyperlink" Target="https://firebasestorage.googleapis.com/v0/b/wt-foundation-production.appspot.com/o/measurements%2FMeasureMethod.ADM_FIXED_PCT%2FdbhPhoto%2F1773772855895?alt=media&amp;token=98707662-89bd-4b4f-a56f-021cbe528778" TargetMode="External"/><Relationship Id="rId11" Type="http://schemas.openxmlformats.org/officeDocument/2006/relationships/hyperlink" Target="https://firebasestorage.googleapis.com/v0/b/wt-foundation-production.appspot.com/o/measurements%2FMeasureMethod.ADM_FIXED_PCT%2FdbhPhoto%2F1773896055828?alt=media&amp;token=d22aff70-a439-422c-bbd0-657d40d59a0a" TargetMode="External"/><Relationship Id="rId5" Type="http://schemas.openxmlformats.org/officeDocument/2006/relationships/hyperlink" Target="https://firebasestorage.googleapis.com/v0/b/wt-foundation-production.appspot.com/o/measurements%2FMeasureMethod.ADM_FIXED_PCT%2FdbhPhoto%2F1773385405582?alt=media&amp;token=7eeccff5-93c9-469c-bf8b-0292397de16a" TargetMode="External"/><Relationship Id="rId10" Type="http://schemas.openxmlformats.org/officeDocument/2006/relationships/hyperlink" Target="https://firebasestorage.googleapis.com/v0/b/wt-foundation-production.appspot.com/o/measurements%2FMeasureMethod.ADM_FIXED_PCT%2FdbhPhoto%2F1773896006235?alt=media&amp;token=dbf45a7f-40e1-45b6-9066-1b5f2c3275f8" TargetMode="External"/><Relationship Id="rId4" Type="http://schemas.openxmlformats.org/officeDocument/2006/relationships/hyperlink" Target="https://firebasestorage.googleapis.com/v0/b/wt-foundation-production.appspot.com/o/measurements%2FMeasureMethod.ADM_FIXED_PCT%2FdbhPhoto%2F1773768535469?alt=media&amp;token=bc55fa73-8e3c-47f8-958d-c4e41701629a" TargetMode="External"/><Relationship Id="rId9" Type="http://schemas.openxmlformats.org/officeDocument/2006/relationships/hyperlink" Target="https://firebasestorage.googleapis.com/v0/b/wt-foundation-production.appspot.com/o/measurements%2FMeasureMethod.ADM_FIXED_PCT%2FdbhPhoto%2F1773895983446?alt=media&amp;token=15ae0a53-975f-4e59-8a7a-0187bcedab2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215"/>
  <sheetViews>
    <sheetView zoomScale="88" zoomScaleNormal="70" workbookViewId="0">
      <pane ySplit="1" topLeftCell="A87" activePane="bottomLeft" state="frozen"/>
      <selection pane="bottomLeft" activeCell="U104" sqref="U104"/>
    </sheetView>
  </sheetViews>
  <sheetFormatPr defaultColWidth="9.140625" defaultRowHeight="14.45"/>
  <cols>
    <col min="1" max="1" width="21.85546875" customWidth="1"/>
    <col min="2" max="2" width="13.5703125" customWidth="1"/>
    <col min="3" max="3" width="2.85546875" customWidth="1"/>
    <col min="4" max="4" width="12.140625" customWidth="1"/>
    <col min="5" max="5" width="14.7109375" customWidth="1"/>
    <col min="6" max="6" width="15.42578125" customWidth="1"/>
    <col min="7" max="7" width="9.28515625" customWidth="1"/>
    <col min="8" max="8" width="8.7109375" customWidth="1"/>
    <col min="9" max="9" width="8.7109375" hidden="1" customWidth="1"/>
    <col min="10" max="10" width="18.7109375" hidden="1" customWidth="1"/>
    <col min="11" max="11" width="28.28515625" hidden="1" customWidth="1"/>
    <col min="12" max="12" width="13.7109375" hidden="1" customWidth="1"/>
    <col min="13" max="13" width="13.7109375" style="78" customWidth="1"/>
    <col min="14" max="14" width="13.7109375" style="101" customWidth="1"/>
    <col min="15" max="17" width="21.85546875" style="78" customWidth="1"/>
    <col min="18" max="18" width="49.42578125" customWidth="1"/>
    <col min="19" max="19" width="21.7109375" customWidth="1"/>
    <col min="20" max="20" width="23.28515625" customWidth="1"/>
    <col min="21" max="21" width="16.85546875" customWidth="1"/>
    <col min="22" max="22" width="19.5703125" customWidth="1"/>
    <col min="23" max="23" width="17" customWidth="1"/>
    <col min="24" max="24" width="20.28515625" customWidth="1"/>
    <col min="25" max="25" width="20.140625" customWidth="1"/>
    <col min="26" max="26" width="27.85546875" customWidth="1"/>
    <col min="27" max="27" width="22.8554687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78" t="s">
        <v>12</v>
      </c>
      <c r="N1" s="101" t="s">
        <v>13</v>
      </c>
      <c r="O1" s="78" t="s">
        <v>14</v>
      </c>
      <c r="P1" s="78" t="s">
        <v>15</v>
      </c>
      <c r="Q1" s="78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31">
      <c r="A2" s="11" t="s">
        <v>27</v>
      </c>
      <c r="B2" s="12">
        <v>0.844798115804411</v>
      </c>
      <c r="C2" s="11" t="s">
        <v>28</v>
      </c>
      <c r="D2" s="13">
        <v>7.8200092315673801</v>
      </c>
      <c r="E2" s="11">
        <v>0.83099999999999996</v>
      </c>
      <c r="F2" s="11">
        <v>22.8</v>
      </c>
      <c r="G2" s="11">
        <v>35.310331902708299</v>
      </c>
      <c r="H2" s="11">
        <v>-120.662605000029</v>
      </c>
      <c r="I2" s="11" t="s">
        <v>29</v>
      </c>
      <c r="J2" s="11">
        <v>0.24012093245983099</v>
      </c>
      <c r="K2" s="11" t="s">
        <v>30</v>
      </c>
      <c r="L2" s="11" t="s">
        <v>31</v>
      </c>
      <c r="M2" s="79">
        <v>1</v>
      </c>
      <c r="N2" s="102">
        <v>1</v>
      </c>
      <c r="O2" s="79">
        <v>1</v>
      </c>
      <c r="P2" s="79"/>
      <c r="Q2" s="79"/>
      <c r="R2" s="11" t="s">
        <v>32</v>
      </c>
      <c r="S2" s="11" t="s">
        <v>33</v>
      </c>
      <c r="T2" s="11" t="s">
        <v>34</v>
      </c>
      <c r="U2" s="3" t="s">
        <v>35</v>
      </c>
      <c r="V2" s="3" t="s">
        <v>36</v>
      </c>
      <c r="W2" s="3" t="s">
        <v>37</v>
      </c>
      <c r="X2">
        <v>0.234953703703703</v>
      </c>
      <c r="Y2">
        <v>3.30416536331176</v>
      </c>
      <c r="Z2">
        <v>0.756915586834087</v>
      </c>
      <c r="AA2" t="s">
        <v>38</v>
      </c>
      <c r="AC2" t="s">
        <v>39</v>
      </c>
    </row>
    <row r="3" spans="1:31">
      <c r="A3" s="11" t="s">
        <v>40</v>
      </c>
      <c r="B3" s="12">
        <v>0.76811853887826298</v>
      </c>
      <c r="C3" s="11" t="s">
        <v>28</v>
      </c>
      <c r="D3" s="13">
        <v>18.111690521240199</v>
      </c>
      <c r="E3" s="11">
        <v>0.85</v>
      </c>
      <c r="F3" s="11">
        <v>22.7</v>
      </c>
      <c r="G3" s="11">
        <v>35.309616922184198</v>
      </c>
      <c r="H3" s="11">
        <v>-120.662914312794</v>
      </c>
      <c r="I3" s="11" t="s">
        <v>29</v>
      </c>
      <c r="J3" s="11">
        <v>1.1512799263000399</v>
      </c>
      <c r="K3" s="11" t="s">
        <v>30</v>
      </c>
      <c r="L3" s="11" t="s">
        <v>31</v>
      </c>
      <c r="M3" s="79">
        <v>1</v>
      </c>
      <c r="N3" s="102">
        <v>2</v>
      </c>
      <c r="O3" s="79">
        <v>1</v>
      </c>
      <c r="P3" s="79"/>
      <c r="Q3" s="79"/>
      <c r="R3" s="11" t="s">
        <v>41</v>
      </c>
      <c r="S3" s="11" t="s">
        <v>33</v>
      </c>
      <c r="T3" s="11" t="s">
        <v>34</v>
      </c>
      <c r="U3" s="3" t="s">
        <v>42</v>
      </c>
      <c r="V3" s="3" t="s">
        <v>43</v>
      </c>
      <c r="W3" s="3" t="s">
        <v>44</v>
      </c>
      <c r="X3">
        <v>0.23697916666666599</v>
      </c>
      <c r="Y3">
        <v>3.0167775154113698</v>
      </c>
      <c r="Z3">
        <v>0.68789350702152396</v>
      </c>
      <c r="AA3" t="s">
        <v>45</v>
      </c>
      <c r="AC3">
        <f>COUNTIF(O:O,"1")</f>
        <v>78</v>
      </c>
    </row>
    <row r="4" spans="1:31">
      <c r="A4" s="11" t="s">
        <v>46</v>
      </c>
      <c r="B4" s="12">
        <v>0.291979996465345</v>
      </c>
      <c r="C4" s="11" t="s">
        <v>28</v>
      </c>
      <c r="D4" s="13">
        <v>10.8162269592285</v>
      </c>
      <c r="E4" s="11">
        <v>0.312</v>
      </c>
      <c r="F4" s="11">
        <v>12.8</v>
      </c>
      <c r="G4" s="11">
        <v>35.310164185540302</v>
      </c>
      <c r="H4" s="11">
        <v>-120.662725427968</v>
      </c>
      <c r="I4" s="11" t="s">
        <v>29</v>
      </c>
      <c r="J4" s="11">
        <v>1.1533961296081501</v>
      </c>
      <c r="K4" s="11" t="s">
        <v>30</v>
      </c>
      <c r="L4" s="11" t="s">
        <v>31</v>
      </c>
      <c r="M4" s="79">
        <v>1</v>
      </c>
      <c r="N4" s="102">
        <v>3</v>
      </c>
      <c r="O4" s="79">
        <v>1</v>
      </c>
      <c r="P4" s="79"/>
      <c r="Q4" s="79"/>
      <c r="R4" s="11" t="s">
        <v>47</v>
      </c>
      <c r="S4" s="11" t="s">
        <v>33</v>
      </c>
      <c r="T4" s="11" t="s">
        <v>34</v>
      </c>
      <c r="U4" s="3" t="s">
        <v>48</v>
      </c>
      <c r="V4" s="3" t="s">
        <v>49</v>
      </c>
      <c r="W4" s="3" t="s">
        <v>50</v>
      </c>
      <c r="X4">
        <v>0.22395833333333301</v>
      </c>
      <c r="Y4">
        <v>1.1227289438247601</v>
      </c>
      <c r="Z4">
        <v>0.26205471735237801</v>
      </c>
      <c r="AA4" t="s">
        <v>51</v>
      </c>
    </row>
    <row r="5" spans="1:31">
      <c r="A5" s="11" t="s">
        <v>52</v>
      </c>
      <c r="B5" s="12">
        <v>0.40847131049311097</v>
      </c>
      <c r="C5" s="11" t="s">
        <v>28</v>
      </c>
      <c r="D5" s="13">
        <v>15.771734237670801</v>
      </c>
      <c r="E5" s="11">
        <v>0.40899999999999997</v>
      </c>
      <c r="F5" s="11">
        <v>13.4</v>
      </c>
      <c r="G5" s="11">
        <v>35.3095972584157</v>
      </c>
      <c r="H5" s="11">
        <v>-120.66289567154401</v>
      </c>
      <c r="I5" s="11" t="s">
        <v>29</v>
      </c>
      <c r="J5" s="11">
        <v>1.2906858921051001</v>
      </c>
      <c r="K5" s="11" t="s">
        <v>30</v>
      </c>
      <c r="L5" s="11" t="s">
        <v>31</v>
      </c>
      <c r="M5" s="79">
        <v>1</v>
      </c>
      <c r="N5" s="102">
        <v>4</v>
      </c>
      <c r="O5" s="79">
        <v>1</v>
      </c>
      <c r="P5" s="79"/>
      <c r="Q5" s="79"/>
      <c r="R5" s="11" t="s">
        <v>53</v>
      </c>
      <c r="S5" s="11" t="s">
        <v>33</v>
      </c>
      <c r="T5" s="11" t="s">
        <v>34</v>
      </c>
      <c r="U5" s="3" t="s">
        <v>54</v>
      </c>
      <c r="V5" s="3" t="s">
        <v>55</v>
      </c>
      <c r="W5" s="3" t="s">
        <v>56</v>
      </c>
      <c r="X5">
        <v>0.22395833333333301</v>
      </c>
      <c r="Y5">
        <v>1.55032390356063</v>
      </c>
      <c r="Z5">
        <v>0.36633294188508198</v>
      </c>
      <c r="AA5" t="s">
        <v>57</v>
      </c>
      <c r="AD5">
        <f t="shared" ref="AD5:AD12" si="0">SUMPRODUCT(($T$2:$T$99=$AE5) * (1/COUNTIFS($T$2:$T$99,$T$2:$T$99,$N$2:$N$99,$N$2:$N$99)))</f>
        <v>10</v>
      </c>
      <c r="AE5" t="s">
        <v>34</v>
      </c>
    </row>
    <row r="6" spans="1:31">
      <c r="A6" s="11" t="s">
        <v>58</v>
      </c>
      <c r="B6" s="12">
        <v>0.558436979105156</v>
      </c>
      <c r="C6" s="11" t="s">
        <v>28</v>
      </c>
      <c r="D6" s="13">
        <v>17.0069980621337</v>
      </c>
      <c r="E6" s="11">
        <v>0.53900000000000003</v>
      </c>
      <c r="F6" s="11">
        <v>15.7</v>
      </c>
      <c r="G6" s="11">
        <v>35.309467366398501</v>
      </c>
      <c r="H6" s="11">
        <v>-120.662787274978</v>
      </c>
      <c r="I6" s="11" t="s">
        <v>29</v>
      </c>
      <c r="J6" s="11">
        <v>1.4203526973724301</v>
      </c>
      <c r="K6" s="11" t="s">
        <v>30</v>
      </c>
      <c r="L6" s="11" t="s">
        <v>31</v>
      </c>
      <c r="M6" s="79">
        <v>1</v>
      </c>
      <c r="N6" s="102">
        <v>5</v>
      </c>
      <c r="O6" s="79">
        <v>1</v>
      </c>
      <c r="P6" s="79"/>
      <c r="Q6" s="79"/>
      <c r="R6" s="11" t="s">
        <v>59</v>
      </c>
      <c r="S6" s="11" t="s">
        <v>33</v>
      </c>
      <c r="T6" s="11" t="s">
        <v>34</v>
      </c>
      <c r="U6" s="3" t="s">
        <v>60</v>
      </c>
      <c r="V6" s="3" t="s">
        <v>61</v>
      </c>
      <c r="W6" s="3" t="s">
        <v>62</v>
      </c>
      <c r="X6">
        <v>0.22539194023569001</v>
      </c>
      <c r="Y6">
        <v>2.1358036994934002</v>
      </c>
      <c r="Z6">
        <v>0.50112372992878995</v>
      </c>
      <c r="AA6" t="s">
        <v>63</v>
      </c>
      <c r="AD6">
        <f t="shared" si="0"/>
        <v>24</v>
      </c>
      <c r="AE6" t="s">
        <v>64</v>
      </c>
    </row>
    <row r="7" spans="1:31">
      <c r="A7" s="11" t="s">
        <v>65</v>
      </c>
      <c r="B7" s="12">
        <v>0.74107102039967798</v>
      </c>
      <c r="C7" s="11" t="s">
        <v>28</v>
      </c>
      <c r="D7" s="13">
        <v>12.301169395446699</v>
      </c>
      <c r="E7" s="11">
        <v>0.78200000000000003</v>
      </c>
      <c r="F7" s="11">
        <v>22.8</v>
      </c>
      <c r="G7" s="11">
        <v>35.309630239320803</v>
      </c>
      <c r="H7" s="11">
        <v>-120.662930263389</v>
      </c>
      <c r="I7" s="11" t="s">
        <v>29</v>
      </c>
      <c r="J7" s="11">
        <v>1.05900561809539</v>
      </c>
      <c r="K7" s="11" t="s">
        <v>30</v>
      </c>
      <c r="L7" s="11" t="s">
        <v>31</v>
      </c>
      <c r="M7" s="79">
        <v>1</v>
      </c>
      <c r="N7" s="102">
        <v>7</v>
      </c>
      <c r="O7" s="79">
        <v>1</v>
      </c>
      <c r="P7" s="79"/>
      <c r="Q7" s="79"/>
      <c r="R7" s="11" t="s">
        <v>66</v>
      </c>
      <c r="S7" s="11" t="s">
        <v>33</v>
      </c>
      <c r="T7" s="11" t="s">
        <v>34</v>
      </c>
      <c r="U7" s="3" t="s">
        <v>67</v>
      </c>
      <c r="V7" s="3" t="s">
        <v>68</v>
      </c>
      <c r="W7" s="3" t="s">
        <v>69</v>
      </c>
      <c r="X7">
        <v>0.22983186141304299</v>
      </c>
      <c r="Y7">
        <v>2.8659631013870199</v>
      </c>
      <c r="Z7">
        <v>0.66438343592928195</v>
      </c>
      <c r="AA7" t="s">
        <v>70</v>
      </c>
      <c r="AD7">
        <f t="shared" si="0"/>
        <v>5</v>
      </c>
      <c r="AE7" t="s">
        <v>71</v>
      </c>
    </row>
    <row r="8" spans="1:31">
      <c r="A8" s="11" t="s">
        <v>72</v>
      </c>
      <c r="B8" s="12">
        <v>0.25306192931507199</v>
      </c>
      <c r="C8" s="11" t="s">
        <v>28</v>
      </c>
      <c r="D8" s="13">
        <v>22.7179565429687</v>
      </c>
      <c r="E8" s="11">
        <v>0.312</v>
      </c>
      <c r="F8" s="11">
        <v>19.2</v>
      </c>
      <c r="G8" s="11">
        <v>35.309641944065298</v>
      </c>
      <c r="H8" s="11">
        <v>-120.662935826538</v>
      </c>
      <c r="I8" s="11" t="s">
        <v>29</v>
      </c>
      <c r="J8" s="11">
        <v>1.87053942680358</v>
      </c>
      <c r="K8" s="11" t="s">
        <v>30</v>
      </c>
      <c r="L8" s="11" t="s">
        <v>31</v>
      </c>
      <c r="M8" s="79">
        <v>1</v>
      </c>
      <c r="N8" s="102">
        <v>8</v>
      </c>
      <c r="O8" s="79">
        <v>1</v>
      </c>
      <c r="P8" s="79"/>
      <c r="Q8" s="79"/>
      <c r="R8" s="11" t="s">
        <v>73</v>
      </c>
      <c r="S8" s="11" t="s">
        <v>33</v>
      </c>
      <c r="T8" s="11" t="s">
        <v>34</v>
      </c>
      <c r="U8" s="3" t="s">
        <v>74</v>
      </c>
      <c r="V8" s="3" t="s">
        <v>75</v>
      </c>
      <c r="W8" s="3" t="s">
        <v>76</v>
      </c>
      <c r="X8">
        <v>0.238839285714285</v>
      </c>
      <c r="Y8">
        <v>1.0719571113586399</v>
      </c>
      <c r="Z8">
        <v>0.227032884843514</v>
      </c>
      <c r="AA8" t="s">
        <v>77</v>
      </c>
      <c r="AD8">
        <f t="shared" si="0"/>
        <v>2</v>
      </c>
      <c r="AE8" t="s">
        <v>78</v>
      </c>
    </row>
    <row r="9" spans="1:31">
      <c r="A9" s="11" t="s">
        <v>79</v>
      </c>
      <c r="B9" s="12">
        <v>0.46266606339849597</v>
      </c>
      <c r="C9" s="11" t="s">
        <v>28</v>
      </c>
      <c r="D9" s="13">
        <v>10.7462711334228</v>
      </c>
      <c r="E9" s="11">
        <v>0.51900000000000002</v>
      </c>
      <c r="F9" s="11">
        <v>19.2</v>
      </c>
      <c r="G9" s="11">
        <v>35.310248400169598</v>
      </c>
      <c r="H9" s="11">
        <v>-120.66261540287201</v>
      </c>
      <c r="I9" s="11" t="s">
        <v>29</v>
      </c>
      <c r="J9" s="11">
        <v>0.73293602466583196</v>
      </c>
      <c r="K9" s="11" t="s">
        <v>30</v>
      </c>
      <c r="L9" s="11" t="s">
        <v>31</v>
      </c>
      <c r="M9" s="79">
        <v>1</v>
      </c>
      <c r="N9" s="102">
        <v>8</v>
      </c>
      <c r="O9" s="79">
        <v>2</v>
      </c>
      <c r="P9" s="79"/>
      <c r="Q9" s="79"/>
      <c r="R9" s="11" t="s">
        <v>80</v>
      </c>
      <c r="S9" s="11" t="s">
        <v>33</v>
      </c>
      <c r="T9" s="11" t="s">
        <v>34</v>
      </c>
      <c r="U9" s="3" t="s">
        <v>81</v>
      </c>
      <c r="V9" s="3" t="s">
        <v>82</v>
      </c>
      <c r="W9" s="3" t="s">
        <v>83</v>
      </c>
      <c r="X9">
        <v>0.22421874999999999</v>
      </c>
      <c r="Y9">
        <v>1.8091027736663801</v>
      </c>
      <c r="Z9">
        <v>0.41484217610514601</v>
      </c>
      <c r="AA9" t="s">
        <v>84</v>
      </c>
      <c r="AD9">
        <f t="shared" si="0"/>
        <v>1</v>
      </c>
      <c r="AE9" t="s">
        <v>85</v>
      </c>
    </row>
    <row r="10" spans="1:31">
      <c r="A10" s="11" t="s">
        <v>86</v>
      </c>
      <c r="B10" s="12"/>
      <c r="C10" s="11" t="s">
        <v>28</v>
      </c>
      <c r="D10" s="13">
        <v>6.6830124855041504</v>
      </c>
      <c r="E10" s="11"/>
      <c r="F10" s="11">
        <v>6.2</v>
      </c>
      <c r="G10" s="11">
        <v>35.309605694372202</v>
      </c>
      <c r="H10" s="11">
        <v>-120.662935538413</v>
      </c>
      <c r="I10" s="11" t="s">
        <v>29</v>
      </c>
      <c r="J10" s="11">
        <v>0.99732732772827104</v>
      </c>
      <c r="K10" s="11" t="s">
        <v>30</v>
      </c>
      <c r="L10" s="11" t="s">
        <v>87</v>
      </c>
      <c r="M10" s="79">
        <v>1</v>
      </c>
      <c r="N10" s="102">
        <v>9</v>
      </c>
      <c r="O10" s="79">
        <v>0</v>
      </c>
      <c r="P10" s="79"/>
      <c r="Q10" s="79"/>
      <c r="R10" s="11" t="s">
        <v>88</v>
      </c>
      <c r="S10" s="11" t="s">
        <v>33</v>
      </c>
      <c r="T10" s="11" t="s">
        <v>34</v>
      </c>
      <c r="U10" s="3" t="s">
        <v>89</v>
      </c>
      <c r="V10" s="3" t="s">
        <v>90</v>
      </c>
      <c r="W10" s="3" t="s">
        <v>91</v>
      </c>
      <c r="X10">
        <v>0.28893849206349198</v>
      </c>
      <c r="Y10">
        <v>0.54839748144149703</v>
      </c>
      <c r="Z10">
        <v>5.0953179629717897E-2</v>
      </c>
      <c r="AA10" t="s">
        <v>92</v>
      </c>
      <c r="AD10">
        <f t="shared" si="0"/>
        <v>1</v>
      </c>
      <c r="AE10" t="s">
        <v>93</v>
      </c>
    </row>
    <row r="11" spans="1:31">
      <c r="A11" s="11" t="s">
        <v>94</v>
      </c>
      <c r="B11" s="12">
        <v>0.51640786008651296</v>
      </c>
      <c r="C11" s="11" t="s">
        <v>28</v>
      </c>
      <c r="D11" s="13">
        <v>15.999005317687899</v>
      </c>
      <c r="E11" s="11">
        <v>0.56499999999999995</v>
      </c>
      <c r="F11" s="11">
        <v>16.2</v>
      </c>
      <c r="G11" s="11">
        <v>35.309472990002703</v>
      </c>
      <c r="H11" s="11">
        <v>-120.66286937626801</v>
      </c>
      <c r="I11" s="11" t="s">
        <v>29</v>
      </c>
      <c r="J11" s="11">
        <v>1.4232583045959399</v>
      </c>
      <c r="K11" s="11" t="s">
        <v>30</v>
      </c>
      <c r="L11" s="11" t="s">
        <v>87</v>
      </c>
      <c r="M11" s="79">
        <v>1</v>
      </c>
      <c r="N11" s="102">
        <v>10</v>
      </c>
      <c r="O11" s="79">
        <v>1</v>
      </c>
      <c r="P11" s="79"/>
      <c r="Q11" s="79"/>
      <c r="R11" s="11" t="s">
        <v>95</v>
      </c>
      <c r="S11" s="11" t="s">
        <v>33</v>
      </c>
      <c r="T11" s="11" t="s">
        <v>34</v>
      </c>
      <c r="U11" s="3" t="s">
        <v>96</v>
      </c>
      <c r="V11" s="3" t="s">
        <v>97</v>
      </c>
      <c r="W11" s="3" t="s">
        <v>98</v>
      </c>
      <c r="X11">
        <v>0.241102430555555</v>
      </c>
      <c r="Y11">
        <v>2.0302442312240601</v>
      </c>
      <c r="Z11">
        <v>0.46543863001708702</v>
      </c>
      <c r="AA11" t="s">
        <v>99</v>
      </c>
      <c r="AD11">
        <f t="shared" si="0"/>
        <v>1</v>
      </c>
      <c r="AE11" t="s">
        <v>100</v>
      </c>
    </row>
    <row r="12" spans="1:31">
      <c r="A12" s="11" t="s">
        <v>101</v>
      </c>
      <c r="B12" s="12">
        <v>0.35709720155387398</v>
      </c>
      <c r="C12" s="11" t="s">
        <v>28</v>
      </c>
      <c r="D12" s="13">
        <v>16.708858489990199</v>
      </c>
      <c r="E12" s="11">
        <v>0.58099999999999996</v>
      </c>
      <c r="F12" s="11">
        <v>17.2</v>
      </c>
      <c r="G12" s="11">
        <v>35.309611079237101</v>
      </c>
      <c r="H12" s="11">
        <v>-120.662958777265</v>
      </c>
      <c r="I12" s="11" t="s">
        <v>29</v>
      </c>
      <c r="J12" s="11">
        <v>1.0598449707031199</v>
      </c>
      <c r="K12" s="11" t="s">
        <v>30</v>
      </c>
      <c r="L12" s="11" t="s">
        <v>87</v>
      </c>
      <c r="M12" s="79">
        <v>1</v>
      </c>
      <c r="N12" s="102">
        <v>11</v>
      </c>
      <c r="O12" s="79">
        <v>1</v>
      </c>
      <c r="P12" s="79"/>
      <c r="Q12" s="79"/>
      <c r="R12" s="11" t="s">
        <v>102</v>
      </c>
      <c r="S12" s="11" t="s">
        <v>33</v>
      </c>
      <c r="T12" s="11" t="s">
        <v>34</v>
      </c>
      <c r="U12" s="3" t="s">
        <v>103</v>
      </c>
      <c r="V12" s="3" t="s">
        <v>104</v>
      </c>
      <c r="W12" s="3" t="s">
        <v>105</v>
      </c>
      <c r="X12">
        <v>0.26328124999999902</v>
      </c>
      <c r="Y12">
        <v>2.0221908092498699</v>
      </c>
      <c r="Z12">
        <v>0.459337138978057</v>
      </c>
      <c r="AA12" t="s">
        <v>106</v>
      </c>
      <c r="AD12">
        <f t="shared" si="0"/>
        <v>1</v>
      </c>
      <c r="AE12" t="s">
        <v>107</v>
      </c>
    </row>
    <row r="13" spans="1:31">
      <c r="A13" s="15" t="s">
        <v>108</v>
      </c>
      <c r="B13" s="16">
        <v>0.35948565592226001</v>
      </c>
      <c r="C13" s="15" t="s">
        <v>28</v>
      </c>
      <c r="D13" s="17">
        <v>12.241008758544901</v>
      </c>
      <c r="E13" s="15">
        <v>0.38700000000000001</v>
      </c>
      <c r="F13" s="15">
        <v>13.2</v>
      </c>
      <c r="G13" s="15">
        <v>35.310337157035796</v>
      </c>
      <c r="H13" s="15">
        <v>-120.662977190231</v>
      </c>
      <c r="I13" s="15" t="s">
        <v>29</v>
      </c>
      <c r="J13" s="15">
        <v>1.32882320880889</v>
      </c>
      <c r="K13" s="15" t="s">
        <v>30</v>
      </c>
      <c r="L13" s="15" t="s">
        <v>87</v>
      </c>
      <c r="M13" s="80">
        <v>2</v>
      </c>
      <c r="N13" s="103">
        <v>1</v>
      </c>
      <c r="O13" s="80">
        <v>1</v>
      </c>
      <c r="P13" s="80"/>
      <c r="Q13" s="80"/>
      <c r="R13" s="15" t="s">
        <v>109</v>
      </c>
      <c r="S13" s="15" t="s">
        <v>33</v>
      </c>
      <c r="T13" s="15" t="s">
        <v>64</v>
      </c>
      <c r="U13" s="3" t="s">
        <v>110</v>
      </c>
      <c r="V13" s="3" t="s">
        <v>111</v>
      </c>
      <c r="W13" s="3" t="s">
        <v>112</v>
      </c>
      <c r="X13">
        <v>0.23494336970899399</v>
      </c>
      <c r="Y13">
        <v>1.3611381649970999</v>
      </c>
      <c r="Z13">
        <v>0.322395944853269</v>
      </c>
      <c r="AA13" t="s">
        <v>113</v>
      </c>
      <c r="AD13">
        <f>SUM(AD11:AD12)</f>
        <v>2</v>
      </c>
    </row>
    <row r="14" spans="1:31">
      <c r="A14" s="15" t="s">
        <v>114</v>
      </c>
      <c r="B14" s="16">
        <v>0.13822587807469999</v>
      </c>
      <c r="C14" s="15" t="s">
        <v>28</v>
      </c>
      <c r="D14" s="17">
        <v>0.90940701961517301</v>
      </c>
      <c r="E14" s="15">
        <v>0.14399999999999999</v>
      </c>
      <c r="F14" s="15">
        <v>0.95</v>
      </c>
      <c r="G14" s="15">
        <v>35.310288297596301</v>
      </c>
      <c r="H14" s="15">
        <v>-120.66290984854901</v>
      </c>
      <c r="I14" s="15" t="s">
        <v>29</v>
      </c>
      <c r="J14" s="15">
        <v>1.2248132228851301</v>
      </c>
      <c r="K14" s="15" t="s">
        <v>30</v>
      </c>
      <c r="L14" s="15" t="s">
        <v>87</v>
      </c>
      <c r="M14" s="80">
        <v>2</v>
      </c>
      <c r="N14" s="103">
        <v>1</v>
      </c>
      <c r="O14" s="80">
        <v>2</v>
      </c>
      <c r="P14" s="80"/>
      <c r="Q14" s="80"/>
      <c r="R14" s="15" t="s">
        <v>115</v>
      </c>
      <c r="S14" s="15" t="s">
        <v>33</v>
      </c>
      <c r="T14" s="15" t="s">
        <v>64</v>
      </c>
      <c r="U14" s="3" t="s">
        <v>116</v>
      </c>
      <c r="V14" s="3" t="s">
        <v>117</v>
      </c>
      <c r="W14" s="3" t="s">
        <v>118</v>
      </c>
      <c r="X14">
        <v>0.23611111111111099</v>
      </c>
      <c r="Y14">
        <v>0.51099956035614003</v>
      </c>
      <c r="Z14">
        <v>0.124053590463027</v>
      </c>
      <c r="AA14" t="s">
        <v>119</v>
      </c>
    </row>
    <row r="15" spans="1:31">
      <c r="A15" s="15" t="s">
        <v>120</v>
      </c>
      <c r="B15" s="16">
        <v>0.41157524853162902</v>
      </c>
      <c r="C15" s="15" t="s">
        <v>28</v>
      </c>
      <c r="D15" s="17">
        <v>13.9149875640869</v>
      </c>
      <c r="E15" s="15">
        <v>0.45</v>
      </c>
      <c r="F15" s="15">
        <v>14</v>
      </c>
      <c r="G15" s="15">
        <v>35.310339810457599</v>
      </c>
      <c r="H15" s="15">
        <v>-120.66298029923</v>
      </c>
      <c r="I15" s="15" t="s">
        <v>29</v>
      </c>
      <c r="J15" s="15">
        <v>1.0787875652313199</v>
      </c>
      <c r="K15" s="15" t="s">
        <v>30</v>
      </c>
      <c r="L15" s="15" t="s">
        <v>87</v>
      </c>
      <c r="M15" s="80">
        <v>2</v>
      </c>
      <c r="N15" s="103">
        <v>2</v>
      </c>
      <c r="O15" s="80">
        <v>1</v>
      </c>
      <c r="P15" s="80"/>
      <c r="Q15" s="80"/>
      <c r="R15" s="15" t="s">
        <v>121</v>
      </c>
      <c r="S15" s="15" t="s">
        <v>33</v>
      </c>
      <c r="T15" s="15" t="s">
        <v>64</v>
      </c>
      <c r="U15" s="3" t="s">
        <v>122</v>
      </c>
      <c r="V15" s="3" t="s">
        <v>123</v>
      </c>
      <c r="W15" s="3" t="s">
        <v>124</v>
      </c>
      <c r="X15">
        <v>0.234953703703703</v>
      </c>
      <c r="Y15">
        <v>1.5812417268753001</v>
      </c>
      <c r="Z15">
        <v>0.369725484861336</v>
      </c>
      <c r="AA15" t="s">
        <v>125</v>
      </c>
    </row>
    <row r="16" spans="1:31">
      <c r="A16" s="15" t="s">
        <v>126</v>
      </c>
      <c r="B16" s="16">
        <v>0.29416446915106098</v>
      </c>
      <c r="C16" s="15" t="s">
        <v>28</v>
      </c>
      <c r="D16" s="17">
        <v>13.286856651306101</v>
      </c>
      <c r="E16" s="15">
        <v>0.30599999999999999</v>
      </c>
      <c r="F16" s="15">
        <v>12</v>
      </c>
      <c r="G16" s="15">
        <v>35.309637342760801</v>
      </c>
      <c r="H16" s="15">
        <v>-120.662996974075</v>
      </c>
      <c r="I16" s="15" t="s">
        <v>29</v>
      </c>
      <c r="J16" s="15">
        <v>1.4106413125991799</v>
      </c>
      <c r="K16" s="15" t="s">
        <v>30</v>
      </c>
      <c r="L16" s="15" t="s">
        <v>87</v>
      </c>
      <c r="M16" s="80">
        <v>2</v>
      </c>
      <c r="N16" s="103">
        <v>3</v>
      </c>
      <c r="O16" s="80">
        <v>1</v>
      </c>
      <c r="P16" s="80"/>
      <c r="Q16" s="80"/>
      <c r="R16" s="15" t="s">
        <v>127</v>
      </c>
      <c r="S16" s="15" t="s">
        <v>33</v>
      </c>
      <c r="T16" s="15" t="s">
        <v>64</v>
      </c>
      <c r="U16" s="3" t="s">
        <v>128</v>
      </c>
      <c r="V16" s="3" t="s">
        <v>129</v>
      </c>
      <c r="W16" s="3" t="s">
        <v>130</v>
      </c>
      <c r="X16">
        <v>0.23697916666666599</v>
      </c>
      <c r="Y16">
        <v>1.1265912055969201</v>
      </c>
      <c r="Z16">
        <v>0.26374749290257798</v>
      </c>
      <c r="AA16" t="s">
        <v>131</v>
      </c>
    </row>
    <row r="17" spans="1:27">
      <c r="A17" s="15" t="s">
        <v>132</v>
      </c>
      <c r="B17" s="16">
        <v>0.448338520895189</v>
      </c>
      <c r="C17" s="15" t="s">
        <v>28</v>
      </c>
      <c r="D17" s="17">
        <v>15.918393135070801</v>
      </c>
      <c r="E17" s="15">
        <v>0.47199999999999998</v>
      </c>
      <c r="F17" s="15">
        <v>14.7</v>
      </c>
      <c r="G17" s="15">
        <v>35.310332472469099</v>
      </c>
      <c r="H17" s="15">
        <v>-120.662899045386</v>
      </c>
      <c r="I17" s="15" t="s">
        <v>29</v>
      </c>
      <c r="J17" s="15">
        <v>1.2671712636947601</v>
      </c>
      <c r="K17" s="15" t="s">
        <v>30</v>
      </c>
      <c r="L17" s="15" t="s">
        <v>87</v>
      </c>
      <c r="M17" s="80">
        <v>2</v>
      </c>
      <c r="N17" s="103">
        <v>4</v>
      </c>
      <c r="O17" s="80">
        <v>1</v>
      </c>
      <c r="P17" s="80"/>
      <c r="Q17" s="80"/>
      <c r="R17" s="15" t="s">
        <v>133</v>
      </c>
      <c r="S17" s="15" t="s">
        <v>33</v>
      </c>
      <c r="T17" s="15" t="s">
        <v>64</v>
      </c>
      <c r="U17" s="3" t="s">
        <v>134</v>
      </c>
      <c r="V17" s="3" t="s">
        <v>135</v>
      </c>
      <c r="W17" s="3" t="s">
        <v>136</v>
      </c>
      <c r="X17">
        <v>0.23177083333333301</v>
      </c>
      <c r="Y17">
        <v>1.722589969635</v>
      </c>
      <c r="Z17">
        <v>0.401339901389483</v>
      </c>
      <c r="AA17" t="s">
        <v>137</v>
      </c>
    </row>
    <row r="18" spans="1:27">
      <c r="A18" s="15" t="s">
        <v>138</v>
      </c>
      <c r="B18" s="16">
        <v>0.50010013137087805</v>
      </c>
      <c r="C18" s="15" t="s">
        <v>28</v>
      </c>
      <c r="D18" s="17">
        <v>14.137280464172299</v>
      </c>
      <c r="E18" s="15">
        <v>0.47499999999999998</v>
      </c>
      <c r="F18" s="15">
        <v>14</v>
      </c>
      <c r="G18" s="15">
        <v>35.30892944</v>
      </c>
      <c r="H18" s="15">
        <v>-120.66026306000001</v>
      </c>
      <c r="I18" s="15" t="s">
        <v>29</v>
      </c>
      <c r="J18" s="15">
        <v>1.0874438285827599</v>
      </c>
      <c r="K18" s="15" t="s">
        <v>30</v>
      </c>
      <c r="L18" s="15" t="s">
        <v>87</v>
      </c>
      <c r="M18" s="80">
        <v>2</v>
      </c>
      <c r="N18" s="103">
        <v>5</v>
      </c>
      <c r="O18" s="80">
        <v>1</v>
      </c>
      <c r="P18" s="80"/>
      <c r="Q18" s="80"/>
      <c r="R18" s="15" t="s">
        <v>139</v>
      </c>
      <c r="S18" s="15" t="s">
        <v>33</v>
      </c>
      <c r="T18" s="15" t="s">
        <v>64</v>
      </c>
      <c r="U18" s="3" t="s">
        <v>140</v>
      </c>
      <c r="V18" s="3" t="s">
        <v>141</v>
      </c>
      <c r="W18" s="3" t="s">
        <v>142</v>
      </c>
      <c r="X18">
        <v>0.23181573275862</v>
      </c>
      <c r="Y18">
        <v>1.8809382319450301</v>
      </c>
      <c r="Z18">
        <v>0.45066897155234997</v>
      </c>
      <c r="AA18" t="s">
        <v>143</v>
      </c>
    </row>
    <row r="19" spans="1:27">
      <c r="A19" s="15" t="s">
        <v>144</v>
      </c>
      <c r="B19" s="16">
        <v>0.47424681541060998</v>
      </c>
      <c r="C19" s="15" t="s">
        <v>28</v>
      </c>
      <c r="D19" s="17">
        <v>12.3533535003662</v>
      </c>
      <c r="E19" s="15">
        <v>0.51400000000000001</v>
      </c>
      <c r="F19" s="15">
        <v>11.8</v>
      </c>
      <c r="G19" s="15">
        <v>35.309592322700503</v>
      </c>
      <c r="H19" s="15">
        <v>-120.662970418651</v>
      </c>
      <c r="I19" s="15" t="s">
        <v>29</v>
      </c>
      <c r="J19" s="15">
        <v>1.1837961673736499</v>
      </c>
      <c r="K19" s="15" t="s">
        <v>30</v>
      </c>
      <c r="L19" s="15" t="s">
        <v>87</v>
      </c>
      <c r="M19" s="80">
        <v>2</v>
      </c>
      <c r="N19" s="103">
        <v>6</v>
      </c>
      <c r="O19" s="80">
        <v>1</v>
      </c>
      <c r="P19" s="80"/>
      <c r="Q19" s="80"/>
      <c r="R19" s="15" t="s">
        <v>145</v>
      </c>
      <c r="S19" s="15" t="s">
        <v>33</v>
      </c>
      <c r="T19" s="15" t="s">
        <v>64</v>
      </c>
      <c r="U19" s="3" t="s">
        <v>146</v>
      </c>
      <c r="V19" s="3" t="s">
        <v>147</v>
      </c>
      <c r="W19" s="3" t="s">
        <v>148</v>
      </c>
      <c r="X19">
        <v>0.24972511574073999</v>
      </c>
      <c r="Y19">
        <v>1.86044400930404</v>
      </c>
      <c r="Z19">
        <v>0.42757584820000699</v>
      </c>
      <c r="AA19" t="s">
        <v>149</v>
      </c>
    </row>
    <row r="20" spans="1:27">
      <c r="A20" s="15" t="s">
        <v>150</v>
      </c>
      <c r="B20" s="16">
        <v>0.21365570043468099</v>
      </c>
      <c r="C20" s="15" t="s">
        <v>28</v>
      </c>
      <c r="D20" s="17">
        <v>12.555085182189901</v>
      </c>
      <c r="E20" s="15">
        <v>0.23100000000000001</v>
      </c>
      <c r="F20" s="15">
        <v>10.9</v>
      </c>
      <c r="G20" s="15">
        <v>35.309358322594001</v>
      </c>
      <c r="H20" s="15">
        <v>-120.661947273739</v>
      </c>
      <c r="I20" s="15" t="s">
        <v>29</v>
      </c>
      <c r="J20" s="15">
        <v>1.19677722454071</v>
      </c>
      <c r="K20" s="15" t="s">
        <v>30</v>
      </c>
      <c r="L20" s="15" t="s">
        <v>87</v>
      </c>
      <c r="M20" s="80">
        <v>2</v>
      </c>
      <c r="N20" s="103">
        <v>7</v>
      </c>
      <c r="O20" s="80">
        <v>1</v>
      </c>
      <c r="P20" s="80"/>
      <c r="Q20" s="80"/>
      <c r="R20" s="15" t="s">
        <v>151</v>
      </c>
      <c r="S20" s="15" t="s">
        <v>33</v>
      </c>
      <c r="T20" s="15" t="s">
        <v>64</v>
      </c>
      <c r="U20" s="3" t="s">
        <v>152</v>
      </c>
      <c r="V20" s="3" t="s">
        <v>153</v>
      </c>
      <c r="W20" s="3" t="s">
        <v>154</v>
      </c>
      <c r="X20">
        <v>0.23958333333333301</v>
      </c>
      <c r="Y20">
        <v>0.82625907659530595</v>
      </c>
      <c r="Z20">
        <v>0.192979585662757</v>
      </c>
      <c r="AA20" t="s">
        <v>155</v>
      </c>
    </row>
    <row r="21" spans="1:27">
      <c r="A21" s="15" t="s">
        <v>156</v>
      </c>
      <c r="B21" s="16">
        <v>0.28408539676588401</v>
      </c>
      <c r="C21" s="15" t="s">
        <v>28</v>
      </c>
      <c r="D21" s="17">
        <v>11.706635475158601</v>
      </c>
      <c r="E21" s="15">
        <v>0.3</v>
      </c>
      <c r="F21" s="15">
        <v>11</v>
      </c>
      <c r="G21" s="15">
        <v>35.309356206367802</v>
      </c>
      <c r="H21" s="15">
        <v>-120.663181702613</v>
      </c>
      <c r="I21" s="15" t="s">
        <v>29</v>
      </c>
      <c r="J21" s="15">
        <v>1.27239489555358</v>
      </c>
      <c r="K21" s="15" t="s">
        <v>30</v>
      </c>
      <c r="L21" s="15" t="s">
        <v>87</v>
      </c>
      <c r="M21" s="80">
        <v>2</v>
      </c>
      <c r="N21" s="103">
        <v>8</v>
      </c>
      <c r="O21" s="80">
        <v>1</v>
      </c>
      <c r="P21" s="80"/>
      <c r="Q21" s="80"/>
      <c r="R21" s="15" t="s">
        <v>157</v>
      </c>
      <c r="S21" s="15" t="s">
        <v>33</v>
      </c>
      <c r="T21" s="15" t="s">
        <v>64</v>
      </c>
      <c r="U21" s="3" t="s">
        <v>158</v>
      </c>
      <c r="V21" s="3" t="s">
        <v>159</v>
      </c>
      <c r="W21" s="3" t="s">
        <v>160</v>
      </c>
      <c r="X21">
        <v>0.24441964285714199</v>
      </c>
      <c r="Y21">
        <v>1.0959783792495701</v>
      </c>
      <c r="Z21">
        <v>0.25664468656973199</v>
      </c>
      <c r="AA21" t="s">
        <v>161</v>
      </c>
    </row>
    <row r="22" spans="1:27">
      <c r="A22" s="15" t="s">
        <v>162</v>
      </c>
      <c r="B22" s="16">
        <v>0.11520452826520999</v>
      </c>
      <c r="C22" s="15" t="s">
        <v>28</v>
      </c>
      <c r="D22" s="17">
        <v>1.21672916412353</v>
      </c>
      <c r="E22" s="15">
        <v>0.125</v>
      </c>
      <c r="F22" s="15">
        <v>1.3</v>
      </c>
      <c r="G22" s="15">
        <v>35.308890127073603</v>
      </c>
      <c r="H22" s="15">
        <v>-120.6604184281</v>
      </c>
      <c r="I22" s="15" t="s">
        <v>29</v>
      </c>
      <c r="J22" s="15">
        <v>1.25416159629821</v>
      </c>
      <c r="K22" s="15" t="s">
        <v>30</v>
      </c>
      <c r="L22" s="15" t="s">
        <v>87</v>
      </c>
      <c r="M22" s="80">
        <v>2</v>
      </c>
      <c r="N22" s="103">
        <v>8</v>
      </c>
      <c r="O22" s="80">
        <v>2</v>
      </c>
      <c r="P22" s="80"/>
      <c r="Q22" s="80"/>
      <c r="R22" s="15" t="s">
        <v>163</v>
      </c>
      <c r="S22" s="15" t="s">
        <v>33</v>
      </c>
      <c r="T22" s="15" t="s">
        <v>64</v>
      </c>
      <c r="U22" s="3" t="s">
        <v>164</v>
      </c>
      <c r="V22" s="3" t="s">
        <v>165</v>
      </c>
      <c r="W22" s="3" t="s">
        <v>166</v>
      </c>
      <c r="X22">
        <v>0.24739583333333301</v>
      </c>
      <c r="Y22">
        <v>0.45070460438728299</v>
      </c>
      <c r="Z22">
        <v>0.104192678415974</v>
      </c>
      <c r="AA22" t="s">
        <v>167</v>
      </c>
    </row>
    <row r="23" spans="1:27">
      <c r="A23" s="15" t="s">
        <v>168</v>
      </c>
      <c r="B23" s="16">
        <v>0.102283553626823</v>
      </c>
      <c r="C23" s="15" t="s">
        <v>28</v>
      </c>
      <c r="D23" s="17">
        <v>1.18597447872161</v>
      </c>
      <c r="E23" s="15">
        <v>0.11</v>
      </c>
      <c r="F23" s="15">
        <v>1.3</v>
      </c>
      <c r="G23" s="15">
        <v>35.309432155237097</v>
      </c>
      <c r="H23" s="15">
        <v>-120.662310966098</v>
      </c>
      <c r="I23" s="15" t="s">
        <v>29</v>
      </c>
      <c r="J23" s="15">
        <v>1.1839586496353101</v>
      </c>
      <c r="K23" s="15" t="s">
        <v>30</v>
      </c>
      <c r="L23" s="15" t="s">
        <v>87</v>
      </c>
      <c r="M23" s="80">
        <v>2</v>
      </c>
      <c r="N23" s="103">
        <v>8</v>
      </c>
      <c r="O23" s="80">
        <v>3</v>
      </c>
      <c r="P23" s="80"/>
      <c r="Q23" s="80"/>
      <c r="R23" s="15" t="s">
        <v>169</v>
      </c>
      <c r="S23" s="15" t="s">
        <v>33</v>
      </c>
      <c r="T23" s="15" t="s">
        <v>64</v>
      </c>
      <c r="U23" s="3" t="s">
        <v>170</v>
      </c>
      <c r="V23" s="3" t="s">
        <v>171</v>
      </c>
      <c r="W23" s="3" t="s">
        <v>172</v>
      </c>
      <c r="X23">
        <v>0.238095238095238</v>
      </c>
      <c r="Y23">
        <v>0.38979263603687198</v>
      </c>
      <c r="Z23">
        <v>9.2188685438399906E-2</v>
      </c>
      <c r="AA23" t="s">
        <v>173</v>
      </c>
    </row>
    <row r="24" spans="1:27">
      <c r="A24" s="15" t="s">
        <v>174</v>
      </c>
      <c r="B24" s="16">
        <v>0.28040143397232797</v>
      </c>
      <c r="C24" s="15" t="s">
        <v>28</v>
      </c>
      <c r="D24" s="17">
        <v>10.2559041976928</v>
      </c>
      <c r="E24" s="15">
        <v>0.33800000000000002</v>
      </c>
      <c r="F24" s="15">
        <v>10</v>
      </c>
      <c r="G24" s="15">
        <v>35.3103645713703</v>
      </c>
      <c r="H24" s="15">
        <v>-120.66242694324001</v>
      </c>
      <c r="I24" s="15" t="s">
        <v>29</v>
      </c>
      <c r="J24" s="15">
        <v>1.3200376033782899</v>
      </c>
      <c r="K24" s="15" t="s">
        <v>30</v>
      </c>
      <c r="L24" s="15" t="s">
        <v>87</v>
      </c>
      <c r="M24" s="80">
        <v>2</v>
      </c>
      <c r="N24" s="103">
        <v>9</v>
      </c>
      <c r="O24" s="80">
        <v>1</v>
      </c>
      <c r="P24" s="80"/>
      <c r="Q24" s="80"/>
      <c r="R24" s="15" t="s">
        <v>175</v>
      </c>
      <c r="S24" s="15" t="s">
        <v>33</v>
      </c>
      <c r="T24" s="15" t="s">
        <v>64</v>
      </c>
      <c r="U24" s="3" t="s">
        <v>176</v>
      </c>
      <c r="V24" s="3" t="s">
        <v>177</v>
      </c>
      <c r="W24" s="3" t="s">
        <v>178</v>
      </c>
      <c r="X24">
        <v>0.24328807043650699</v>
      </c>
      <c r="Y24">
        <v>1.11366534233093</v>
      </c>
      <c r="Z24">
        <v>0.253036004137844</v>
      </c>
      <c r="AA24" t="s">
        <v>179</v>
      </c>
    </row>
    <row r="25" spans="1:27">
      <c r="A25" s="15" t="s">
        <v>180</v>
      </c>
      <c r="B25" s="16">
        <v>0.18495096359921401</v>
      </c>
      <c r="C25" s="15" t="s">
        <v>28</v>
      </c>
      <c r="D25" s="17">
        <v>1.2358043193817101</v>
      </c>
      <c r="E25" s="15">
        <v>0.21299999999999999</v>
      </c>
      <c r="F25" s="15">
        <v>1.3</v>
      </c>
      <c r="G25" s="15">
        <v>35.309551563933198</v>
      </c>
      <c r="H25" s="15">
        <v>-120.66296089758799</v>
      </c>
      <c r="I25" s="15" t="s">
        <v>29</v>
      </c>
      <c r="J25" s="15">
        <v>1.2390694618225</v>
      </c>
      <c r="K25" s="15" t="s">
        <v>30</v>
      </c>
      <c r="L25" s="15" t="s">
        <v>87</v>
      </c>
      <c r="M25" s="80">
        <v>2</v>
      </c>
      <c r="N25" s="103">
        <v>9</v>
      </c>
      <c r="O25" s="80">
        <v>2</v>
      </c>
      <c r="P25" s="80"/>
      <c r="Q25" s="80"/>
      <c r="R25" s="18" t="s">
        <v>181</v>
      </c>
      <c r="S25" s="15" t="s">
        <v>33</v>
      </c>
      <c r="T25" s="15" t="s">
        <v>64</v>
      </c>
      <c r="U25" s="3" t="s">
        <v>182</v>
      </c>
      <c r="V25" s="3" t="s">
        <v>183</v>
      </c>
      <c r="W25" s="3" t="s">
        <v>184</v>
      </c>
      <c r="X25">
        <v>0.25390625</v>
      </c>
      <c r="Y25">
        <v>0.70277279615402199</v>
      </c>
      <c r="Z25">
        <v>0.16617222593881301</v>
      </c>
      <c r="AA25" t="s">
        <v>185</v>
      </c>
    </row>
    <row r="26" spans="1:27">
      <c r="A26" s="15" t="s">
        <v>186</v>
      </c>
      <c r="B26" s="16">
        <v>0.223855853763577</v>
      </c>
      <c r="C26" s="15" t="s">
        <v>28</v>
      </c>
      <c r="D26" s="17">
        <v>1.2975336313247601</v>
      </c>
      <c r="E26" s="15">
        <v>0.24</v>
      </c>
      <c r="F26" s="15">
        <v>1.3</v>
      </c>
      <c r="G26" s="15">
        <v>35.309440281681901</v>
      </c>
      <c r="H26" s="15">
        <v>-120.662418532556</v>
      </c>
      <c r="I26" s="15" t="s">
        <v>29</v>
      </c>
      <c r="J26" s="15">
        <v>1.1702294349670399</v>
      </c>
      <c r="K26" s="15" t="s">
        <v>30</v>
      </c>
      <c r="L26" s="15" t="s">
        <v>87</v>
      </c>
      <c r="M26" s="80">
        <v>2</v>
      </c>
      <c r="N26" s="103">
        <v>9</v>
      </c>
      <c r="O26" s="80">
        <v>3</v>
      </c>
      <c r="P26" s="80"/>
      <c r="Q26" s="80"/>
      <c r="R26" s="15" t="s">
        <v>187</v>
      </c>
      <c r="S26" s="15" t="s">
        <v>33</v>
      </c>
      <c r="T26" s="15" t="s">
        <v>64</v>
      </c>
      <c r="U26" s="3" t="s">
        <v>188</v>
      </c>
      <c r="V26" s="3" t="s">
        <v>189</v>
      </c>
      <c r="W26" s="3" t="s">
        <v>190</v>
      </c>
      <c r="X26">
        <v>0.261948529411764</v>
      </c>
      <c r="Y26">
        <v>0.87918418645858698</v>
      </c>
      <c r="Z26">
        <v>0.20194977142519499</v>
      </c>
      <c r="AA26" t="s">
        <v>191</v>
      </c>
    </row>
    <row r="27" spans="1:27">
      <c r="A27" s="15" t="s">
        <v>192</v>
      </c>
      <c r="B27" s="16">
        <v>0.24117258157309199</v>
      </c>
      <c r="C27" s="15" t="s">
        <v>28</v>
      </c>
      <c r="D27" s="17">
        <v>1.2569109201431199</v>
      </c>
      <c r="E27" s="15">
        <v>0.255</v>
      </c>
      <c r="F27" s="15">
        <v>1.3</v>
      </c>
      <c r="G27" s="15">
        <v>35.310311647755597</v>
      </c>
      <c r="H27" s="15">
        <v>-120.662408538777</v>
      </c>
      <c r="I27" s="15" t="s">
        <v>29</v>
      </c>
      <c r="J27" s="15">
        <v>1.0742042064666699</v>
      </c>
      <c r="K27" s="15" t="s">
        <v>30</v>
      </c>
      <c r="L27" s="15" t="s">
        <v>87</v>
      </c>
      <c r="M27" s="80">
        <v>2</v>
      </c>
      <c r="N27" s="103">
        <v>9</v>
      </c>
      <c r="O27" s="80">
        <v>4</v>
      </c>
      <c r="P27" s="80"/>
      <c r="Q27" s="80"/>
      <c r="R27" s="15" t="s">
        <v>193</v>
      </c>
      <c r="S27" s="15" t="s">
        <v>33</v>
      </c>
      <c r="T27" s="15" t="s">
        <v>64</v>
      </c>
      <c r="U27" s="3" t="s">
        <v>194</v>
      </c>
      <c r="V27" s="3" t="s">
        <v>195</v>
      </c>
      <c r="W27" s="3" t="s">
        <v>196</v>
      </c>
      <c r="X27">
        <v>0.25204208721532001</v>
      </c>
      <c r="Y27">
        <v>0.96008923649787903</v>
      </c>
      <c r="Z27">
        <v>0.217149087596265</v>
      </c>
      <c r="AA27" t="s">
        <v>197</v>
      </c>
    </row>
    <row r="28" spans="1:27">
      <c r="A28" s="15" t="s">
        <v>198</v>
      </c>
      <c r="B28" s="16">
        <v>0.16812205594777699</v>
      </c>
      <c r="C28" s="15" t="s">
        <v>28</v>
      </c>
      <c r="D28" s="17">
        <v>5.0817360877990696</v>
      </c>
      <c r="E28" s="15">
        <v>0.192</v>
      </c>
      <c r="F28" s="15">
        <v>4</v>
      </c>
      <c r="G28" s="15">
        <v>35.309537811050497</v>
      </c>
      <c r="H28" s="15">
        <v>-120.662964781884</v>
      </c>
      <c r="I28" s="15" t="s">
        <v>29</v>
      </c>
      <c r="J28" s="15">
        <v>0.56169414520263605</v>
      </c>
      <c r="K28" s="15" t="s">
        <v>30</v>
      </c>
      <c r="L28" s="15" t="s">
        <v>87</v>
      </c>
      <c r="M28" s="80">
        <v>2</v>
      </c>
      <c r="N28" s="103">
        <v>10</v>
      </c>
      <c r="O28" s="80">
        <v>1</v>
      </c>
      <c r="P28" s="80"/>
      <c r="Q28" s="80"/>
      <c r="R28" s="15" t="s">
        <v>199</v>
      </c>
      <c r="S28" s="15" t="s">
        <v>33</v>
      </c>
      <c r="T28" s="15" t="s">
        <v>64</v>
      </c>
      <c r="U28" s="3" t="s">
        <v>200</v>
      </c>
      <c r="V28" s="3" t="s">
        <v>201</v>
      </c>
      <c r="W28" s="3" t="s">
        <v>202</v>
      </c>
      <c r="X28">
        <v>0.25061274509803899</v>
      </c>
      <c r="Y28">
        <v>0.64907383918762196</v>
      </c>
      <c r="Z28">
        <v>0.15766003083643401</v>
      </c>
      <c r="AA28" t="s">
        <v>203</v>
      </c>
    </row>
    <row r="29" spans="1:27">
      <c r="A29" s="15" t="s">
        <v>204</v>
      </c>
      <c r="B29" s="16">
        <v>0.43914294885090399</v>
      </c>
      <c r="C29" s="15" t="s">
        <v>28</v>
      </c>
      <c r="D29" s="17">
        <v>12.9507656097412</v>
      </c>
      <c r="E29" s="15">
        <v>0.49099999999999999</v>
      </c>
      <c r="F29" s="15">
        <v>12.6</v>
      </c>
      <c r="G29" s="15">
        <v>35.3096114373635</v>
      </c>
      <c r="H29" s="15">
        <v>-120.662972100613</v>
      </c>
      <c r="I29" s="15" t="s">
        <v>29</v>
      </c>
      <c r="J29" s="15">
        <v>1.38425600528717</v>
      </c>
      <c r="K29" s="15" t="s">
        <v>30</v>
      </c>
      <c r="L29" s="15" t="s">
        <v>87</v>
      </c>
      <c r="M29" s="80">
        <v>2</v>
      </c>
      <c r="N29" s="103">
        <v>11</v>
      </c>
      <c r="O29" s="80">
        <v>1</v>
      </c>
      <c r="P29" s="80"/>
      <c r="Q29" s="80"/>
      <c r="R29" s="15" t="s">
        <v>205</v>
      </c>
      <c r="S29" s="15" t="s">
        <v>33</v>
      </c>
      <c r="T29" s="15" t="s">
        <v>64</v>
      </c>
      <c r="U29" s="3" t="s">
        <v>206</v>
      </c>
      <c r="V29" s="3" t="s">
        <v>207</v>
      </c>
      <c r="W29" s="3" t="s">
        <v>208</v>
      </c>
      <c r="X29">
        <v>0.26221955128205099</v>
      </c>
      <c r="Y29">
        <v>1.80824398994445</v>
      </c>
      <c r="Z29">
        <v>0.42115510142938001</v>
      </c>
      <c r="AA29" t="s">
        <v>209</v>
      </c>
    </row>
    <row r="30" spans="1:27">
      <c r="A30" s="15" t="s">
        <v>210</v>
      </c>
      <c r="B30" s="16">
        <v>0.210615677247107</v>
      </c>
      <c r="C30" s="15" t="s">
        <v>28</v>
      </c>
      <c r="D30" s="17">
        <v>1.3164044618606501</v>
      </c>
      <c r="E30" s="15">
        <v>0.23599999999999999</v>
      </c>
      <c r="F30" s="15">
        <v>1.3</v>
      </c>
      <c r="G30" s="15">
        <v>35.309483127860297</v>
      </c>
      <c r="H30" s="15">
        <v>-120.662975971462</v>
      </c>
      <c r="I30" s="15" t="s">
        <v>29</v>
      </c>
      <c r="J30" s="15">
        <v>1.37972259521484</v>
      </c>
      <c r="K30" s="15" t="s">
        <v>30</v>
      </c>
      <c r="L30" s="15" t="s">
        <v>87</v>
      </c>
      <c r="M30" s="80">
        <v>2</v>
      </c>
      <c r="N30" s="103">
        <v>11</v>
      </c>
      <c r="O30" s="80">
        <v>2</v>
      </c>
      <c r="P30" s="80"/>
      <c r="Q30" s="80"/>
      <c r="R30" s="15" t="s">
        <v>211</v>
      </c>
      <c r="S30" s="15" t="s">
        <v>33</v>
      </c>
      <c r="T30" s="15" t="s">
        <v>64</v>
      </c>
      <c r="U30" s="3" t="s">
        <v>212</v>
      </c>
      <c r="V30" s="3" t="s">
        <v>213</v>
      </c>
      <c r="W30" s="3" t="s">
        <v>214</v>
      </c>
      <c r="X30">
        <v>0.242476851851851</v>
      </c>
      <c r="Y30">
        <v>0.87847739458084095</v>
      </c>
      <c r="Z30">
        <v>0.191719169207375</v>
      </c>
      <c r="AA30" t="s">
        <v>215</v>
      </c>
    </row>
    <row r="31" spans="1:27">
      <c r="A31" s="15" t="s">
        <v>216</v>
      </c>
      <c r="B31" s="16">
        <v>0.18681470632601499</v>
      </c>
      <c r="C31" s="15" t="s">
        <v>28</v>
      </c>
      <c r="D31" s="17">
        <v>1.14282321929931</v>
      </c>
      <c r="E31" s="15">
        <v>0.23699999999999999</v>
      </c>
      <c r="F31" s="15">
        <v>1.3</v>
      </c>
      <c r="G31" s="15">
        <v>35.3096045888175</v>
      </c>
      <c r="H31" s="15">
        <v>-120.66297658486999</v>
      </c>
      <c r="I31" s="15" t="s">
        <v>29</v>
      </c>
      <c r="J31" s="15">
        <v>0.63433474302291804</v>
      </c>
      <c r="K31" s="15" t="s">
        <v>30</v>
      </c>
      <c r="L31" s="15" t="s">
        <v>87</v>
      </c>
      <c r="M31" s="80">
        <v>2</v>
      </c>
      <c r="N31" s="103">
        <v>11</v>
      </c>
      <c r="O31" s="80">
        <v>3</v>
      </c>
      <c r="P31" s="80"/>
      <c r="Q31" s="80"/>
      <c r="R31" s="15" t="s">
        <v>217</v>
      </c>
      <c r="S31" s="15" t="s">
        <v>33</v>
      </c>
      <c r="T31" s="15" t="s">
        <v>64</v>
      </c>
      <c r="U31" s="3" t="s">
        <v>218</v>
      </c>
      <c r="V31" s="3" t="s">
        <v>219</v>
      </c>
      <c r="W31" s="3" t="s">
        <v>220</v>
      </c>
      <c r="X31">
        <v>0.25801767676767601</v>
      </c>
      <c r="Y31">
        <v>0.767535120248794</v>
      </c>
      <c r="Z31">
        <v>0.17025653288303499</v>
      </c>
      <c r="AA31" t="s">
        <v>221</v>
      </c>
    </row>
    <row r="32" spans="1:27">
      <c r="A32" s="15" t="s">
        <v>222</v>
      </c>
      <c r="B32" s="16">
        <v>0.42154631342767901</v>
      </c>
      <c r="C32" s="15" t="s">
        <v>28</v>
      </c>
      <c r="D32" s="17">
        <v>10.923260688781699</v>
      </c>
      <c r="E32" s="15">
        <v>0.46</v>
      </c>
      <c r="F32" s="15">
        <v>10.5</v>
      </c>
      <c r="G32" s="15">
        <v>35.309602976073201</v>
      </c>
      <c r="H32" s="15">
        <v>-120.662976877045</v>
      </c>
      <c r="I32" s="15" t="s">
        <v>29</v>
      </c>
      <c r="J32" s="15">
        <v>1.04951190948486</v>
      </c>
      <c r="K32" s="15" t="s">
        <v>30</v>
      </c>
      <c r="L32" s="15" t="s">
        <v>87</v>
      </c>
      <c r="M32" s="80">
        <v>2</v>
      </c>
      <c r="N32" s="103">
        <v>12</v>
      </c>
      <c r="O32" s="80">
        <v>1</v>
      </c>
      <c r="P32" s="80"/>
      <c r="Q32" s="80"/>
      <c r="R32" s="15" t="s">
        <v>223</v>
      </c>
      <c r="S32" s="15" t="s">
        <v>33</v>
      </c>
      <c r="T32" s="15" t="s">
        <v>64</v>
      </c>
      <c r="U32" s="3" t="s">
        <v>224</v>
      </c>
      <c r="V32" s="3" t="s">
        <v>225</v>
      </c>
      <c r="W32" s="3" t="s">
        <v>226</v>
      </c>
      <c r="X32">
        <v>0.25049603174603102</v>
      </c>
      <c r="Y32">
        <v>1.67496281862258</v>
      </c>
      <c r="Z32">
        <v>0.39616723839874102</v>
      </c>
      <c r="AA32" t="s">
        <v>227</v>
      </c>
    </row>
    <row r="33" spans="1:27">
      <c r="A33" s="15" t="s">
        <v>228</v>
      </c>
      <c r="B33" s="16">
        <v>0.26523684436853101</v>
      </c>
      <c r="C33" s="15" t="s">
        <v>28</v>
      </c>
      <c r="D33" s="17">
        <v>1.31225609779357</v>
      </c>
      <c r="E33" s="15">
        <v>0.25900000000000001</v>
      </c>
      <c r="F33" s="15">
        <v>1.3</v>
      </c>
      <c r="G33" s="15">
        <v>35.3096201825607</v>
      </c>
      <c r="H33" s="15">
        <v>-120.662956090845</v>
      </c>
      <c r="I33" s="15" t="s">
        <v>29</v>
      </c>
      <c r="J33" s="15">
        <v>0.53759324550628595</v>
      </c>
      <c r="K33" s="15" t="s">
        <v>30</v>
      </c>
      <c r="L33" s="15" t="s">
        <v>87</v>
      </c>
      <c r="M33" s="80">
        <v>2</v>
      </c>
      <c r="N33" s="103">
        <v>12</v>
      </c>
      <c r="O33" s="80">
        <v>2</v>
      </c>
      <c r="P33" s="80"/>
      <c r="Q33" s="80"/>
      <c r="R33" s="15" t="s">
        <v>229</v>
      </c>
      <c r="S33" s="15" t="s">
        <v>33</v>
      </c>
      <c r="T33" s="15" t="s">
        <v>64</v>
      </c>
      <c r="U33" s="3" t="s">
        <v>230</v>
      </c>
      <c r="V33" s="3" t="s">
        <v>231</v>
      </c>
      <c r="W33" s="3" t="s">
        <v>232</v>
      </c>
      <c r="X33">
        <v>0.26041666666666602</v>
      </c>
      <c r="Y33">
        <v>0.98794138431548995</v>
      </c>
      <c r="Z33">
        <v>0.23792338778962199</v>
      </c>
      <c r="AA33" t="s">
        <v>233</v>
      </c>
    </row>
    <row r="34" spans="1:27">
      <c r="A34" s="15" t="s">
        <v>234</v>
      </c>
      <c r="B34" s="16">
        <v>0.280983437166058</v>
      </c>
      <c r="C34" s="15" t="s">
        <v>28</v>
      </c>
      <c r="D34" s="17">
        <v>12.2546834945678</v>
      </c>
      <c r="E34" s="15">
        <v>0.32700000000000001</v>
      </c>
      <c r="F34" s="15">
        <v>12</v>
      </c>
      <c r="G34" s="15">
        <v>35.310639182953899</v>
      </c>
      <c r="H34" s="15">
        <v>-120.662461850013</v>
      </c>
      <c r="I34" s="15" t="s">
        <v>29</v>
      </c>
      <c r="J34" s="15">
        <v>1.2486169338226301</v>
      </c>
      <c r="K34" s="15" t="s">
        <v>30</v>
      </c>
      <c r="L34" s="15" t="s">
        <v>87</v>
      </c>
      <c r="M34" s="80">
        <v>2</v>
      </c>
      <c r="N34" s="103">
        <v>13</v>
      </c>
      <c r="O34" s="80">
        <v>1</v>
      </c>
      <c r="P34" s="80"/>
      <c r="Q34" s="80"/>
      <c r="R34" s="15" t="s">
        <v>235</v>
      </c>
      <c r="S34" s="15" t="s">
        <v>33</v>
      </c>
      <c r="T34" s="15" t="s">
        <v>64</v>
      </c>
      <c r="U34" s="3" t="s">
        <v>236</v>
      </c>
      <c r="V34" s="3" t="s">
        <v>237</v>
      </c>
      <c r="W34" s="3" t="s">
        <v>238</v>
      </c>
      <c r="X34">
        <v>0.282540954415954</v>
      </c>
      <c r="Y34">
        <v>1.1241169571876499</v>
      </c>
      <c r="Z34">
        <v>0.20949262896804799</v>
      </c>
      <c r="AA34" t="s">
        <v>239</v>
      </c>
    </row>
    <row r="35" spans="1:27">
      <c r="A35" s="15" t="s">
        <v>240</v>
      </c>
      <c r="B35" s="16">
        <v>0.34173329062757601</v>
      </c>
      <c r="C35" s="15" t="s">
        <v>28</v>
      </c>
      <c r="D35" s="17">
        <v>1.3008503913879299</v>
      </c>
      <c r="E35" s="15">
        <v>0.34399999999999997</v>
      </c>
      <c r="F35" s="15">
        <v>1.3</v>
      </c>
      <c r="G35" s="15">
        <v>35.309474557945698</v>
      </c>
      <c r="H35" s="15">
        <v>-120.66300358809499</v>
      </c>
      <c r="I35" s="15" t="s">
        <v>29</v>
      </c>
      <c r="J35" s="15">
        <v>1.1136006116867001</v>
      </c>
      <c r="K35" s="15" t="s">
        <v>30</v>
      </c>
      <c r="L35" s="15" t="s">
        <v>87</v>
      </c>
      <c r="M35" s="80">
        <v>2</v>
      </c>
      <c r="N35" s="103">
        <v>13</v>
      </c>
      <c r="O35" s="80">
        <v>2</v>
      </c>
      <c r="P35" s="80"/>
      <c r="Q35" s="80"/>
      <c r="R35" s="15" t="s">
        <v>241</v>
      </c>
      <c r="S35" s="15" t="s">
        <v>33</v>
      </c>
      <c r="T35" s="15" t="s">
        <v>64</v>
      </c>
      <c r="U35" s="3" t="s">
        <v>242</v>
      </c>
      <c r="V35" s="3" t="s">
        <v>243</v>
      </c>
      <c r="W35" s="3" t="s">
        <v>244</v>
      </c>
      <c r="X35">
        <v>0.23958333333333301</v>
      </c>
      <c r="Y35">
        <v>1.31388795375823</v>
      </c>
      <c r="Z35">
        <v>0.30862727579618898</v>
      </c>
      <c r="AA35" t="s">
        <v>245</v>
      </c>
    </row>
    <row r="36" spans="1:27">
      <c r="A36" s="15" t="s">
        <v>246</v>
      </c>
      <c r="B36" s="16">
        <v>0.21662830278481099</v>
      </c>
      <c r="C36" s="15" t="s">
        <v>28</v>
      </c>
      <c r="D36" s="17">
        <v>1.3053650856018</v>
      </c>
      <c r="E36" s="15">
        <v>0.25800000000000001</v>
      </c>
      <c r="F36" s="15">
        <v>1.3</v>
      </c>
      <c r="G36" s="15">
        <v>35.309611234194598</v>
      </c>
      <c r="H36" s="15">
        <v>-120.66297030182</v>
      </c>
      <c r="I36" s="15" t="s">
        <v>29</v>
      </c>
      <c r="J36" s="15">
        <v>0.96609711647033603</v>
      </c>
      <c r="K36" s="15" t="s">
        <v>30</v>
      </c>
      <c r="L36" s="15" t="s">
        <v>87</v>
      </c>
      <c r="M36" s="80">
        <v>2</v>
      </c>
      <c r="N36" s="103">
        <v>13</v>
      </c>
      <c r="O36" s="80">
        <v>3</v>
      </c>
      <c r="P36" s="80"/>
      <c r="Q36" s="80"/>
      <c r="R36" s="15" t="s">
        <v>247</v>
      </c>
      <c r="S36" s="15" t="s">
        <v>33</v>
      </c>
      <c r="T36" s="15" t="s">
        <v>64</v>
      </c>
      <c r="U36" s="3" t="s">
        <v>248</v>
      </c>
      <c r="V36" s="3" t="s">
        <v>249</v>
      </c>
      <c r="W36" s="3" t="s">
        <v>250</v>
      </c>
      <c r="X36">
        <v>0.23611111111111099</v>
      </c>
      <c r="Y36">
        <v>0.85008329153060902</v>
      </c>
      <c r="Z36">
        <v>0.195368558504771</v>
      </c>
      <c r="AA36" t="s">
        <v>251</v>
      </c>
    </row>
    <row r="37" spans="1:27">
      <c r="A37" s="15" t="s">
        <v>252</v>
      </c>
      <c r="B37" s="16">
        <v>0.29312723074838498</v>
      </c>
      <c r="C37" s="15" t="s">
        <v>28</v>
      </c>
      <c r="D37" s="17">
        <v>1.3021757602691599</v>
      </c>
      <c r="E37" s="15">
        <v>0.34</v>
      </c>
      <c r="F37" s="15">
        <v>1.3</v>
      </c>
      <c r="G37" s="15">
        <v>35.309481929942102</v>
      </c>
      <c r="H37" s="15">
        <v>-120.663076813449</v>
      </c>
      <c r="I37" s="15" t="s">
        <v>29</v>
      </c>
      <c r="J37" s="15">
        <v>1.25433337688446</v>
      </c>
      <c r="K37" s="15" t="s">
        <v>30</v>
      </c>
      <c r="L37" s="15" t="s">
        <v>87</v>
      </c>
      <c r="M37" s="80">
        <v>2</v>
      </c>
      <c r="N37" s="103">
        <v>13</v>
      </c>
      <c r="O37" s="80">
        <v>4</v>
      </c>
      <c r="P37" s="80"/>
      <c r="Q37" s="80"/>
      <c r="R37" s="15" t="s">
        <v>253</v>
      </c>
      <c r="S37" s="15" t="s">
        <v>33</v>
      </c>
      <c r="T37" s="15" t="s">
        <v>64</v>
      </c>
      <c r="U37" s="3" t="s">
        <v>254</v>
      </c>
      <c r="V37" s="3" t="s">
        <v>255</v>
      </c>
      <c r="W37" s="3" t="s">
        <v>256</v>
      </c>
      <c r="X37">
        <v>0.24698464912280699</v>
      </c>
      <c r="Y37">
        <v>1.1601253747939999</v>
      </c>
      <c r="Z37">
        <v>0.263762988280004</v>
      </c>
      <c r="AA37" t="s">
        <v>257</v>
      </c>
    </row>
    <row r="38" spans="1:27">
      <c r="A38" s="15" t="s">
        <v>258</v>
      </c>
      <c r="B38" s="16">
        <v>0.37384262345453301</v>
      </c>
      <c r="C38" s="15" t="s">
        <v>28</v>
      </c>
      <c r="D38" s="17">
        <v>12.121313095092701</v>
      </c>
      <c r="E38" s="15">
        <v>0.432</v>
      </c>
      <c r="F38" s="15">
        <v>11.6</v>
      </c>
      <c r="G38" s="15">
        <v>35.309611260494002</v>
      </c>
      <c r="H38" s="15">
        <v>-120.66297255928799</v>
      </c>
      <c r="I38" s="15" t="s">
        <v>29</v>
      </c>
      <c r="J38" s="15">
        <v>1.0762901306152299</v>
      </c>
      <c r="K38" s="15" t="s">
        <v>30</v>
      </c>
      <c r="L38" s="15" t="s">
        <v>87</v>
      </c>
      <c r="M38" s="80">
        <v>2</v>
      </c>
      <c r="N38" s="103">
        <v>14</v>
      </c>
      <c r="O38" s="80">
        <v>1</v>
      </c>
      <c r="P38" s="80"/>
      <c r="Q38" s="80"/>
      <c r="R38" s="15" t="s">
        <v>259</v>
      </c>
      <c r="S38" s="15" t="s">
        <v>33</v>
      </c>
      <c r="T38" s="15" t="s">
        <v>64</v>
      </c>
      <c r="U38" s="3" t="s">
        <v>260</v>
      </c>
      <c r="V38" s="3" t="s">
        <v>261</v>
      </c>
      <c r="W38" s="3" t="s">
        <v>262</v>
      </c>
      <c r="X38">
        <v>0.240972222222222</v>
      </c>
      <c r="Y38">
        <v>1.47539126873016</v>
      </c>
      <c r="Z38">
        <v>0.337391369448587</v>
      </c>
      <c r="AA38" t="s">
        <v>263</v>
      </c>
    </row>
    <row r="39" spans="1:27">
      <c r="A39" s="15" t="s">
        <v>264</v>
      </c>
      <c r="B39" s="16">
        <v>0.490995585115233</v>
      </c>
      <c r="C39" s="15" t="s">
        <v>28</v>
      </c>
      <c r="D39" s="17">
        <v>14.6351099014282</v>
      </c>
      <c r="E39" s="15">
        <v>0.53</v>
      </c>
      <c r="F39" s="15">
        <v>13.6</v>
      </c>
      <c r="G39" s="15">
        <v>35.309615723510298</v>
      </c>
      <c r="H39" s="15">
        <v>-120.662966489281</v>
      </c>
      <c r="I39" s="15" t="s">
        <v>29</v>
      </c>
      <c r="J39" s="15">
        <v>0.93339991569518999</v>
      </c>
      <c r="K39" s="15" t="s">
        <v>30</v>
      </c>
      <c r="L39" s="15" t="s">
        <v>87</v>
      </c>
      <c r="M39" s="80">
        <v>2</v>
      </c>
      <c r="N39" s="103">
        <v>15</v>
      </c>
      <c r="O39" s="80">
        <v>1</v>
      </c>
      <c r="P39" s="80"/>
      <c r="Q39" s="80"/>
      <c r="R39" s="15" t="s">
        <v>265</v>
      </c>
      <c r="S39" s="15" t="s">
        <v>33</v>
      </c>
      <c r="T39" s="15" t="s">
        <v>64</v>
      </c>
      <c r="U39" s="3" t="s">
        <v>266</v>
      </c>
      <c r="V39" s="3" t="s">
        <v>267</v>
      </c>
      <c r="W39" s="3" t="s">
        <v>268</v>
      </c>
      <c r="X39">
        <v>0.239044540229885</v>
      </c>
      <c r="Y39">
        <v>1.86116707324981</v>
      </c>
      <c r="Z39">
        <v>0.44289978265678798</v>
      </c>
      <c r="AA39" t="s">
        <v>269</v>
      </c>
    </row>
    <row r="40" spans="1:27">
      <c r="A40" s="15" t="s">
        <v>270</v>
      </c>
      <c r="B40" s="16">
        <v>0.40315870807506998</v>
      </c>
      <c r="C40" s="15" t="s">
        <v>28</v>
      </c>
      <c r="D40" s="17">
        <v>11.089599609375</v>
      </c>
      <c r="E40" s="15">
        <v>0.39900000000000002</v>
      </c>
      <c r="F40" s="15">
        <v>11.6</v>
      </c>
      <c r="G40" s="15">
        <v>35.310172524120702</v>
      </c>
      <c r="H40" s="15">
        <v>-120.662236733692</v>
      </c>
      <c r="I40" s="15" t="s">
        <v>29</v>
      </c>
      <c r="J40" s="15">
        <v>0.92890918254852295</v>
      </c>
      <c r="K40" s="15" t="s">
        <v>30</v>
      </c>
      <c r="L40" s="15" t="s">
        <v>87</v>
      </c>
      <c r="M40" s="80">
        <v>2</v>
      </c>
      <c r="N40" s="103">
        <v>16</v>
      </c>
      <c r="O40" s="80">
        <v>1</v>
      </c>
      <c r="P40" s="80"/>
      <c r="Q40" s="80"/>
      <c r="R40" s="15" t="s">
        <v>271</v>
      </c>
      <c r="S40" s="15" t="s">
        <v>33</v>
      </c>
      <c r="T40" s="15" t="s">
        <v>64</v>
      </c>
      <c r="U40" s="3" t="s">
        <v>272</v>
      </c>
      <c r="V40" s="3" t="s">
        <v>273</v>
      </c>
      <c r="W40" s="3" t="s">
        <v>274</v>
      </c>
      <c r="X40">
        <v>0.25611584595959502</v>
      </c>
      <c r="Y40">
        <v>1.55576688051223</v>
      </c>
      <c r="Z40">
        <v>0.36394668437573502</v>
      </c>
      <c r="AA40" t="s">
        <v>275</v>
      </c>
    </row>
    <row r="41" spans="1:27">
      <c r="A41" s="15" t="s">
        <v>276</v>
      </c>
      <c r="B41" s="16">
        <v>0.31893615242182299</v>
      </c>
      <c r="C41" s="15" t="s">
        <v>28</v>
      </c>
      <c r="D41" s="17">
        <v>8.3935136795043892</v>
      </c>
      <c r="E41" s="15">
        <v>0.31</v>
      </c>
      <c r="F41" s="15">
        <v>0.79</v>
      </c>
      <c r="G41" s="15">
        <v>35.309264926519297</v>
      </c>
      <c r="H41" s="15">
        <v>-120.663199980562</v>
      </c>
      <c r="I41" s="15" t="s">
        <v>29</v>
      </c>
      <c r="J41" s="15">
        <v>1.39362061023712</v>
      </c>
      <c r="K41" s="15" t="s">
        <v>30</v>
      </c>
      <c r="L41" s="15" t="s">
        <v>87</v>
      </c>
      <c r="M41" s="80">
        <v>2</v>
      </c>
      <c r="N41" s="103">
        <v>17</v>
      </c>
      <c r="O41" s="80">
        <v>1</v>
      </c>
      <c r="P41" s="80"/>
      <c r="Q41" s="80"/>
      <c r="R41" s="15" t="s">
        <v>277</v>
      </c>
      <c r="S41" s="15" t="s">
        <v>33</v>
      </c>
      <c r="T41" s="15" t="s">
        <v>64</v>
      </c>
      <c r="U41" s="3" t="s">
        <v>278</v>
      </c>
      <c r="V41" s="3" t="s">
        <v>279</v>
      </c>
      <c r="W41" s="3" t="s">
        <v>280</v>
      </c>
      <c r="X41">
        <v>0.22519841269841201</v>
      </c>
      <c r="Y41">
        <v>1.27394914627075</v>
      </c>
      <c r="Z41">
        <v>0.287708818717964</v>
      </c>
      <c r="AA41" t="s">
        <v>281</v>
      </c>
    </row>
    <row r="42" spans="1:27">
      <c r="A42" s="15" t="s">
        <v>282</v>
      </c>
      <c r="B42" s="16">
        <v>8.6483989022523702E-2</v>
      </c>
      <c r="C42" s="15" t="s">
        <v>28</v>
      </c>
      <c r="D42" s="17">
        <v>1.2969564199447601</v>
      </c>
      <c r="E42" s="15">
        <v>0.09</v>
      </c>
      <c r="F42" s="15">
        <v>1.3</v>
      </c>
      <c r="G42" s="15">
        <v>35.309633755190099</v>
      </c>
      <c r="H42" s="15">
        <v>-120.66295716344899</v>
      </c>
      <c r="I42" s="15" t="s">
        <v>29</v>
      </c>
      <c r="J42" s="15">
        <v>1.0695209503173799</v>
      </c>
      <c r="K42" s="15" t="s">
        <v>30</v>
      </c>
      <c r="L42" s="15" t="s">
        <v>87</v>
      </c>
      <c r="M42" s="80">
        <v>2</v>
      </c>
      <c r="N42" s="103">
        <v>17</v>
      </c>
      <c r="O42" s="80">
        <v>2</v>
      </c>
      <c r="P42" s="80"/>
      <c r="Q42" s="80"/>
      <c r="R42" s="15" t="s">
        <v>283</v>
      </c>
      <c r="S42" s="15" t="s">
        <v>33</v>
      </c>
      <c r="T42" s="15" t="s">
        <v>64</v>
      </c>
      <c r="U42" s="3" t="s">
        <v>284</v>
      </c>
      <c r="V42" s="3" t="s">
        <v>285</v>
      </c>
      <c r="W42" s="3" t="s">
        <v>286</v>
      </c>
      <c r="X42">
        <v>0.226041666666666</v>
      </c>
      <c r="Y42">
        <v>0.66071045398712103</v>
      </c>
      <c r="Z42">
        <v>7.7101801616425394E-2</v>
      </c>
      <c r="AA42" t="s">
        <v>287</v>
      </c>
    </row>
    <row r="43" spans="1:27">
      <c r="A43" s="15" t="s">
        <v>288</v>
      </c>
      <c r="B43" s="16">
        <v>0.50968585278216905</v>
      </c>
      <c r="C43" s="15" t="s">
        <v>28</v>
      </c>
      <c r="D43" s="17">
        <v>1.12147009372711</v>
      </c>
      <c r="E43" s="15">
        <v>0.50600000000000001</v>
      </c>
      <c r="F43" s="15">
        <v>13.5</v>
      </c>
      <c r="G43" s="15">
        <v>35.309538972311998</v>
      </c>
      <c r="H43" s="15">
        <v>-120.66296474310199</v>
      </c>
      <c r="I43" s="15" t="s">
        <v>29</v>
      </c>
      <c r="J43" s="15">
        <v>1.0614541769027701</v>
      </c>
      <c r="K43" s="15" t="s">
        <v>30</v>
      </c>
      <c r="L43" s="15" t="s">
        <v>87</v>
      </c>
      <c r="M43" s="80">
        <v>2</v>
      </c>
      <c r="N43" s="103">
        <v>18</v>
      </c>
      <c r="O43" s="80">
        <v>1</v>
      </c>
      <c r="P43" s="80"/>
      <c r="Q43" s="80"/>
      <c r="R43" s="15" t="s">
        <v>289</v>
      </c>
      <c r="S43" s="15" t="s">
        <v>33</v>
      </c>
      <c r="T43" s="15" t="s">
        <v>64</v>
      </c>
      <c r="U43" s="3" t="s">
        <v>290</v>
      </c>
      <c r="V43" s="3" t="s">
        <v>291</v>
      </c>
      <c r="W43" s="3" t="s">
        <v>292</v>
      </c>
      <c r="X43">
        <v>0.203887836700336</v>
      </c>
      <c r="Y43">
        <v>2.0004316568374598</v>
      </c>
      <c r="Z43">
        <v>0.46232146492965498</v>
      </c>
      <c r="AA43" t="s">
        <v>293</v>
      </c>
    </row>
    <row r="44" spans="1:27">
      <c r="A44" s="15" t="s">
        <v>294</v>
      </c>
      <c r="B44" s="16">
        <v>0.52833857906884196</v>
      </c>
      <c r="C44" s="15" t="s">
        <v>28</v>
      </c>
      <c r="D44" s="17">
        <v>1.0429857969284</v>
      </c>
      <c r="E44" s="15">
        <v>0.56399999999999995</v>
      </c>
      <c r="F44" s="15">
        <v>1.3</v>
      </c>
      <c r="G44" s="15">
        <v>35.309527829342699</v>
      </c>
      <c r="H44" s="15">
        <v>-120.663041469291</v>
      </c>
      <c r="I44" s="15" t="s">
        <v>29</v>
      </c>
      <c r="J44" s="15">
        <v>0.88502156734466497</v>
      </c>
      <c r="K44" s="15" t="s">
        <v>30</v>
      </c>
      <c r="L44" s="15" t="s">
        <v>87</v>
      </c>
      <c r="M44" s="80">
        <v>2</v>
      </c>
      <c r="N44" s="103">
        <v>19</v>
      </c>
      <c r="O44" s="80">
        <v>1</v>
      </c>
      <c r="P44" s="80"/>
      <c r="Q44" s="80"/>
      <c r="R44" s="15" t="s">
        <v>295</v>
      </c>
      <c r="S44" s="15" t="s">
        <v>33</v>
      </c>
      <c r="T44" s="15" t="s">
        <v>64</v>
      </c>
      <c r="U44" s="3" t="s">
        <v>296</v>
      </c>
      <c r="V44" s="3" t="s">
        <v>297</v>
      </c>
      <c r="W44" s="3" t="s">
        <v>298</v>
      </c>
      <c r="X44">
        <v>0.24069940476190399</v>
      </c>
      <c r="Y44">
        <v>1.94875347614288</v>
      </c>
      <c r="Z44">
        <v>0.47952449621412002</v>
      </c>
      <c r="AA44" t="s">
        <v>299</v>
      </c>
    </row>
    <row r="45" spans="1:27">
      <c r="A45" s="15" t="s">
        <v>300</v>
      </c>
      <c r="B45" s="16">
        <v>0.49730935309728003</v>
      </c>
      <c r="C45" s="15" t="s">
        <v>28</v>
      </c>
      <c r="D45" s="17">
        <v>1.08677053451538</v>
      </c>
      <c r="E45" s="15">
        <v>0.48199999999999998</v>
      </c>
      <c r="F45" s="15">
        <v>14</v>
      </c>
      <c r="G45" s="15">
        <v>35.309611714894601</v>
      </c>
      <c r="H45" s="15">
        <v>-120.662971817697</v>
      </c>
      <c r="I45" s="15" t="s">
        <v>29</v>
      </c>
      <c r="J45" s="15">
        <v>0.89463758468627896</v>
      </c>
      <c r="K45" s="15" t="s">
        <v>30</v>
      </c>
      <c r="L45" s="15" t="s">
        <v>87</v>
      </c>
      <c r="M45" s="80">
        <v>2</v>
      </c>
      <c r="N45" s="103">
        <v>20</v>
      </c>
      <c r="O45" s="80">
        <v>1</v>
      </c>
      <c r="P45" s="80"/>
      <c r="Q45" s="80"/>
      <c r="R45" s="15" t="s">
        <v>301</v>
      </c>
      <c r="S45" s="15" t="s">
        <v>33</v>
      </c>
      <c r="T45" s="15" t="s">
        <v>64</v>
      </c>
      <c r="U45" s="3" t="s">
        <v>302</v>
      </c>
      <c r="V45" s="3" t="s">
        <v>303</v>
      </c>
      <c r="W45" s="3" t="s">
        <v>304</v>
      </c>
      <c r="X45">
        <v>0.24382716049382699</v>
      </c>
      <c r="Y45">
        <v>1.93515396118164</v>
      </c>
      <c r="Z45">
        <v>0.45186396975763599</v>
      </c>
      <c r="AA45" t="s">
        <v>305</v>
      </c>
    </row>
    <row r="46" spans="1:27">
      <c r="A46" s="15" t="s">
        <v>306</v>
      </c>
      <c r="B46" s="16">
        <v>0.124135018719643</v>
      </c>
      <c r="C46" s="15" t="s">
        <v>28</v>
      </c>
      <c r="D46" s="17">
        <v>1.3123517036437899</v>
      </c>
      <c r="E46" s="15">
        <v>0.13100000000000001</v>
      </c>
      <c r="F46" s="15">
        <v>1.3</v>
      </c>
      <c r="G46" s="15">
        <v>35.309619893349101</v>
      </c>
      <c r="H46" s="15">
        <v>-120.66296154240401</v>
      </c>
      <c r="I46" s="15" t="s">
        <v>29</v>
      </c>
      <c r="J46" s="15">
        <v>1.2841542959213199</v>
      </c>
      <c r="K46" s="15" t="s">
        <v>30</v>
      </c>
      <c r="L46" s="15" t="s">
        <v>87</v>
      </c>
      <c r="M46" s="80">
        <v>2</v>
      </c>
      <c r="N46" s="103">
        <v>20</v>
      </c>
      <c r="O46" s="80">
        <v>2</v>
      </c>
      <c r="P46" s="80"/>
      <c r="Q46" s="80"/>
      <c r="R46" s="15" t="s">
        <v>307</v>
      </c>
      <c r="S46" s="15" t="s">
        <v>33</v>
      </c>
      <c r="T46" s="15" t="s">
        <v>64</v>
      </c>
      <c r="U46" s="3" t="s">
        <v>308</v>
      </c>
      <c r="V46" s="3" t="s">
        <v>309</v>
      </c>
      <c r="W46" s="3" t="s">
        <v>310</v>
      </c>
      <c r="X46">
        <v>0.240575396825396</v>
      </c>
      <c r="Y46">
        <v>0.48530188202857899</v>
      </c>
      <c r="Z46">
        <v>0.112850694621714</v>
      </c>
      <c r="AA46" t="s">
        <v>311</v>
      </c>
    </row>
    <row r="47" spans="1:27">
      <c r="A47" s="15" t="s">
        <v>312</v>
      </c>
      <c r="B47" s="16">
        <v>0.119537722413443</v>
      </c>
      <c r="C47" s="15" t="s">
        <v>28</v>
      </c>
      <c r="D47" s="17">
        <v>8.3523473739624006</v>
      </c>
      <c r="E47" s="15">
        <v>0.13500000000000001</v>
      </c>
      <c r="F47" s="15">
        <v>7.9</v>
      </c>
      <c r="G47" s="15">
        <v>35.3096188801266</v>
      </c>
      <c r="H47" s="15">
        <v>-120.662961990041</v>
      </c>
      <c r="I47" s="15" t="s">
        <v>29</v>
      </c>
      <c r="J47" s="15">
        <v>1.2964946031570399</v>
      </c>
      <c r="K47" s="15" t="s">
        <v>30</v>
      </c>
      <c r="L47" s="15" t="s">
        <v>87</v>
      </c>
      <c r="M47" s="80">
        <v>2</v>
      </c>
      <c r="N47" s="103">
        <v>21</v>
      </c>
      <c r="O47" s="80">
        <v>1</v>
      </c>
      <c r="P47" s="80"/>
      <c r="Q47" s="80"/>
      <c r="R47" s="15" t="s">
        <v>313</v>
      </c>
      <c r="S47" s="15" t="s">
        <v>33</v>
      </c>
      <c r="T47" s="15" t="s">
        <v>64</v>
      </c>
      <c r="U47" s="3" t="s">
        <v>314</v>
      </c>
      <c r="V47" s="3" t="s">
        <v>315</v>
      </c>
      <c r="W47" s="3" t="s">
        <v>316</v>
      </c>
      <c r="X47">
        <v>0.24069940476190399</v>
      </c>
      <c r="Y47">
        <v>0.46175208687782199</v>
      </c>
      <c r="Z47">
        <v>0.107524757506339</v>
      </c>
      <c r="AA47" t="s">
        <v>317</v>
      </c>
    </row>
    <row r="48" spans="1:27">
      <c r="A48" s="15" t="s">
        <v>318</v>
      </c>
      <c r="B48" s="16">
        <v>0.110198944024981</v>
      </c>
      <c r="C48" s="15" t="s">
        <v>28</v>
      </c>
      <c r="D48" s="17">
        <v>7.1609406471252397</v>
      </c>
      <c r="E48" s="15">
        <v>0.11799999999999999</v>
      </c>
      <c r="F48" s="15">
        <v>5.7</v>
      </c>
      <c r="G48" s="15">
        <v>35.309498135036797</v>
      </c>
      <c r="H48" s="15">
        <v>-120.663109198985</v>
      </c>
      <c r="I48" s="15" t="s">
        <v>29</v>
      </c>
      <c r="J48" s="15">
        <v>0.839663445949554</v>
      </c>
      <c r="K48" s="15" t="s">
        <v>30</v>
      </c>
      <c r="L48" s="15" t="s">
        <v>87</v>
      </c>
      <c r="M48" s="80">
        <v>2</v>
      </c>
      <c r="N48" s="103">
        <v>22</v>
      </c>
      <c r="O48" s="80">
        <v>1</v>
      </c>
      <c r="P48" s="80"/>
      <c r="Q48" s="80"/>
      <c r="R48" s="15" t="s">
        <v>319</v>
      </c>
      <c r="S48" s="15" t="s">
        <v>33</v>
      </c>
      <c r="T48" s="15" t="s">
        <v>64</v>
      </c>
      <c r="U48" s="3" t="s">
        <v>320</v>
      </c>
      <c r="V48" s="3" t="s">
        <v>321</v>
      </c>
      <c r="W48" s="3" t="s">
        <v>322</v>
      </c>
      <c r="X48">
        <v>0.23611111111111099</v>
      </c>
      <c r="Y48">
        <v>0.423396736383438</v>
      </c>
      <c r="Z48">
        <v>9.9954040665294799E-2</v>
      </c>
      <c r="AA48" t="s">
        <v>323</v>
      </c>
    </row>
    <row r="49" spans="1:27">
      <c r="A49" s="15" t="s">
        <v>324</v>
      </c>
      <c r="B49" s="16">
        <v>0.112773935759414</v>
      </c>
      <c r="C49" s="15" t="s">
        <v>28</v>
      </c>
      <c r="D49" s="17">
        <v>6.1825981140136701</v>
      </c>
      <c r="E49" s="15">
        <v>0.124</v>
      </c>
      <c r="F49" s="15">
        <v>5.4</v>
      </c>
      <c r="G49" s="15">
        <v>35.309517294695802</v>
      </c>
      <c r="H49" s="15">
        <v>-120.663078758838</v>
      </c>
      <c r="I49" s="15" t="s">
        <v>29</v>
      </c>
      <c r="J49" s="15">
        <v>1.1684811115264799</v>
      </c>
      <c r="K49" s="15" t="s">
        <v>30</v>
      </c>
      <c r="L49" s="15" t="s">
        <v>87</v>
      </c>
      <c r="M49" s="80">
        <v>2</v>
      </c>
      <c r="N49" s="103">
        <v>23</v>
      </c>
      <c r="O49" s="80">
        <v>1</v>
      </c>
      <c r="P49" s="80"/>
      <c r="Q49" s="80"/>
      <c r="R49" s="15" t="s">
        <v>325</v>
      </c>
      <c r="S49" s="15" t="s">
        <v>33</v>
      </c>
      <c r="T49" s="15" t="s">
        <v>64</v>
      </c>
      <c r="U49" s="3" t="s">
        <v>326</v>
      </c>
      <c r="V49" s="3" t="s">
        <v>327</v>
      </c>
      <c r="W49" s="3" t="s">
        <v>328</v>
      </c>
      <c r="X49">
        <v>0.235243055555555</v>
      </c>
      <c r="Y49">
        <v>0.45651993155479398</v>
      </c>
      <c r="Z49">
        <v>0.101031173657663</v>
      </c>
      <c r="AA49" t="s">
        <v>329</v>
      </c>
    </row>
    <row r="50" spans="1:27">
      <c r="A50" s="15" t="s">
        <v>330</v>
      </c>
      <c r="B50" s="16">
        <v>7.8797186380536705E-2</v>
      </c>
      <c r="C50" s="15" t="s">
        <v>28</v>
      </c>
      <c r="D50" s="17">
        <v>0.99911803007125799</v>
      </c>
      <c r="E50" s="15">
        <v>9.2999999999999999E-2</v>
      </c>
      <c r="F50" s="15">
        <v>1.3</v>
      </c>
      <c r="G50" s="15">
        <v>35.309622578700001</v>
      </c>
      <c r="H50" s="15">
        <v>-120.662954128648</v>
      </c>
      <c r="I50" s="15" t="s">
        <v>29</v>
      </c>
      <c r="J50" s="15">
        <v>1.0168037414550699</v>
      </c>
      <c r="K50" s="15" t="s">
        <v>30</v>
      </c>
      <c r="L50" s="15" t="s">
        <v>87</v>
      </c>
      <c r="M50" s="80">
        <v>2</v>
      </c>
      <c r="N50" s="103">
        <v>23</v>
      </c>
      <c r="O50" s="80">
        <v>2</v>
      </c>
      <c r="P50" s="80"/>
      <c r="Q50" s="80"/>
      <c r="R50" s="15" t="s">
        <v>331</v>
      </c>
      <c r="S50" s="15" t="s">
        <v>33</v>
      </c>
      <c r="T50" s="15" t="s">
        <v>64</v>
      </c>
      <c r="U50" s="3" t="s">
        <v>332</v>
      </c>
      <c r="V50" s="3" t="s">
        <v>333</v>
      </c>
      <c r="W50" s="3" t="s">
        <v>334</v>
      </c>
      <c r="X50">
        <v>0.22203947368421001</v>
      </c>
      <c r="Y50">
        <v>0.30814889073371798</v>
      </c>
      <c r="Z50">
        <v>7.36889113270566E-2</v>
      </c>
      <c r="AA50" t="s">
        <v>335</v>
      </c>
    </row>
    <row r="51" spans="1:27">
      <c r="A51" s="15" t="s">
        <v>336</v>
      </c>
      <c r="B51" s="16">
        <v>0.12439705906618199</v>
      </c>
      <c r="C51" s="15" t="s">
        <v>28</v>
      </c>
      <c r="D51" s="17">
        <v>5.6236486434936497</v>
      </c>
      <c r="E51" s="15">
        <v>0.13500000000000001</v>
      </c>
      <c r="F51" s="15">
        <v>4.2</v>
      </c>
      <c r="G51" s="15">
        <v>35.3094414951358</v>
      </c>
      <c r="H51" s="15">
        <v>-120.662979093413</v>
      </c>
      <c r="I51" s="15" t="s">
        <v>29</v>
      </c>
      <c r="J51" s="15">
        <v>1.2944204807281401</v>
      </c>
      <c r="K51" s="15" t="s">
        <v>30</v>
      </c>
      <c r="L51" s="15" t="s">
        <v>337</v>
      </c>
      <c r="M51" s="80">
        <v>2</v>
      </c>
      <c r="N51" s="103">
        <v>24</v>
      </c>
      <c r="O51" s="80">
        <v>1</v>
      </c>
      <c r="P51" s="80"/>
      <c r="Q51" s="80"/>
      <c r="R51" s="15" t="s">
        <v>338</v>
      </c>
      <c r="S51" s="15" t="s">
        <v>33</v>
      </c>
      <c r="T51" s="15" t="s">
        <v>64</v>
      </c>
      <c r="U51" s="3" t="s">
        <v>339</v>
      </c>
      <c r="V51" s="3" t="s">
        <v>340</v>
      </c>
      <c r="W51" s="3" t="s">
        <v>341</v>
      </c>
      <c r="X51">
        <v>0.23958333333333301</v>
      </c>
      <c r="Y51">
        <v>0.47272926568984902</v>
      </c>
      <c r="Z51">
        <v>0.11218968274774101</v>
      </c>
      <c r="AA51" t="s">
        <v>342</v>
      </c>
    </row>
    <row r="52" spans="1:27">
      <c r="A52" s="15" t="s">
        <v>343</v>
      </c>
      <c r="B52" s="16">
        <v>6.1054877924523902E-2</v>
      </c>
      <c r="C52" s="15" t="s">
        <v>28</v>
      </c>
      <c r="D52" s="17">
        <v>3.0716283321380602</v>
      </c>
      <c r="E52" s="15">
        <v>6.3E-2</v>
      </c>
      <c r="F52" s="15">
        <v>2.7</v>
      </c>
      <c r="G52" s="15">
        <v>35.309602265495798</v>
      </c>
      <c r="H52" s="15">
        <v>-120.6629479602</v>
      </c>
      <c r="I52" s="15" t="s">
        <v>29</v>
      </c>
      <c r="J52" s="15">
        <v>2.4714541435241699</v>
      </c>
      <c r="K52" s="15" t="s">
        <v>30</v>
      </c>
      <c r="L52" s="15" t="s">
        <v>337</v>
      </c>
      <c r="M52" s="80">
        <v>2</v>
      </c>
      <c r="N52" s="103">
        <v>24</v>
      </c>
      <c r="O52" s="80">
        <v>2</v>
      </c>
      <c r="P52" s="80"/>
      <c r="Q52" s="80"/>
      <c r="R52" s="15" t="s">
        <v>344</v>
      </c>
      <c r="S52" s="15" t="s">
        <v>33</v>
      </c>
      <c r="T52" s="15" t="s">
        <v>64</v>
      </c>
      <c r="U52" s="3" t="s">
        <v>345</v>
      </c>
      <c r="V52" s="3" t="s">
        <v>346</v>
      </c>
      <c r="W52" s="3" t="s">
        <v>347</v>
      </c>
      <c r="X52">
        <v>0.238461538461538</v>
      </c>
      <c r="Y52">
        <v>0.25085465610027302</v>
      </c>
      <c r="Z52">
        <v>5.47443502890025E-2</v>
      </c>
      <c r="AA52" t="s">
        <v>348</v>
      </c>
    </row>
    <row r="53" spans="1:27">
      <c r="A53" s="19" t="s">
        <v>349</v>
      </c>
      <c r="B53" s="20">
        <v>0.30838308026487399</v>
      </c>
      <c r="C53" s="19" t="s">
        <v>28</v>
      </c>
      <c r="D53" s="21">
        <v>15.126721382141101</v>
      </c>
      <c r="E53" s="19">
        <v>0.32800000000000001</v>
      </c>
      <c r="F53" s="19">
        <v>15.3</v>
      </c>
      <c r="G53" s="19">
        <v>35.3092534257746</v>
      </c>
      <c r="H53" s="19">
        <v>-120.662325783158</v>
      </c>
      <c r="I53" s="19" t="s">
        <v>29</v>
      </c>
      <c r="J53" s="19">
        <v>1.2880781888961701</v>
      </c>
      <c r="K53" s="19" t="s">
        <v>30</v>
      </c>
      <c r="L53" s="19" t="s">
        <v>337</v>
      </c>
      <c r="M53" s="81">
        <v>3</v>
      </c>
      <c r="N53" s="104">
        <v>1</v>
      </c>
      <c r="O53" s="81">
        <v>1</v>
      </c>
      <c r="P53" s="81"/>
      <c r="Q53" s="81"/>
      <c r="R53" s="19" t="s">
        <v>350</v>
      </c>
      <c r="S53" s="19" t="s">
        <v>33</v>
      </c>
      <c r="T53" s="19" t="s">
        <v>351</v>
      </c>
      <c r="U53" s="3" t="s">
        <v>352</v>
      </c>
      <c r="V53" s="3" t="s">
        <v>353</v>
      </c>
      <c r="W53" s="3" t="s">
        <v>354</v>
      </c>
      <c r="X53">
        <v>0.24479166666666599</v>
      </c>
      <c r="Y53">
        <v>1.2148510217666599</v>
      </c>
      <c r="Z53">
        <v>0.27682170188322902</v>
      </c>
      <c r="AA53" t="s">
        <v>355</v>
      </c>
    </row>
    <row r="54" spans="1:27">
      <c r="A54" s="19" t="s">
        <v>356</v>
      </c>
      <c r="B54" s="20">
        <v>0.221186151251417</v>
      </c>
      <c r="C54" s="19" t="s">
        <v>28</v>
      </c>
      <c r="D54" s="21">
        <v>11.3740901947021</v>
      </c>
      <c r="E54" s="19">
        <v>0.252</v>
      </c>
      <c r="F54" s="19">
        <v>10.7</v>
      </c>
      <c r="G54" s="19">
        <v>35.309492013185597</v>
      </c>
      <c r="H54" s="19">
        <v>-120.662629281432</v>
      </c>
      <c r="I54" s="19" t="s">
        <v>29</v>
      </c>
      <c r="J54" s="19">
        <v>1.1920037269592201</v>
      </c>
      <c r="K54" s="19" t="s">
        <v>30</v>
      </c>
      <c r="L54" s="19" t="s">
        <v>337</v>
      </c>
      <c r="M54" s="81">
        <v>3</v>
      </c>
      <c r="N54" s="104">
        <v>2</v>
      </c>
      <c r="O54" s="81">
        <v>1</v>
      </c>
      <c r="P54" s="81"/>
      <c r="Q54" s="81"/>
      <c r="R54" s="19" t="s">
        <v>357</v>
      </c>
      <c r="S54" s="19" t="s">
        <v>33</v>
      </c>
      <c r="T54" s="19" t="s">
        <v>351</v>
      </c>
      <c r="U54" s="3" t="s">
        <v>358</v>
      </c>
      <c r="V54" s="3" t="s">
        <v>359</v>
      </c>
      <c r="W54" s="3" t="s">
        <v>360</v>
      </c>
      <c r="X54">
        <v>0.22237318840579701</v>
      </c>
      <c r="Y54">
        <v>0.92293465137481601</v>
      </c>
      <c r="Z54">
        <v>0.19862989007389201</v>
      </c>
      <c r="AA54" t="s">
        <v>361</v>
      </c>
    </row>
    <row r="55" spans="1:27">
      <c r="A55" s="19" t="s">
        <v>362</v>
      </c>
      <c r="B55" s="20">
        <v>0.13553993788621399</v>
      </c>
      <c r="C55" s="19" t="s">
        <v>28</v>
      </c>
      <c r="D55" s="21">
        <v>1.2165282964706401</v>
      </c>
      <c r="E55" s="19">
        <v>0.14499999999999999</v>
      </c>
      <c r="F55" s="19">
        <v>1.3</v>
      </c>
      <c r="G55" s="19">
        <v>35.3032646099999</v>
      </c>
      <c r="H55" s="19">
        <v>-120.65733337</v>
      </c>
      <c r="I55" s="19" t="s">
        <v>29</v>
      </c>
      <c r="J55" s="19">
        <v>0.75327992439269997</v>
      </c>
      <c r="K55" s="19" t="s">
        <v>30</v>
      </c>
      <c r="L55" s="19" t="s">
        <v>337</v>
      </c>
      <c r="M55" s="81">
        <v>3</v>
      </c>
      <c r="N55" s="104">
        <v>2</v>
      </c>
      <c r="O55" s="81">
        <v>2</v>
      </c>
      <c r="P55" s="81"/>
      <c r="Q55" s="81"/>
      <c r="R55" s="19" t="s">
        <v>363</v>
      </c>
      <c r="S55" s="19" t="s">
        <v>33</v>
      </c>
      <c r="T55" s="19" t="s">
        <v>351</v>
      </c>
      <c r="U55" s="3" t="s">
        <v>364</v>
      </c>
      <c r="V55" s="3" t="s">
        <v>365</v>
      </c>
      <c r="W55" s="3" t="s">
        <v>366</v>
      </c>
      <c r="X55">
        <v>0.24053030303030301</v>
      </c>
      <c r="Y55">
        <v>0.50408357381820601</v>
      </c>
      <c r="Z55">
        <v>0.12084945380250001</v>
      </c>
      <c r="AA55" t="s">
        <v>367</v>
      </c>
    </row>
    <row r="56" spans="1:27">
      <c r="A56" s="19" t="s">
        <v>368</v>
      </c>
      <c r="B56" s="20">
        <v>0.14918288691336501</v>
      </c>
      <c r="C56" s="19" t="s">
        <v>28</v>
      </c>
      <c r="D56" s="21">
        <v>1.1127357482910101</v>
      </c>
      <c r="E56" s="19">
        <v>0.157</v>
      </c>
      <c r="F56" s="19">
        <v>1.3</v>
      </c>
      <c r="G56" s="19">
        <v>35.303264706993701</v>
      </c>
      <c r="H56" s="19">
        <v>-120.657333442225</v>
      </c>
      <c r="I56" s="19" t="s">
        <v>29</v>
      </c>
      <c r="J56" s="19">
        <v>1.05742835998535</v>
      </c>
      <c r="K56" s="19" t="s">
        <v>30</v>
      </c>
      <c r="L56" s="19" t="s">
        <v>337</v>
      </c>
      <c r="M56" s="81">
        <v>3</v>
      </c>
      <c r="N56" s="104">
        <v>2</v>
      </c>
      <c r="O56" s="81">
        <v>3</v>
      </c>
      <c r="P56" s="81"/>
      <c r="Q56" s="81"/>
      <c r="R56" s="19" t="s">
        <v>369</v>
      </c>
      <c r="S56" s="19" t="s">
        <v>33</v>
      </c>
      <c r="T56" s="19" t="s">
        <v>351</v>
      </c>
      <c r="U56" s="3" t="s">
        <v>370</v>
      </c>
      <c r="V56" s="3" t="s">
        <v>371</v>
      </c>
      <c r="W56" s="3" t="s">
        <v>372</v>
      </c>
      <c r="X56">
        <v>0.235369318181818</v>
      </c>
      <c r="Y56">
        <v>0.56262013316154402</v>
      </c>
      <c r="Z56">
        <v>0.13627783390395701</v>
      </c>
      <c r="AA56" t="s">
        <v>373</v>
      </c>
    </row>
    <row r="57" spans="1:27">
      <c r="A57" s="19" t="s">
        <v>374</v>
      </c>
      <c r="B57" s="20">
        <v>0.13908360518961099</v>
      </c>
      <c r="C57" s="19" t="s">
        <v>28</v>
      </c>
      <c r="D57" s="21">
        <v>1.3024827241897501</v>
      </c>
      <c r="E57" s="19">
        <v>0.158</v>
      </c>
      <c r="F57" s="19">
        <v>1.3</v>
      </c>
      <c r="G57" s="19">
        <v>35.3098768764699</v>
      </c>
      <c r="H57" s="19">
        <v>-120.66292651009999</v>
      </c>
      <c r="I57" s="19" t="s">
        <v>29</v>
      </c>
      <c r="J57" s="19">
        <v>1.01283490657806</v>
      </c>
      <c r="K57" s="19" t="s">
        <v>30</v>
      </c>
      <c r="L57" s="19" t="s">
        <v>337</v>
      </c>
      <c r="M57" s="81">
        <v>3</v>
      </c>
      <c r="N57" s="104">
        <v>2</v>
      </c>
      <c r="O57" s="81">
        <v>4</v>
      </c>
      <c r="P57" s="81"/>
      <c r="Q57" s="81"/>
      <c r="R57" s="19" t="s">
        <v>375</v>
      </c>
      <c r="S57" s="19" t="s">
        <v>33</v>
      </c>
      <c r="T57" s="19" t="s">
        <v>351</v>
      </c>
      <c r="U57" s="3" t="s">
        <v>376</v>
      </c>
      <c r="V57" s="3" t="s">
        <v>377</v>
      </c>
      <c r="W57" s="3" t="s">
        <v>378</v>
      </c>
      <c r="X57">
        <v>0.24887305068226101</v>
      </c>
      <c r="Y57">
        <v>0.89075145125389099</v>
      </c>
      <c r="Z57">
        <v>0.125560876937726</v>
      </c>
      <c r="AA57" t="s">
        <v>379</v>
      </c>
    </row>
    <row r="58" spans="1:27">
      <c r="A58" s="19" t="s">
        <v>380</v>
      </c>
      <c r="B58" s="20">
        <v>7.4121627462758494E-2</v>
      </c>
      <c r="C58" s="19" t="s">
        <v>28</v>
      </c>
      <c r="D58" s="21">
        <v>13.93394947052</v>
      </c>
      <c r="E58" s="19">
        <v>6.7000000000000004E-2</v>
      </c>
      <c r="F58" s="19">
        <v>1.3</v>
      </c>
      <c r="G58" s="19">
        <v>35.3095311208533</v>
      </c>
      <c r="H58" s="19">
        <v>-120.662869171854</v>
      </c>
      <c r="I58" s="19" t="s">
        <v>29</v>
      </c>
      <c r="J58" s="19">
        <v>-0.79454213380813599</v>
      </c>
      <c r="K58" s="19" t="s">
        <v>30</v>
      </c>
      <c r="L58" s="19" t="s">
        <v>337</v>
      </c>
      <c r="M58" s="81">
        <v>3</v>
      </c>
      <c r="N58" s="104">
        <v>2</v>
      </c>
      <c r="O58" s="81">
        <v>5</v>
      </c>
      <c r="P58" s="81"/>
      <c r="Q58" s="81"/>
      <c r="R58" s="19" t="s">
        <v>381</v>
      </c>
      <c r="S58" s="19" t="s">
        <v>33</v>
      </c>
      <c r="T58" s="19" t="s">
        <v>351</v>
      </c>
      <c r="U58" s="3" t="s">
        <v>382</v>
      </c>
      <c r="V58" s="3" t="s">
        <v>383</v>
      </c>
      <c r="W58" s="3" t="s">
        <v>384</v>
      </c>
      <c r="X58">
        <v>0.23707837301587301</v>
      </c>
      <c r="Y58">
        <v>0.27296152710914601</v>
      </c>
      <c r="Z58">
        <v>6.55480000290833E-2</v>
      </c>
      <c r="AA58" t="s">
        <v>385</v>
      </c>
    </row>
    <row r="59" spans="1:27">
      <c r="A59" s="19" t="s">
        <v>386</v>
      </c>
      <c r="B59" s="20">
        <v>0.117513367990065</v>
      </c>
      <c r="C59" s="19" t="s">
        <v>28</v>
      </c>
      <c r="D59" s="21">
        <v>1.3172624111175499</v>
      </c>
      <c r="E59" s="19">
        <v>0.13100000000000001</v>
      </c>
      <c r="F59" s="19">
        <v>1.3</v>
      </c>
      <c r="G59" s="19">
        <v>35.309622873601</v>
      </c>
      <c r="H59" s="19">
        <v>-120.66294823806</v>
      </c>
      <c r="I59" s="19" t="s">
        <v>29</v>
      </c>
      <c r="J59" s="19">
        <v>1.1626662015914899</v>
      </c>
      <c r="K59" s="19" t="s">
        <v>30</v>
      </c>
      <c r="L59" s="19" t="s">
        <v>337</v>
      </c>
      <c r="M59" s="81">
        <v>3</v>
      </c>
      <c r="N59" s="104">
        <v>2</v>
      </c>
      <c r="O59" s="81">
        <v>6</v>
      </c>
      <c r="P59" s="81"/>
      <c r="Q59" s="81"/>
      <c r="R59" s="19" t="s">
        <v>387</v>
      </c>
      <c r="S59" s="19" t="s">
        <v>33</v>
      </c>
      <c r="T59" s="19" t="s">
        <v>351</v>
      </c>
      <c r="U59" s="3" t="s">
        <v>388</v>
      </c>
      <c r="V59" s="3" t="s">
        <v>389</v>
      </c>
      <c r="W59" s="3" t="s">
        <v>390</v>
      </c>
      <c r="X59">
        <v>0.23929398148148101</v>
      </c>
      <c r="Y59">
        <v>0.49815532565116799</v>
      </c>
      <c r="Z59">
        <v>0.116253005374996</v>
      </c>
      <c r="AA59" t="s">
        <v>391</v>
      </c>
    </row>
    <row r="60" spans="1:27">
      <c r="A60" s="19" t="s">
        <v>392</v>
      </c>
      <c r="B60" s="20">
        <v>0.15659395255515901</v>
      </c>
      <c r="C60" s="19" t="s">
        <v>28</v>
      </c>
      <c r="D60" s="21">
        <v>1.3075646162032999</v>
      </c>
      <c r="E60" s="19">
        <v>0.17399999999999999</v>
      </c>
      <c r="F60" s="19">
        <v>1.3</v>
      </c>
      <c r="G60" s="19">
        <v>35.3065509959374</v>
      </c>
      <c r="H60" s="19">
        <v>-120.659471695671</v>
      </c>
      <c r="I60" s="19" t="s">
        <v>29</v>
      </c>
      <c r="J60" s="19">
        <v>1.2949794530868499</v>
      </c>
      <c r="K60" s="19" t="s">
        <v>30</v>
      </c>
      <c r="L60" s="19" t="s">
        <v>337</v>
      </c>
      <c r="M60" s="81">
        <v>3</v>
      </c>
      <c r="N60" s="104">
        <v>2</v>
      </c>
      <c r="O60" s="81">
        <v>7</v>
      </c>
      <c r="P60" s="81"/>
      <c r="Q60" s="81"/>
      <c r="R60" s="19" t="s">
        <v>393</v>
      </c>
      <c r="S60" s="19" t="s">
        <v>33</v>
      </c>
      <c r="T60" s="19" t="s">
        <v>351</v>
      </c>
      <c r="U60" s="3" t="s">
        <v>394</v>
      </c>
      <c r="V60" s="3" t="s">
        <v>395</v>
      </c>
      <c r="W60" s="3" t="s">
        <v>396</v>
      </c>
      <c r="X60">
        <v>0.242476851851851</v>
      </c>
      <c r="Y60">
        <v>0.67710343003272999</v>
      </c>
      <c r="Z60">
        <v>0.140455085609513</v>
      </c>
      <c r="AA60" t="s">
        <v>397</v>
      </c>
    </row>
    <row r="61" spans="1:27">
      <c r="A61" s="19" t="s">
        <v>398</v>
      </c>
      <c r="B61" s="20">
        <v>0.109155022103293</v>
      </c>
      <c r="C61" s="19" t="s">
        <v>28</v>
      </c>
      <c r="D61" s="21">
        <v>0.54644340276718095</v>
      </c>
      <c r="E61" s="19">
        <v>0.12</v>
      </c>
      <c r="F61" s="19">
        <v>1.3</v>
      </c>
      <c r="G61" s="19">
        <v>35.307586147958503</v>
      </c>
      <c r="H61" s="19">
        <v>-120.660456831663</v>
      </c>
      <c r="I61" s="19" t="s">
        <v>29</v>
      </c>
      <c r="J61" s="19">
        <v>-3.88155889511108</v>
      </c>
      <c r="K61" s="19" t="s">
        <v>30</v>
      </c>
      <c r="L61" s="19" t="s">
        <v>337</v>
      </c>
      <c r="M61" s="81">
        <v>3</v>
      </c>
      <c r="N61" s="104">
        <v>2</v>
      </c>
      <c r="O61" s="81">
        <v>8</v>
      </c>
      <c r="P61" s="81"/>
      <c r="Q61" s="81"/>
      <c r="R61" s="19" t="s">
        <v>399</v>
      </c>
      <c r="S61" s="19" t="s">
        <v>33</v>
      </c>
      <c r="T61" s="19" t="s">
        <v>351</v>
      </c>
      <c r="U61" s="3" t="s">
        <v>400</v>
      </c>
      <c r="V61" s="3" t="s">
        <v>401</v>
      </c>
      <c r="W61" s="3" t="s">
        <v>402</v>
      </c>
      <c r="X61">
        <v>0.24945023148148099</v>
      </c>
      <c r="Y61">
        <v>0.40148279070854098</v>
      </c>
      <c r="Z61">
        <v>9.7942508468147005E-2</v>
      </c>
      <c r="AA61" t="s">
        <v>403</v>
      </c>
    </row>
    <row r="62" spans="1:27">
      <c r="A62" s="19" t="s">
        <v>404</v>
      </c>
      <c r="B62" s="20">
        <v>0.32360393785874397</v>
      </c>
      <c r="C62" s="19" t="s">
        <v>28</v>
      </c>
      <c r="D62" s="21">
        <v>13.874636650085399</v>
      </c>
      <c r="E62" s="19">
        <v>0.35199999999999998</v>
      </c>
      <c r="F62" s="19">
        <v>13.2</v>
      </c>
      <c r="G62" s="19">
        <v>35.309666337867696</v>
      </c>
      <c r="H62" s="19">
        <v>-120.662903349498</v>
      </c>
      <c r="I62" s="19" t="s">
        <v>29</v>
      </c>
      <c r="J62" s="19">
        <v>1.3900855779647801</v>
      </c>
      <c r="K62" s="19" t="s">
        <v>30</v>
      </c>
      <c r="L62" s="19" t="s">
        <v>337</v>
      </c>
      <c r="M62" s="81">
        <v>3</v>
      </c>
      <c r="N62" s="104">
        <v>3</v>
      </c>
      <c r="O62" s="81">
        <v>1</v>
      </c>
      <c r="P62" s="81"/>
      <c r="Q62" s="81"/>
      <c r="R62" s="19" t="s">
        <v>405</v>
      </c>
      <c r="S62" s="19" t="s">
        <v>33</v>
      </c>
      <c r="T62" s="19" t="s">
        <v>351</v>
      </c>
      <c r="U62" s="3" t="s">
        <v>406</v>
      </c>
      <c r="V62" s="3" t="s">
        <v>407</v>
      </c>
      <c r="W62" s="3" t="s">
        <v>408</v>
      </c>
      <c r="X62">
        <v>0.24374999999999999</v>
      </c>
      <c r="Y62">
        <v>1.24966847896575</v>
      </c>
      <c r="Z62">
        <v>0.29195579660458498</v>
      </c>
      <c r="AA62" t="s">
        <v>409</v>
      </c>
    </row>
    <row r="63" spans="1:27">
      <c r="A63" s="19" t="s">
        <v>410</v>
      </c>
      <c r="B63" s="20">
        <v>9.4102393941898094E-2</v>
      </c>
      <c r="C63" s="19" t="s">
        <v>28</v>
      </c>
      <c r="D63" s="21">
        <v>30.706323623657202</v>
      </c>
      <c r="E63" s="19">
        <v>0.14000000000000001</v>
      </c>
      <c r="F63" s="19">
        <v>1.3</v>
      </c>
      <c r="G63" s="19">
        <v>35.309523514945198</v>
      </c>
      <c r="H63" s="19">
        <v>-120.662654004484</v>
      </c>
      <c r="I63" s="19" t="s">
        <v>29</v>
      </c>
      <c r="J63" s="19">
        <v>5.3221473693847603</v>
      </c>
      <c r="K63" s="19" t="s">
        <v>30</v>
      </c>
      <c r="L63" s="19" t="s">
        <v>337</v>
      </c>
      <c r="M63" s="81">
        <v>3</v>
      </c>
      <c r="N63" s="104">
        <v>3</v>
      </c>
      <c r="O63" s="81">
        <v>2</v>
      </c>
      <c r="P63" s="81"/>
      <c r="Q63" s="81"/>
      <c r="R63" s="19" t="s">
        <v>411</v>
      </c>
      <c r="S63" s="19" t="s">
        <v>33</v>
      </c>
      <c r="T63" s="19" t="s">
        <v>351</v>
      </c>
      <c r="U63" s="3" t="s">
        <v>412</v>
      </c>
      <c r="V63" s="3" t="s">
        <v>413</v>
      </c>
      <c r="W63" s="3" t="s">
        <v>414</v>
      </c>
      <c r="X63">
        <v>0.24877450980392099</v>
      </c>
      <c r="Y63">
        <v>0.41005316376686002</v>
      </c>
      <c r="Z63">
        <v>8.3791647989845605E-2</v>
      </c>
      <c r="AA63" t="s">
        <v>415</v>
      </c>
    </row>
    <row r="64" spans="1:27">
      <c r="A64" s="19" t="s">
        <v>416</v>
      </c>
      <c r="B64" s="20">
        <v>0.27565844900199299</v>
      </c>
      <c r="C64" s="19" t="s">
        <v>28</v>
      </c>
      <c r="D64" s="21">
        <v>13.894880294799799</v>
      </c>
      <c r="E64" s="19">
        <v>0.28000000000000003</v>
      </c>
      <c r="F64" s="19">
        <v>13</v>
      </c>
      <c r="G64" s="19">
        <v>35.309474850523202</v>
      </c>
      <c r="H64" s="19">
        <v>-120.66243235619</v>
      </c>
      <c r="I64" s="19" t="s">
        <v>29</v>
      </c>
      <c r="J64" s="19">
        <v>1.24861359596252</v>
      </c>
      <c r="K64" s="19" t="s">
        <v>30</v>
      </c>
      <c r="L64" s="19" t="s">
        <v>337</v>
      </c>
      <c r="M64" s="81">
        <v>3</v>
      </c>
      <c r="N64" s="104">
        <v>4</v>
      </c>
      <c r="O64" s="81">
        <v>1</v>
      </c>
      <c r="P64" s="81"/>
      <c r="Q64" s="81"/>
      <c r="R64" s="19" t="s">
        <v>417</v>
      </c>
      <c r="S64" s="19" t="s">
        <v>33</v>
      </c>
      <c r="T64" s="19" t="s">
        <v>351</v>
      </c>
      <c r="U64" s="3" t="s">
        <v>418</v>
      </c>
      <c r="V64" s="3" t="s">
        <v>419</v>
      </c>
      <c r="W64" s="3" t="s">
        <v>420</v>
      </c>
      <c r="X64">
        <v>0.23342803030303</v>
      </c>
      <c r="Y64">
        <v>1.0602986812591499</v>
      </c>
      <c r="Z64">
        <v>0.24898125502066301</v>
      </c>
      <c r="AA64" t="s">
        <v>421</v>
      </c>
    </row>
    <row r="65" spans="1:27">
      <c r="A65" s="19" t="s">
        <v>422</v>
      </c>
      <c r="B65" s="20">
        <v>0.115429212849173</v>
      </c>
      <c r="C65" s="19" t="s">
        <v>28</v>
      </c>
      <c r="D65" s="21">
        <v>1.7329024076461701</v>
      </c>
      <c r="E65" s="19">
        <v>0.11700000000000001</v>
      </c>
      <c r="F65" s="19">
        <v>1.3</v>
      </c>
      <c r="G65" s="19">
        <v>35.309458242985599</v>
      </c>
      <c r="H65" s="19">
        <v>-120.66276379094801</v>
      </c>
      <c r="I65" s="19" t="s">
        <v>29</v>
      </c>
      <c r="J65" s="19">
        <v>2.0917541980743399</v>
      </c>
      <c r="K65" s="19" t="s">
        <v>30</v>
      </c>
      <c r="L65" s="19" t="s">
        <v>337</v>
      </c>
      <c r="M65" s="81">
        <v>3</v>
      </c>
      <c r="N65" s="104">
        <v>4</v>
      </c>
      <c r="O65" s="81">
        <v>2</v>
      </c>
      <c r="P65" s="81"/>
      <c r="Q65" s="81"/>
      <c r="R65" s="19" t="s">
        <v>423</v>
      </c>
      <c r="S65" s="19" t="s">
        <v>33</v>
      </c>
      <c r="T65" s="19" t="s">
        <v>351</v>
      </c>
      <c r="U65" s="3" t="s">
        <v>424</v>
      </c>
      <c r="V65" s="3" t="s">
        <v>425</v>
      </c>
      <c r="W65" s="3" t="s">
        <v>426</v>
      </c>
      <c r="X65">
        <v>0.241156220322886</v>
      </c>
      <c r="Y65">
        <v>0.46352927386760701</v>
      </c>
      <c r="Z65">
        <v>0.104119264937995</v>
      </c>
      <c r="AA65" t="s">
        <v>427</v>
      </c>
    </row>
    <row r="66" spans="1:27">
      <c r="A66" s="19" t="s">
        <v>428</v>
      </c>
      <c r="B66" s="20">
        <v>0.27981795898218098</v>
      </c>
      <c r="C66" s="19" t="s">
        <v>28</v>
      </c>
      <c r="D66" s="21">
        <v>8.4807558059692294</v>
      </c>
      <c r="E66" s="19">
        <v>0.32</v>
      </c>
      <c r="F66" s="19">
        <v>8.3000000000000007</v>
      </c>
      <c r="G66" s="19">
        <v>35.303264675779602</v>
      </c>
      <c r="H66" s="19">
        <v>-120.65733341898201</v>
      </c>
      <c r="I66" s="19" t="s">
        <v>29</v>
      </c>
      <c r="J66" s="19">
        <v>1.3303035497665401</v>
      </c>
      <c r="K66" s="19" t="s">
        <v>30</v>
      </c>
      <c r="L66" s="19" t="s">
        <v>337</v>
      </c>
      <c r="M66" s="81">
        <v>3</v>
      </c>
      <c r="N66" s="104">
        <v>5</v>
      </c>
      <c r="O66" s="81">
        <v>1</v>
      </c>
      <c r="P66" s="81"/>
      <c r="Q66" s="81"/>
      <c r="R66" s="19" t="s">
        <v>429</v>
      </c>
      <c r="S66" s="19" t="s">
        <v>33</v>
      </c>
      <c r="T66" s="19" t="s">
        <v>351</v>
      </c>
      <c r="U66" s="3" t="s">
        <v>430</v>
      </c>
      <c r="V66" s="3" t="s">
        <v>431</v>
      </c>
      <c r="W66" s="3" t="s">
        <v>432</v>
      </c>
      <c r="X66">
        <v>0.23898148148148099</v>
      </c>
      <c r="Y66">
        <v>1.1446863412857</v>
      </c>
      <c r="Z66">
        <v>0.25260932880549097</v>
      </c>
      <c r="AA66" t="s">
        <v>433</v>
      </c>
    </row>
    <row r="67" spans="1:27">
      <c r="A67" s="19" t="s">
        <v>434</v>
      </c>
      <c r="B67" s="20">
        <v>0.36687783854128497</v>
      </c>
      <c r="C67" s="19" t="s">
        <v>28</v>
      </c>
      <c r="D67" s="21">
        <v>12.613807678222599</v>
      </c>
      <c r="E67" s="19">
        <v>0.41799999999999998</v>
      </c>
      <c r="F67" s="19">
        <v>11.8</v>
      </c>
      <c r="G67" s="19">
        <v>35.3094411044571</v>
      </c>
      <c r="H67" s="19">
        <v>-120.662271757078</v>
      </c>
      <c r="I67" s="19" t="s">
        <v>29</v>
      </c>
      <c r="J67" s="19">
        <v>1.25055432319641</v>
      </c>
      <c r="K67" s="19" t="s">
        <v>30</v>
      </c>
      <c r="L67" s="19" t="s">
        <v>337</v>
      </c>
      <c r="M67" s="81">
        <v>3</v>
      </c>
      <c r="N67" s="104">
        <v>6</v>
      </c>
      <c r="O67" s="81">
        <v>1</v>
      </c>
      <c r="P67" s="81"/>
      <c r="Q67" s="81"/>
      <c r="R67" s="19" t="s">
        <v>435</v>
      </c>
      <c r="S67" s="19" t="s">
        <v>33</v>
      </c>
      <c r="T67" s="19" t="s">
        <v>351</v>
      </c>
      <c r="U67" s="3" t="s">
        <v>436</v>
      </c>
      <c r="V67" s="3" t="s">
        <v>437</v>
      </c>
      <c r="W67" s="3" t="s">
        <v>438</v>
      </c>
      <c r="X67">
        <v>0.250578703703703</v>
      </c>
      <c r="Y67">
        <v>1.44910180568695</v>
      </c>
      <c r="Z67">
        <v>0.33115346012681801</v>
      </c>
      <c r="AA67" t="s">
        <v>439</v>
      </c>
    </row>
    <row r="68" spans="1:27">
      <c r="A68" s="19" t="s">
        <v>440</v>
      </c>
      <c r="B68" s="20">
        <v>0.16636138531247399</v>
      </c>
      <c r="C68" s="19" t="s">
        <v>28</v>
      </c>
      <c r="D68" s="21">
        <v>1.1332967281341499</v>
      </c>
      <c r="E68" s="19">
        <v>0.21</v>
      </c>
      <c r="F68" s="19">
        <v>1.3</v>
      </c>
      <c r="G68" s="19">
        <v>35.309623370177498</v>
      </c>
      <c r="H68" s="19">
        <v>-120.66292510558</v>
      </c>
      <c r="I68" s="19" t="s">
        <v>29</v>
      </c>
      <c r="J68" s="19">
        <v>5.5771322250366202</v>
      </c>
      <c r="K68" s="19" t="s">
        <v>30</v>
      </c>
      <c r="L68" s="19" t="s">
        <v>337</v>
      </c>
      <c r="M68" s="81">
        <v>3</v>
      </c>
      <c r="N68" s="104">
        <v>6</v>
      </c>
      <c r="O68" s="81">
        <v>2</v>
      </c>
      <c r="P68" s="81"/>
      <c r="Q68" s="81"/>
      <c r="R68" s="19" t="s">
        <v>441</v>
      </c>
      <c r="S68" s="19" t="s">
        <v>33</v>
      </c>
      <c r="T68" s="19" t="s">
        <v>351</v>
      </c>
      <c r="U68" s="3" t="s">
        <v>442</v>
      </c>
      <c r="V68" s="3" t="s">
        <v>443</v>
      </c>
      <c r="W68" s="3" t="s">
        <v>444</v>
      </c>
      <c r="X68">
        <v>0.24479166666666599</v>
      </c>
      <c r="Y68">
        <v>1.5832210779189999</v>
      </c>
      <c r="Z68">
        <v>0.15013736563506599</v>
      </c>
      <c r="AA68" t="s">
        <v>445</v>
      </c>
    </row>
    <row r="69" spans="1:27">
      <c r="A69" s="19" t="s">
        <v>446</v>
      </c>
      <c r="B69" s="20">
        <v>8.4537044486568999E-2</v>
      </c>
      <c r="C69" s="19" t="s">
        <v>28</v>
      </c>
      <c r="D69" s="21">
        <v>1.04779696464538</v>
      </c>
      <c r="E69" s="19">
        <v>0.09</v>
      </c>
      <c r="F69" s="19">
        <v>1.3</v>
      </c>
      <c r="G69" s="19">
        <v>35.309623885046797</v>
      </c>
      <c r="H69" s="19">
        <v>-120.662924978826</v>
      </c>
      <c r="I69" s="19" t="s">
        <v>29</v>
      </c>
      <c r="J69" s="19">
        <v>-2.0450191497802699</v>
      </c>
      <c r="K69" s="19" t="s">
        <v>30</v>
      </c>
      <c r="L69" s="19" t="s">
        <v>337</v>
      </c>
      <c r="M69" s="81">
        <v>3</v>
      </c>
      <c r="N69" s="104">
        <v>6</v>
      </c>
      <c r="O69" s="81">
        <v>3</v>
      </c>
      <c r="P69" s="81"/>
      <c r="Q69" s="81"/>
      <c r="R69" s="19" t="s">
        <v>447</v>
      </c>
      <c r="S69" s="19" t="s">
        <v>33</v>
      </c>
      <c r="T69" s="19" t="s">
        <v>351</v>
      </c>
      <c r="U69" s="3" t="s">
        <v>448</v>
      </c>
      <c r="V69" s="3" t="s">
        <v>449</v>
      </c>
      <c r="W69" s="3" t="s">
        <v>450</v>
      </c>
      <c r="X69">
        <v>0.22976239106753801</v>
      </c>
      <c r="Y69">
        <v>0.34040747582912401</v>
      </c>
      <c r="Z69">
        <v>7.6306732465663302E-2</v>
      </c>
      <c r="AA69" t="s">
        <v>451</v>
      </c>
    </row>
    <row r="70" spans="1:27">
      <c r="A70" s="19" t="s">
        <v>452</v>
      </c>
      <c r="B70" s="20">
        <v>0.25343617034204402</v>
      </c>
      <c r="C70" s="19" t="s">
        <v>28</v>
      </c>
      <c r="D70" s="21">
        <v>32.194686889648402</v>
      </c>
      <c r="E70" s="19">
        <v>0.28000000000000003</v>
      </c>
      <c r="F70" s="19">
        <v>1.3</v>
      </c>
      <c r="G70" s="19">
        <v>35.309430393329897</v>
      </c>
      <c r="H70" s="19">
        <v>-120.662781778523</v>
      </c>
      <c r="I70" s="19" t="s">
        <v>29</v>
      </c>
      <c r="J70" s="19">
        <v>4.4854965209960902</v>
      </c>
      <c r="K70" s="19" t="s">
        <v>30</v>
      </c>
      <c r="L70" s="19" t="s">
        <v>337</v>
      </c>
      <c r="M70" s="81">
        <v>3</v>
      </c>
      <c r="N70" s="104">
        <v>6</v>
      </c>
      <c r="O70" s="81">
        <v>4</v>
      </c>
      <c r="P70" s="81"/>
      <c r="Q70" s="81"/>
      <c r="R70" s="19" t="s">
        <v>453</v>
      </c>
      <c r="S70" s="19" t="s">
        <v>33</v>
      </c>
      <c r="T70" s="19" t="s">
        <v>351</v>
      </c>
      <c r="U70" s="3" t="s">
        <v>454</v>
      </c>
      <c r="V70" s="3" t="s">
        <v>455</v>
      </c>
      <c r="W70" s="3" t="s">
        <v>456</v>
      </c>
      <c r="X70">
        <v>0.24702380952380901</v>
      </c>
      <c r="Y70">
        <v>0.94961154460906905</v>
      </c>
      <c r="Z70">
        <v>0.22845729584659399</v>
      </c>
      <c r="AA70" t="s">
        <v>457</v>
      </c>
    </row>
    <row r="71" spans="1:27">
      <c r="A71" s="19" t="s">
        <v>458</v>
      </c>
      <c r="B71" s="20">
        <v>0.13519412646124301</v>
      </c>
      <c r="C71" s="19" t="s">
        <v>28</v>
      </c>
      <c r="D71" s="21">
        <v>1.3176810741424501</v>
      </c>
      <c r="E71" s="19">
        <v>0.155</v>
      </c>
      <c r="F71" s="19">
        <v>1.3</v>
      </c>
      <c r="G71" s="19">
        <v>35.309626658999903</v>
      </c>
      <c r="H71" s="19">
        <v>-120.662943689397</v>
      </c>
      <c r="I71" s="19" t="s">
        <v>29</v>
      </c>
      <c r="J71" s="19">
        <v>1.3107924461364699</v>
      </c>
      <c r="K71" s="19" t="s">
        <v>30</v>
      </c>
      <c r="L71" s="19" t="s">
        <v>337</v>
      </c>
      <c r="M71" s="81">
        <v>3</v>
      </c>
      <c r="N71" s="104">
        <v>6</v>
      </c>
      <c r="O71" s="81">
        <v>5</v>
      </c>
      <c r="P71" s="81"/>
      <c r="Q71" s="81"/>
      <c r="R71" s="19" t="s">
        <v>459</v>
      </c>
      <c r="S71" s="19" t="s">
        <v>33</v>
      </c>
      <c r="T71" s="19" t="s">
        <v>351</v>
      </c>
      <c r="U71" s="3" t="s">
        <v>460</v>
      </c>
      <c r="V71" s="3" t="s">
        <v>461</v>
      </c>
      <c r="W71" s="3" t="s">
        <v>462</v>
      </c>
      <c r="X71">
        <v>0.234375</v>
      </c>
      <c r="Y71">
        <v>0.54461425542831399</v>
      </c>
      <c r="Z71">
        <v>0.121966261400553</v>
      </c>
      <c r="AA71" t="s">
        <v>463</v>
      </c>
    </row>
    <row r="72" spans="1:27">
      <c r="A72" s="22" t="s">
        <v>464</v>
      </c>
      <c r="B72" s="23">
        <v>0.202293965085625</v>
      </c>
      <c r="C72" s="22" t="s">
        <v>28</v>
      </c>
      <c r="D72" s="24">
        <v>9.9139509201049805</v>
      </c>
      <c r="E72" s="22">
        <v>0.223</v>
      </c>
      <c r="F72" s="22">
        <v>9.9</v>
      </c>
      <c r="G72" s="22">
        <v>35.310202385375703</v>
      </c>
      <c r="H72" s="22">
        <v>-120.662780273875</v>
      </c>
      <c r="I72" s="22" t="s">
        <v>29</v>
      </c>
      <c r="J72" s="22">
        <v>-1.2176756858825599</v>
      </c>
      <c r="K72" s="22" t="s">
        <v>30</v>
      </c>
      <c r="L72" s="22" t="s">
        <v>337</v>
      </c>
      <c r="M72" s="82">
        <v>4</v>
      </c>
      <c r="N72" s="105">
        <v>1</v>
      </c>
      <c r="O72" s="82">
        <v>1</v>
      </c>
      <c r="P72" s="82"/>
      <c r="Q72" s="82"/>
      <c r="R72" s="22" t="s">
        <v>350</v>
      </c>
      <c r="S72" s="22" t="s">
        <v>33</v>
      </c>
      <c r="T72" s="22" t="s">
        <v>71</v>
      </c>
      <c r="U72" s="3" t="s">
        <v>465</v>
      </c>
      <c r="V72" s="3" t="s">
        <v>466</v>
      </c>
      <c r="W72" s="3" t="s">
        <v>467</v>
      </c>
      <c r="X72">
        <v>0.2421875</v>
      </c>
      <c r="Y72">
        <v>0.813088119029998</v>
      </c>
      <c r="Z72">
        <v>0.18228444394422599</v>
      </c>
      <c r="AA72" t="s">
        <v>468</v>
      </c>
    </row>
    <row r="73" spans="1:27">
      <c r="A73" s="22" t="s">
        <v>469</v>
      </c>
      <c r="B73" s="23">
        <v>0.30445444834844698</v>
      </c>
      <c r="C73" s="22" t="s">
        <v>28</v>
      </c>
      <c r="D73" s="24">
        <v>7.5148873329162598</v>
      </c>
      <c r="E73" s="22">
        <v>0.32600000000000001</v>
      </c>
      <c r="F73" s="22">
        <v>6.6</v>
      </c>
      <c r="G73" s="22">
        <v>35.308940160991902</v>
      </c>
      <c r="H73" s="22">
        <v>-120.661246518685</v>
      </c>
      <c r="I73" s="22" t="s">
        <v>29</v>
      </c>
      <c r="J73" s="22">
        <v>0.86418318748474099</v>
      </c>
      <c r="K73" s="22" t="s">
        <v>30</v>
      </c>
      <c r="L73" s="22" t="s">
        <v>337</v>
      </c>
      <c r="M73" s="82">
        <v>4</v>
      </c>
      <c r="N73" s="105">
        <v>2</v>
      </c>
      <c r="O73" s="82">
        <v>1</v>
      </c>
      <c r="P73" s="82"/>
      <c r="Q73" s="82"/>
      <c r="R73" s="22" t="s">
        <v>470</v>
      </c>
      <c r="S73" s="22" t="s">
        <v>33</v>
      </c>
      <c r="T73" s="22" t="s">
        <v>71</v>
      </c>
      <c r="U73" s="3" t="s">
        <v>471</v>
      </c>
      <c r="V73" s="3" t="s">
        <v>472</v>
      </c>
      <c r="W73" s="3" t="s">
        <v>473</v>
      </c>
      <c r="X73">
        <v>0.23914627039627001</v>
      </c>
      <c r="Y73">
        <v>1.1595686078071501</v>
      </c>
      <c r="Z73">
        <v>0.27420520155893102</v>
      </c>
      <c r="AA73" t="s">
        <v>474</v>
      </c>
    </row>
    <row r="74" spans="1:27">
      <c r="A74" s="22" t="s">
        <v>475</v>
      </c>
      <c r="B74" s="23">
        <v>0.23925096114201599</v>
      </c>
      <c r="C74" s="22" t="s">
        <v>28</v>
      </c>
      <c r="D74" s="24">
        <v>1.23836398124694</v>
      </c>
      <c r="E74" s="22">
        <v>0.245</v>
      </c>
      <c r="F74" s="22">
        <v>1.3</v>
      </c>
      <c r="G74" s="22">
        <v>35.309315885550397</v>
      </c>
      <c r="H74" s="22">
        <v>-120.66260739496499</v>
      </c>
      <c r="I74" s="22" t="s">
        <v>29</v>
      </c>
      <c r="J74" s="22">
        <v>1.16117691993713</v>
      </c>
      <c r="K74" s="22" t="s">
        <v>30</v>
      </c>
      <c r="L74" s="22" t="s">
        <v>337</v>
      </c>
      <c r="M74" s="82">
        <v>4</v>
      </c>
      <c r="N74" s="105">
        <v>2</v>
      </c>
      <c r="O74" s="82">
        <v>2</v>
      </c>
      <c r="P74" s="82"/>
      <c r="Q74" s="82"/>
      <c r="R74" s="22" t="s">
        <v>476</v>
      </c>
      <c r="S74" s="22" t="s">
        <v>33</v>
      </c>
      <c r="T74" s="22" t="s">
        <v>71</v>
      </c>
      <c r="U74" s="3" t="s">
        <v>477</v>
      </c>
      <c r="V74" s="3" t="s">
        <v>478</v>
      </c>
      <c r="W74" s="3" t="s">
        <v>479</v>
      </c>
      <c r="X74">
        <v>0.242881944444444</v>
      </c>
      <c r="Y74">
        <v>0.91967996954917897</v>
      </c>
      <c r="Z74">
        <v>0.215916461889647</v>
      </c>
      <c r="AA74" t="s">
        <v>480</v>
      </c>
    </row>
    <row r="75" spans="1:27">
      <c r="A75" s="22" t="s">
        <v>481</v>
      </c>
      <c r="B75" s="23">
        <v>0.15463968368697201</v>
      </c>
      <c r="C75" s="22" t="s">
        <v>28</v>
      </c>
      <c r="D75" s="24">
        <v>1.5980798006057699</v>
      </c>
      <c r="E75" s="22">
        <v>0.16700000000000001</v>
      </c>
      <c r="F75" s="22">
        <v>1.3</v>
      </c>
      <c r="G75" s="22">
        <v>35.308948494944097</v>
      </c>
      <c r="H75" s="22">
        <v>-120.660255147623</v>
      </c>
      <c r="I75" s="22" t="s">
        <v>29</v>
      </c>
      <c r="J75" s="22">
        <v>1.4188969135284399</v>
      </c>
      <c r="K75" s="22" t="s">
        <v>30</v>
      </c>
      <c r="L75" s="22" t="s">
        <v>337</v>
      </c>
      <c r="M75" s="82">
        <v>4</v>
      </c>
      <c r="N75" s="105">
        <v>2</v>
      </c>
      <c r="O75" s="82">
        <v>3</v>
      </c>
      <c r="P75" s="82"/>
      <c r="Q75" s="82"/>
      <c r="R75" s="22" t="s">
        <v>369</v>
      </c>
      <c r="S75" s="22" t="s">
        <v>33</v>
      </c>
      <c r="T75" s="22" t="s">
        <v>71</v>
      </c>
      <c r="U75" s="3" t="s">
        <v>482</v>
      </c>
      <c r="V75" s="3" t="s">
        <v>483</v>
      </c>
      <c r="W75" s="3" t="s">
        <v>484</v>
      </c>
      <c r="X75">
        <v>0.238281249999999</v>
      </c>
      <c r="Y75">
        <v>0.58635663986205999</v>
      </c>
      <c r="Z75">
        <v>0.14023375890117801</v>
      </c>
      <c r="AA75" t="s">
        <v>485</v>
      </c>
    </row>
    <row r="76" spans="1:27">
      <c r="A76" s="22" t="s">
        <v>486</v>
      </c>
      <c r="B76" s="23">
        <v>0.18034055555130801</v>
      </c>
      <c r="C76" s="22" t="s">
        <v>28</v>
      </c>
      <c r="D76" s="24">
        <v>1.36676013469696</v>
      </c>
      <c r="E76" s="22">
        <v>0.17699999999999999</v>
      </c>
      <c r="F76" s="22">
        <v>1.3</v>
      </c>
      <c r="G76" s="22">
        <v>35.308953192090698</v>
      </c>
      <c r="H76" s="22">
        <v>-120.66025781826301</v>
      </c>
      <c r="I76" s="22" t="s">
        <v>29</v>
      </c>
      <c r="J76" s="22">
        <v>1.3292877674102701</v>
      </c>
      <c r="K76" s="22" t="s">
        <v>30</v>
      </c>
      <c r="L76" s="22" t="s">
        <v>337</v>
      </c>
      <c r="M76" s="82">
        <v>4</v>
      </c>
      <c r="N76" s="105">
        <v>2</v>
      </c>
      <c r="O76" s="82">
        <v>4</v>
      </c>
      <c r="P76" s="82"/>
      <c r="Q76" s="82"/>
      <c r="R76" s="22" t="s">
        <v>369</v>
      </c>
      <c r="S76" s="22" t="s">
        <v>33</v>
      </c>
      <c r="T76" s="22" t="s">
        <v>71</v>
      </c>
      <c r="U76" s="3" t="s">
        <v>487</v>
      </c>
      <c r="V76" s="3" t="s">
        <v>488</v>
      </c>
      <c r="W76" s="3" t="s">
        <v>489</v>
      </c>
      <c r="X76">
        <v>0.22546831232493</v>
      </c>
      <c r="Y76">
        <v>0.71800002455711298</v>
      </c>
      <c r="Z76">
        <v>0.16253737356439199</v>
      </c>
      <c r="AA76" t="s">
        <v>490</v>
      </c>
    </row>
    <row r="77" spans="1:27">
      <c r="A77" s="22" t="s">
        <v>491</v>
      </c>
      <c r="B77" s="23">
        <v>0.20937008815441699</v>
      </c>
      <c r="C77" s="22" t="s">
        <v>28</v>
      </c>
      <c r="D77" s="24">
        <v>4.2309093475341797</v>
      </c>
      <c r="E77" s="22">
        <v>0.222</v>
      </c>
      <c r="F77" s="22">
        <v>4.3</v>
      </c>
      <c r="G77" s="22">
        <v>35.310149940224001</v>
      </c>
      <c r="H77" s="22">
        <v>-120.662267893825</v>
      </c>
      <c r="I77" s="22" t="s">
        <v>29</v>
      </c>
      <c r="J77" s="22">
        <v>1.2039313316345199</v>
      </c>
      <c r="K77" s="22" t="s">
        <v>30</v>
      </c>
      <c r="L77" s="22" t="s">
        <v>337</v>
      </c>
      <c r="M77" s="82">
        <v>4</v>
      </c>
      <c r="N77" s="105">
        <v>3</v>
      </c>
      <c r="O77" s="82">
        <v>1</v>
      </c>
      <c r="P77" s="82"/>
      <c r="Q77" s="82"/>
      <c r="R77" s="22" t="s">
        <v>492</v>
      </c>
      <c r="S77" s="22" t="s">
        <v>33</v>
      </c>
      <c r="T77" s="22" t="s">
        <v>71</v>
      </c>
      <c r="U77" s="3" t="s">
        <v>493</v>
      </c>
      <c r="V77" s="3" t="s">
        <v>494</v>
      </c>
      <c r="W77" s="3" t="s">
        <v>495</v>
      </c>
      <c r="X77">
        <v>0.236875</v>
      </c>
      <c r="Y77">
        <v>0.82825088500976496</v>
      </c>
      <c r="Z77">
        <v>0.18781946675437799</v>
      </c>
      <c r="AA77" t="s">
        <v>496</v>
      </c>
    </row>
    <row r="78" spans="1:27">
      <c r="A78" s="22" t="s">
        <v>497</v>
      </c>
      <c r="B78" s="23">
        <v>0.208279034619864</v>
      </c>
      <c r="C78" s="22" t="s">
        <v>28</v>
      </c>
      <c r="D78" s="24">
        <v>7.8108844757079998</v>
      </c>
      <c r="E78" s="22">
        <v>0.219</v>
      </c>
      <c r="F78" s="22">
        <v>7.8</v>
      </c>
      <c r="G78" s="22">
        <v>35.309532306756999</v>
      </c>
      <c r="H78" s="22">
        <v>-120.662962196865</v>
      </c>
      <c r="I78" s="22" t="s">
        <v>29</v>
      </c>
      <c r="J78" s="22">
        <v>1.23638868331909</v>
      </c>
      <c r="K78" s="22" t="s">
        <v>30</v>
      </c>
      <c r="L78" s="22" t="s">
        <v>337</v>
      </c>
      <c r="M78" s="82">
        <v>4</v>
      </c>
      <c r="N78" s="105">
        <v>4</v>
      </c>
      <c r="O78" s="82">
        <v>1</v>
      </c>
      <c r="P78" s="82"/>
      <c r="Q78" s="82"/>
      <c r="R78" s="22" t="s">
        <v>498</v>
      </c>
      <c r="S78" s="22" t="s">
        <v>33</v>
      </c>
      <c r="T78" s="22" t="s">
        <v>71</v>
      </c>
      <c r="U78" s="3" t="s">
        <v>499</v>
      </c>
      <c r="V78" s="3" t="s">
        <v>500</v>
      </c>
      <c r="W78" s="3" t="s">
        <v>501</v>
      </c>
      <c r="X78">
        <v>0.234002976190476</v>
      </c>
      <c r="Y78">
        <v>0.81932747364044101</v>
      </c>
      <c r="Z78">
        <v>0.188017597965492</v>
      </c>
      <c r="AA78" t="s">
        <v>502</v>
      </c>
    </row>
    <row r="79" spans="1:27">
      <c r="A79" s="22" t="s">
        <v>503</v>
      </c>
      <c r="B79" s="23">
        <v>0.17403961872036799</v>
      </c>
      <c r="C79" s="22" t="s">
        <v>28</v>
      </c>
      <c r="D79" s="24">
        <v>1.2966169118881199</v>
      </c>
      <c r="E79" s="22">
        <v>0.19500000000000001</v>
      </c>
      <c r="F79" s="22">
        <v>1.3</v>
      </c>
      <c r="G79" s="22">
        <v>35.309530478443399</v>
      </c>
      <c r="H79" s="22">
        <v>-120.662964451113</v>
      </c>
      <c r="I79" s="22" t="s">
        <v>29</v>
      </c>
      <c r="J79" s="22">
        <v>1.07844614982604</v>
      </c>
      <c r="K79" s="22" t="s">
        <v>30</v>
      </c>
      <c r="L79" s="22" t="s">
        <v>337</v>
      </c>
      <c r="M79" s="82">
        <v>4</v>
      </c>
      <c r="N79" s="105">
        <v>4</v>
      </c>
      <c r="O79" s="82">
        <v>2</v>
      </c>
      <c r="P79" s="82"/>
      <c r="Q79" s="82"/>
      <c r="R79" s="22" t="s">
        <v>504</v>
      </c>
      <c r="S79" s="22" t="s">
        <v>33</v>
      </c>
      <c r="T79" s="22" t="s">
        <v>71</v>
      </c>
      <c r="U79" s="3" t="s">
        <v>505</v>
      </c>
      <c r="V79" s="3" t="s">
        <v>506</v>
      </c>
      <c r="W79" s="3" t="s">
        <v>507</v>
      </c>
      <c r="X79">
        <v>0.241608796296296</v>
      </c>
      <c r="Y79">
        <v>0.71141904592514005</v>
      </c>
      <c r="Z79">
        <v>0.15703480181287699</v>
      </c>
      <c r="AA79" t="s">
        <v>508</v>
      </c>
    </row>
    <row r="80" spans="1:27">
      <c r="A80" s="22" t="s">
        <v>509</v>
      </c>
      <c r="B80" s="23">
        <v>0.17567112907094201</v>
      </c>
      <c r="C80" s="22" t="s">
        <v>28</v>
      </c>
      <c r="D80" s="24">
        <v>1.2604660987853999</v>
      </c>
      <c r="E80" s="22">
        <v>0.20300000000000001</v>
      </c>
      <c r="F80" s="22">
        <v>1.3</v>
      </c>
      <c r="G80" s="22">
        <v>35.309449434549499</v>
      </c>
      <c r="H80" s="22">
        <v>-120.66193878658</v>
      </c>
      <c r="I80" s="22" t="s">
        <v>29</v>
      </c>
      <c r="J80" s="22">
        <v>0.88878726959228505</v>
      </c>
      <c r="K80" s="22" t="s">
        <v>30</v>
      </c>
      <c r="L80" s="22" t="s">
        <v>337</v>
      </c>
      <c r="M80" s="82">
        <v>4</v>
      </c>
      <c r="N80" s="105">
        <v>4</v>
      </c>
      <c r="O80" s="82">
        <v>3</v>
      </c>
      <c r="P80" s="82"/>
      <c r="Q80" s="82"/>
      <c r="R80" s="22" t="s">
        <v>510</v>
      </c>
      <c r="S80" s="22" t="s">
        <v>33</v>
      </c>
      <c r="T80" s="22" t="s">
        <v>71</v>
      </c>
      <c r="U80" s="3" t="s">
        <v>511</v>
      </c>
      <c r="V80" s="3" t="s">
        <v>512</v>
      </c>
      <c r="W80" s="3" t="s">
        <v>513</v>
      </c>
      <c r="X80">
        <v>0.229910714285714</v>
      </c>
      <c r="Y80">
        <v>0.725355744361877</v>
      </c>
      <c r="Z80">
        <v>0.159313381813148</v>
      </c>
      <c r="AA80" t="s">
        <v>514</v>
      </c>
    </row>
    <row r="81" spans="1:27">
      <c r="A81" s="22" t="s">
        <v>515</v>
      </c>
      <c r="B81" s="23">
        <v>8.9052836755893997E-2</v>
      </c>
      <c r="C81" s="22" t="s">
        <v>28</v>
      </c>
      <c r="D81" s="24">
        <v>1.22318875789642</v>
      </c>
      <c r="E81" s="22">
        <v>0.11600000000000001</v>
      </c>
      <c r="F81" s="22">
        <v>1.3</v>
      </c>
      <c r="G81" s="22">
        <v>35.3093723997832</v>
      </c>
      <c r="H81" s="22">
        <v>-120.661897713622</v>
      </c>
      <c r="I81" s="22" t="s">
        <v>29</v>
      </c>
      <c r="J81" s="22">
        <v>1.5841584205627399</v>
      </c>
      <c r="K81" s="22" t="s">
        <v>30</v>
      </c>
      <c r="L81" s="22" t="s">
        <v>337</v>
      </c>
      <c r="M81" s="82">
        <v>4</v>
      </c>
      <c r="N81" s="105">
        <v>4</v>
      </c>
      <c r="O81" s="82">
        <v>4</v>
      </c>
      <c r="P81" s="82"/>
      <c r="Q81" s="82"/>
      <c r="R81" s="22" t="s">
        <v>516</v>
      </c>
      <c r="S81" s="22" t="s">
        <v>33</v>
      </c>
      <c r="T81" s="22" t="s">
        <v>71</v>
      </c>
      <c r="U81" s="3" t="s">
        <v>517</v>
      </c>
      <c r="V81" s="3" t="s">
        <v>518</v>
      </c>
      <c r="W81" s="3" t="s">
        <v>519</v>
      </c>
      <c r="X81">
        <v>0.23958333333333301</v>
      </c>
      <c r="Y81">
        <v>0.37005352973937899</v>
      </c>
      <c r="Z81">
        <v>8.0636545739551702E-2</v>
      </c>
      <c r="AA81" t="s">
        <v>520</v>
      </c>
    </row>
    <row r="82" spans="1:27">
      <c r="A82" s="22" t="s">
        <v>521</v>
      </c>
      <c r="B82" s="23">
        <v>9.5188062714119101E-2</v>
      </c>
      <c r="C82" s="22" t="s">
        <v>28</v>
      </c>
      <c r="D82" s="24">
        <v>1.0175099372863701</v>
      </c>
      <c r="E82" s="22">
        <v>9.9000000000000005E-2</v>
      </c>
      <c r="F82" s="22">
        <v>1.3</v>
      </c>
      <c r="G82" s="22">
        <v>35.309524829018798</v>
      </c>
      <c r="H82" s="22">
        <v>-120.662964605105</v>
      </c>
      <c r="I82" s="22" t="s">
        <v>29</v>
      </c>
      <c r="J82" s="22">
        <v>1.2511172294616699</v>
      </c>
      <c r="K82" s="22" t="s">
        <v>30</v>
      </c>
      <c r="L82" s="22" t="s">
        <v>337</v>
      </c>
      <c r="M82" s="82">
        <v>4</v>
      </c>
      <c r="N82" s="105">
        <v>4</v>
      </c>
      <c r="O82" s="82">
        <v>5</v>
      </c>
      <c r="P82" s="82"/>
      <c r="Q82" s="82"/>
      <c r="R82" s="22" t="s">
        <v>522</v>
      </c>
      <c r="S82" s="22" t="s">
        <v>33</v>
      </c>
      <c r="T82" s="22" t="s">
        <v>71</v>
      </c>
      <c r="U82" s="3" t="s">
        <v>523</v>
      </c>
      <c r="V82" s="3" t="s">
        <v>524</v>
      </c>
      <c r="W82" s="3" t="s">
        <v>525</v>
      </c>
      <c r="X82">
        <v>0.221014492753623</v>
      </c>
      <c r="Y82">
        <v>0.36817860603332497</v>
      </c>
      <c r="Z82">
        <v>8.6112751310757699E-2</v>
      </c>
      <c r="AA82" t="s">
        <v>526</v>
      </c>
    </row>
    <row r="83" spans="1:27">
      <c r="A83" s="22" t="s">
        <v>527</v>
      </c>
      <c r="B83" s="23">
        <v>0.35785694235348198</v>
      </c>
      <c r="C83" s="22" t="s">
        <v>28</v>
      </c>
      <c r="D83" s="24">
        <v>12.3678483963012</v>
      </c>
      <c r="E83" s="22">
        <v>0.42499999999999999</v>
      </c>
      <c r="F83" s="22">
        <v>12</v>
      </c>
      <c r="G83" s="22">
        <v>35.309437430543497</v>
      </c>
      <c r="H83" s="22">
        <v>-120.66298087113699</v>
      </c>
      <c r="I83" s="22" t="s">
        <v>29</v>
      </c>
      <c r="J83" s="22">
        <v>0.97585868835449197</v>
      </c>
      <c r="K83" s="22" t="s">
        <v>30</v>
      </c>
      <c r="L83" s="22" t="s">
        <v>337</v>
      </c>
      <c r="M83" s="82">
        <v>4</v>
      </c>
      <c r="N83" s="105">
        <v>5</v>
      </c>
      <c r="O83" s="82">
        <v>1</v>
      </c>
      <c r="P83" s="82"/>
      <c r="Q83" s="82"/>
      <c r="R83" s="22" t="s">
        <v>528</v>
      </c>
      <c r="S83" s="22" t="s">
        <v>33</v>
      </c>
      <c r="T83" s="22" t="s">
        <v>71</v>
      </c>
      <c r="U83" s="3" t="s">
        <v>529</v>
      </c>
      <c r="V83" s="3" t="s">
        <v>530</v>
      </c>
      <c r="W83" s="3" t="s">
        <v>531</v>
      </c>
      <c r="X83">
        <v>0.24479166666666599</v>
      </c>
      <c r="Y83">
        <v>1.38577765226364</v>
      </c>
      <c r="Z83">
        <v>0.32527846652742598</v>
      </c>
      <c r="AA83" t="s">
        <v>532</v>
      </c>
    </row>
    <row r="84" spans="1:27">
      <c r="A84" s="22" t="s">
        <v>533</v>
      </c>
      <c r="B84" s="23">
        <v>0.160301667269833</v>
      </c>
      <c r="C84" s="22" t="s">
        <v>28</v>
      </c>
      <c r="D84" s="24">
        <v>1.18168628215789</v>
      </c>
      <c r="E84" s="22">
        <v>0.17499999999999999</v>
      </c>
      <c r="F84" s="22">
        <v>1.3</v>
      </c>
      <c r="G84" s="22">
        <v>35.309566885012998</v>
      </c>
      <c r="H84" s="22">
        <v>-120.662956064117</v>
      </c>
      <c r="I84" s="22" t="s">
        <v>29</v>
      </c>
      <c r="J84" s="22">
        <v>1.10728430747985</v>
      </c>
      <c r="K84" s="22" t="s">
        <v>30</v>
      </c>
      <c r="L84" s="22" t="s">
        <v>337</v>
      </c>
      <c r="M84" s="82">
        <v>4</v>
      </c>
      <c r="N84" s="105">
        <v>5</v>
      </c>
      <c r="O84" s="82">
        <v>2</v>
      </c>
      <c r="P84" s="82"/>
      <c r="Q84" s="82"/>
      <c r="R84" s="22" t="s">
        <v>534</v>
      </c>
      <c r="S84" s="22" t="s">
        <v>33</v>
      </c>
      <c r="T84" s="22" t="s">
        <v>71</v>
      </c>
      <c r="U84" s="3" t="s">
        <v>535</v>
      </c>
      <c r="V84" s="3" t="s">
        <v>536</v>
      </c>
      <c r="W84" s="3" t="s">
        <v>537</v>
      </c>
      <c r="X84">
        <v>0.235416666666666</v>
      </c>
      <c r="Y84">
        <v>0.58177995681762695</v>
      </c>
      <c r="Z84">
        <v>0.14543365654346499</v>
      </c>
      <c r="AA84" t="s">
        <v>538</v>
      </c>
    </row>
    <row r="85" spans="1:27">
      <c r="A85" s="22" t="s">
        <v>539</v>
      </c>
      <c r="B85" s="23">
        <v>0.229278247209523</v>
      </c>
      <c r="C85" s="22" t="s">
        <v>28</v>
      </c>
      <c r="D85" s="24">
        <v>1.1022537946701001</v>
      </c>
      <c r="E85" s="22">
        <v>0.25</v>
      </c>
      <c r="F85" s="22">
        <v>1.3</v>
      </c>
      <c r="G85" s="22">
        <v>35.309593003097802</v>
      </c>
      <c r="H85" s="22">
        <v>-120.662954044397</v>
      </c>
      <c r="I85" s="22" t="s">
        <v>29</v>
      </c>
      <c r="J85" s="22">
        <v>0.83379626274108798</v>
      </c>
      <c r="K85" s="22" t="s">
        <v>30</v>
      </c>
      <c r="L85" s="22" t="s">
        <v>337</v>
      </c>
      <c r="M85" s="82">
        <v>4</v>
      </c>
      <c r="N85" s="105">
        <v>5</v>
      </c>
      <c r="O85" s="82">
        <v>3</v>
      </c>
      <c r="P85" s="82"/>
      <c r="Q85" s="82"/>
      <c r="R85" s="22" t="s">
        <v>540</v>
      </c>
      <c r="S85" s="22" t="s">
        <v>33</v>
      </c>
      <c r="T85" s="22" t="s">
        <v>71</v>
      </c>
      <c r="U85" s="3" t="s">
        <v>541</v>
      </c>
      <c r="V85" s="3" t="s">
        <v>542</v>
      </c>
      <c r="W85" s="3" t="s">
        <v>543</v>
      </c>
      <c r="X85">
        <v>0.24917763157894701</v>
      </c>
      <c r="Y85">
        <v>0.91616308689117398</v>
      </c>
      <c r="Z85">
        <v>0.20790707224305299</v>
      </c>
      <c r="AA85" t="s">
        <v>544</v>
      </c>
    </row>
    <row r="86" spans="1:27">
      <c r="A86" t="s">
        <v>545</v>
      </c>
      <c r="B86" s="1">
        <v>3.96455938959559E-2</v>
      </c>
      <c r="C86" t="s">
        <v>28</v>
      </c>
      <c r="D86" s="2">
        <v>2.44780325889587</v>
      </c>
      <c r="E86">
        <v>3.9E-2</v>
      </c>
      <c r="F86">
        <v>2.2999999999999998</v>
      </c>
      <c r="G86">
        <v>35.309662124318898</v>
      </c>
      <c r="H86">
        <v>-120.662899157975</v>
      </c>
      <c r="I86" t="s">
        <v>29</v>
      </c>
      <c r="J86">
        <v>0.48219740390777499</v>
      </c>
      <c r="K86" t="s">
        <v>30</v>
      </c>
      <c r="L86" t="s">
        <v>337</v>
      </c>
      <c r="M86" s="78">
        <v>5</v>
      </c>
      <c r="N86" s="101">
        <v>1</v>
      </c>
      <c r="O86" s="78">
        <v>1</v>
      </c>
      <c r="R86" t="s">
        <v>350</v>
      </c>
      <c r="S86" t="s">
        <v>33</v>
      </c>
      <c r="T86" t="s">
        <v>78</v>
      </c>
      <c r="U86" s="3" t="s">
        <v>546</v>
      </c>
      <c r="V86" s="3" t="s">
        <v>547</v>
      </c>
      <c r="W86" s="3" t="s">
        <v>548</v>
      </c>
      <c r="X86">
        <v>0.25701121794871701</v>
      </c>
      <c r="Y86">
        <v>0.33494758605956998</v>
      </c>
      <c r="Z86">
        <v>3.6670623524988497E-2</v>
      </c>
      <c r="AA86" t="s">
        <v>549</v>
      </c>
    </row>
    <row r="87" spans="1:27">
      <c r="A87" t="s">
        <v>550</v>
      </c>
      <c r="B87" s="1">
        <v>2.89923818225854E-2</v>
      </c>
      <c r="C87" t="s">
        <v>28</v>
      </c>
      <c r="D87" s="2">
        <v>2.1457734107971098</v>
      </c>
      <c r="E87">
        <v>4.8000000000000001E-2</v>
      </c>
      <c r="F87">
        <v>2.1</v>
      </c>
      <c r="G87">
        <v>35.309606334954701</v>
      </c>
      <c r="H87">
        <v>-120.662958695648</v>
      </c>
      <c r="I87" t="s">
        <v>29</v>
      </c>
      <c r="J87">
        <v>0.48563665151596003</v>
      </c>
      <c r="K87" t="s">
        <v>30</v>
      </c>
      <c r="L87" t="s">
        <v>337</v>
      </c>
      <c r="M87" s="78">
        <v>5</v>
      </c>
      <c r="N87" s="101">
        <v>2</v>
      </c>
      <c r="O87" s="78">
        <v>1</v>
      </c>
      <c r="R87" t="s">
        <v>551</v>
      </c>
      <c r="S87" t="s">
        <v>33</v>
      </c>
      <c r="T87" t="s">
        <v>78</v>
      </c>
      <c r="U87" s="3" t="s">
        <v>552</v>
      </c>
      <c r="V87" s="3" t="s">
        <v>553</v>
      </c>
      <c r="W87" s="3" t="s">
        <v>554</v>
      </c>
      <c r="X87">
        <v>0.29947916666666602</v>
      </c>
      <c r="Y87">
        <v>0.40849706530570901</v>
      </c>
      <c r="Z87">
        <v>2.3233534291768599E-2</v>
      </c>
      <c r="AA87" t="s">
        <v>555</v>
      </c>
    </row>
    <row r="88" spans="1:27">
      <c r="A88" s="25" t="s">
        <v>556</v>
      </c>
      <c r="B88" s="26">
        <v>0.151257359578925</v>
      </c>
      <c r="C88" s="25" t="s">
        <v>28</v>
      </c>
      <c r="D88" s="27">
        <v>10.6704111099243</v>
      </c>
      <c r="E88" s="25">
        <v>0.16900000000000001</v>
      </c>
      <c r="F88" s="25">
        <v>10</v>
      </c>
      <c r="G88" s="25">
        <v>35.309646302874299</v>
      </c>
      <c r="H88" s="25">
        <v>-120.662919085878</v>
      </c>
      <c r="I88" s="25" t="s">
        <v>29</v>
      </c>
      <c r="J88" s="25">
        <v>1.2755448818206701</v>
      </c>
      <c r="K88" s="25" t="s">
        <v>30</v>
      </c>
      <c r="L88" s="25" t="s">
        <v>337</v>
      </c>
      <c r="M88" s="83">
        <v>6</v>
      </c>
      <c r="N88" s="106">
        <v>1</v>
      </c>
      <c r="O88" s="83">
        <v>1</v>
      </c>
      <c r="P88" s="83"/>
      <c r="Q88" s="83"/>
      <c r="R88" s="25" t="s">
        <v>557</v>
      </c>
      <c r="S88" s="25" t="s">
        <v>33</v>
      </c>
      <c r="T88" s="25" t="s">
        <v>85</v>
      </c>
      <c r="U88" s="3" t="s">
        <v>558</v>
      </c>
      <c r="V88" s="3" t="s">
        <v>559</v>
      </c>
      <c r="W88" s="3" t="s">
        <v>560</v>
      </c>
      <c r="X88">
        <v>0.234375</v>
      </c>
      <c r="Y88">
        <v>0.58872473239898604</v>
      </c>
      <c r="Z88">
        <v>0.13556196180260899</v>
      </c>
      <c r="AA88" t="s">
        <v>561</v>
      </c>
    </row>
    <row r="89" spans="1:27">
      <c r="A89" s="25" t="s">
        <v>562</v>
      </c>
      <c r="B89" s="26">
        <v>0.116022519480848</v>
      </c>
      <c r="C89" s="25" t="s">
        <v>28</v>
      </c>
      <c r="D89" s="27">
        <v>1.3469532728195099</v>
      </c>
      <c r="E89" s="25">
        <v>0.14099999999999999</v>
      </c>
      <c r="F89" s="25">
        <v>1.3</v>
      </c>
      <c r="G89" s="25">
        <v>35.309620680497297</v>
      </c>
      <c r="H89" s="25">
        <v>-120.66294910822199</v>
      </c>
      <c r="I89" s="25" t="s">
        <v>29</v>
      </c>
      <c r="J89" s="25">
        <v>1.0764068365096999</v>
      </c>
      <c r="K89" s="25" t="s">
        <v>30</v>
      </c>
      <c r="L89" s="25" t="s">
        <v>337</v>
      </c>
      <c r="M89" s="83">
        <v>6</v>
      </c>
      <c r="N89" s="106">
        <v>1</v>
      </c>
      <c r="O89" s="83">
        <v>2</v>
      </c>
      <c r="P89" s="83"/>
      <c r="Q89" s="83"/>
      <c r="R89" s="25" t="s">
        <v>563</v>
      </c>
      <c r="S89" s="25" t="s">
        <v>33</v>
      </c>
      <c r="T89" s="25" t="s">
        <v>85</v>
      </c>
      <c r="U89" s="3" t="s">
        <v>564</v>
      </c>
      <c r="V89" s="3" t="s">
        <v>565</v>
      </c>
      <c r="W89" s="3" t="s">
        <v>566</v>
      </c>
      <c r="X89">
        <v>0.23958333333333301</v>
      </c>
      <c r="Y89">
        <v>0.44583576917648299</v>
      </c>
      <c r="Z89">
        <v>0.103858729685449</v>
      </c>
      <c r="AA89" t="s">
        <v>567</v>
      </c>
    </row>
    <row r="90" spans="1:27">
      <c r="A90" s="25" t="s">
        <v>568</v>
      </c>
      <c r="B90" s="26">
        <v>5.6039711103442899E-2</v>
      </c>
      <c r="C90" s="25" t="s">
        <v>28</v>
      </c>
      <c r="D90" s="27">
        <v>1.3014388084411599</v>
      </c>
      <c r="E90" s="25">
        <v>5.0999999999999997E-2</v>
      </c>
      <c r="F90" s="25">
        <v>1.3</v>
      </c>
      <c r="G90" s="25">
        <v>35.309621522935501</v>
      </c>
      <c r="H90" s="25">
        <v>-120.662947187829</v>
      </c>
      <c r="I90" s="25" t="s">
        <v>29</v>
      </c>
      <c r="J90" s="25">
        <v>1.25267910957336</v>
      </c>
      <c r="K90" s="25" t="s">
        <v>30</v>
      </c>
      <c r="L90" s="25" t="s">
        <v>337</v>
      </c>
      <c r="M90" s="83">
        <v>6</v>
      </c>
      <c r="N90" s="106">
        <v>1</v>
      </c>
      <c r="O90" s="83">
        <v>3</v>
      </c>
      <c r="P90" s="83"/>
      <c r="Q90" s="83"/>
      <c r="R90" s="25" t="s">
        <v>569</v>
      </c>
      <c r="S90" s="25" t="s">
        <v>33</v>
      </c>
      <c r="T90" s="25" t="s">
        <v>85</v>
      </c>
      <c r="U90" s="3" t="s">
        <v>570</v>
      </c>
      <c r="V90" s="3" t="s">
        <v>571</v>
      </c>
      <c r="W90" s="3" t="s">
        <v>572</v>
      </c>
      <c r="X90">
        <v>0.23263888888888801</v>
      </c>
      <c r="Y90">
        <v>2.63473176956176</v>
      </c>
      <c r="Z90">
        <v>5.0493420235188498E-2</v>
      </c>
      <c r="AA90" t="s">
        <v>573</v>
      </c>
    </row>
    <row r="91" spans="1:27">
      <c r="A91" s="28" t="s">
        <v>574</v>
      </c>
      <c r="B91" s="29">
        <v>0.31166328681907601</v>
      </c>
      <c r="C91" s="28" t="s">
        <v>28</v>
      </c>
      <c r="D91" s="30">
        <v>16.965129852294901</v>
      </c>
      <c r="E91" s="28">
        <v>0.34200000000000003</v>
      </c>
      <c r="F91" s="28">
        <v>15.4</v>
      </c>
      <c r="G91" s="28">
        <v>35.309590957664398</v>
      </c>
      <c r="H91" s="28">
        <v>-120.662934152087</v>
      </c>
      <c r="I91" s="28" t="s">
        <v>29</v>
      </c>
      <c r="J91" s="28">
        <v>0.754824459552764</v>
      </c>
      <c r="K91" s="28" t="s">
        <v>30</v>
      </c>
      <c r="L91" s="28" t="s">
        <v>337</v>
      </c>
      <c r="M91" s="84">
        <v>7</v>
      </c>
      <c r="N91" s="107">
        <v>1</v>
      </c>
      <c r="O91" s="84">
        <v>1</v>
      </c>
      <c r="P91" s="84"/>
      <c r="Q91" s="84"/>
      <c r="R91" s="28" t="s">
        <v>575</v>
      </c>
      <c r="S91" s="28" t="s">
        <v>33</v>
      </c>
      <c r="T91" s="28" t="s">
        <v>93</v>
      </c>
      <c r="U91" s="3" t="s">
        <v>576</v>
      </c>
      <c r="V91" s="3" t="s">
        <v>577</v>
      </c>
      <c r="W91" s="3" t="s">
        <v>578</v>
      </c>
      <c r="X91">
        <v>0.25033637152777699</v>
      </c>
      <c r="Y91">
        <v>1.1841638684272699</v>
      </c>
      <c r="Z91">
        <v>0.27764760059961202</v>
      </c>
      <c r="AA91" t="s">
        <v>579</v>
      </c>
    </row>
    <row r="92" spans="1:27">
      <c r="A92" s="28" t="s">
        <v>580</v>
      </c>
      <c r="B92" s="29">
        <v>9.5518751656461606E-2</v>
      </c>
      <c r="C92" s="28" t="s">
        <v>28</v>
      </c>
      <c r="D92" s="30">
        <v>1.1222072839736901</v>
      </c>
      <c r="E92" s="28">
        <v>0.115</v>
      </c>
      <c r="F92" s="28">
        <v>1.3</v>
      </c>
      <c r="G92" s="28">
        <v>35.309615845093496</v>
      </c>
      <c r="H92" s="28">
        <v>-120.66294360308</v>
      </c>
      <c r="I92" s="28" t="s">
        <v>29</v>
      </c>
      <c r="J92" s="28">
        <v>1.43098545074462</v>
      </c>
      <c r="K92" s="28" t="s">
        <v>30</v>
      </c>
      <c r="L92" s="28" t="s">
        <v>337</v>
      </c>
      <c r="M92" s="84">
        <v>7</v>
      </c>
      <c r="N92" s="107">
        <v>1</v>
      </c>
      <c r="O92" s="84">
        <v>2</v>
      </c>
      <c r="P92" s="84"/>
      <c r="Q92" s="84"/>
      <c r="R92" s="28" t="s">
        <v>581</v>
      </c>
      <c r="S92" s="28" t="s">
        <v>33</v>
      </c>
      <c r="T92" s="28" t="s">
        <v>93</v>
      </c>
      <c r="U92" s="3" t="s">
        <v>582</v>
      </c>
      <c r="V92" s="3" t="s">
        <v>583</v>
      </c>
      <c r="W92" s="3" t="s">
        <v>584</v>
      </c>
      <c r="X92">
        <v>0.24100378787878701</v>
      </c>
      <c r="Y92">
        <v>0.38475006818771301</v>
      </c>
      <c r="Z92">
        <v>8.6156280889975401E-2</v>
      </c>
      <c r="AA92" t="s">
        <v>585</v>
      </c>
    </row>
    <row r="93" spans="1:27">
      <c r="A93" s="28" t="s">
        <v>586</v>
      </c>
      <c r="B93" s="29">
        <v>0.20726275094472399</v>
      </c>
      <c r="C93" s="28" t="s">
        <v>28</v>
      </c>
      <c r="D93" s="30">
        <v>1.30847835540771</v>
      </c>
      <c r="E93" s="28">
        <v>0.23499999999999999</v>
      </c>
      <c r="F93" s="28">
        <v>1.3</v>
      </c>
      <c r="G93" s="28">
        <v>35.309617613461199</v>
      </c>
      <c r="H93" s="28">
        <v>-120.662954618041</v>
      </c>
      <c r="I93" s="28" t="s">
        <v>29</v>
      </c>
      <c r="J93" s="28">
        <v>0.99626600742339999</v>
      </c>
      <c r="K93" s="28" t="s">
        <v>30</v>
      </c>
      <c r="L93" s="28" t="s">
        <v>337</v>
      </c>
      <c r="M93" s="84">
        <v>7</v>
      </c>
      <c r="N93" s="107">
        <v>1</v>
      </c>
      <c r="O93" s="84">
        <v>3</v>
      </c>
      <c r="P93" s="84"/>
      <c r="Q93" s="84"/>
      <c r="R93" s="28" t="s">
        <v>587</v>
      </c>
      <c r="S93" s="28" t="s">
        <v>33</v>
      </c>
      <c r="T93" s="28" t="s">
        <v>93</v>
      </c>
      <c r="U93" s="3" t="s">
        <v>588</v>
      </c>
      <c r="V93" s="3" t="s">
        <v>589</v>
      </c>
      <c r="W93" s="3" t="s">
        <v>590</v>
      </c>
      <c r="X93">
        <v>0.23396464646464599</v>
      </c>
      <c r="Y93">
        <v>0.84633740782737699</v>
      </c>
      <c r="Z93">
        <v>0.21541000823635401</v>
      </c>
      <c r="AA93" t="s">
        <v>591</v>
      </c>
    </row>
    <row r="94" spans="1:27">
      <c r="A94" s="31" t="s">
        <v>592</v>
      </c>
      <c r="B94" s="32">
        <v>9.9652277618944102E-2</v>
      </c>
      <c r="C94" s="31" t="s">
        <v>28</v>
      </c>
      <c r="D94" s="33">
        <v>5.5528311729431099</v>
      </c>
      <c r="E94" s="31">
        <v>0.22600000000000001</v>
      </c>
      <c r="F94" s="31">
        <v>5.8</v>
      </c>
      <c r="G94" s="31">
        <v>35.309574570789003</v>
      </c>
      <c r="H94" s="31">
        <v>-120.662910605517</v>
      </c>
      <c r="I94" s="31" t="s">
        <v>29</v>
      </c>
      <c r="J94" s="31">
        <v>1.10614454746246</v>
      </c>
      <c r="K94" s="31" t="s">
        <v>30</v>
      </c>
      <c r="L94" s="31" t="s">
        <v>337</v>
      </c>
      <c r="M94" s="85">
        <v>8</v>
      </c>
      <c r="N94" s="108">
        <v>1</v>
      </c>
      <c r="O94" s="85">
        <v>1</v>
      </c>
      <c r="P94" s="85"/>
      <c r="Q94" s="85"/>
      <c r="R94" s="31" t="s">
        <v>593</v>
      </c>
      <c r="S94" s="31" t="s">
        <v>33</v>
      </c>
      <c r="T94" s="31" t="s">
        <v>100</v>
      </c>
      <c r="U94" s="3" t="s">
        <v>594</v>
      </c>
      <c r="V94" s="3" t="s">
        <v>595</v>
      </c>
      <c r="W94" s="3" t="s">
        <v>596</v>
      </c>
      <c r="X94">
        <v>0.29340277777777701</v>
      </c>
      <c r="Y94">
        <v>0.73376703262329102</v>
      </c>
      <c r="Z94">
        <v>9.6141632046730999E-2</v>
      </c>
      <c r="AA94" t="s">
        <v>597</v>
      </c>
    </row>
    <row r="95" spans="1:27">
      <c r="A95" s="34" t="s">
        <v>598</v>
      </c>
      <c r="B95" s="35">
        <v>9.8544499776234695E-2</v>
      </c>
      <c r="C95" s="34" t="s">
        <v>28</v>
      </c>
      <c r="D95" s="36">
        <v>6.8587746620178196</v>
      </c>
      <c r="E95" s="34">
        <v>0.122</v>
      </c>
      <c r="F95" s="34">
        <v>5.9</v>
      </c>
      <c r="G95" s="34">
        <v>35.309626666835698</v>
      </c>
      <c r="H95" s="34">
        <v>-120.662941215773</v>
      </c>
      <c r="I95" s="34" t="s">
        <v>29</v>
      </c>
      <c r="J95" s="34">
        <v>2.09449958801269</v>
      </c>
      <c r="K95" s="34" t="s">
        <v>30</v>
      </c>
      <c r="L95" s="34" t="s">
        <v>337</v>
      </c>
      <c r="M95" s="86" t="s">
        <v>599</v>
      </c>
      <c r="N95" s="109">
        <v>1</v>
      </c>
      <c r="O95" s="86">
        <v>1</v>
      </c>
      <c r="P95" s="86"/>
      <c r="Q95" s="86"/>
      <c r="R95" s="34" t="s">
        <v>557</v>
      </c>
      <c r="S95" s="34" t="s">
        <v>33</v>
      </c>
      <c r="T95" s="34" t="s">
        <v>107</v>
      </c>
      <c r="U95" s="3" t="s">
        <v>600</v>
      </c>
      <c r="V95" s="3" t="s">
        <v>601</v>
      </c>
      <c r="W95" s="3" t="s">
        <v>602</v>
      </c>
      <c r="X95">
        <v>0.25520833333333298</v>
      </c>
      <c r="Y95">
        <v>0.38543811440467801</v>
      </c>
      <c r="Z95">
        <v>8.9065134143792496E-2</v>
      </c>
      <c r="AA95" t="s">
        <v>603</v>
      </c>
    </row>
    <row r="96" spans="1:27">
      <c r="A96" s="34" t="s">
        <v>604</v>
      </c>
      <c r="B96" s="35">
        <v>3.48902331872235E-2</v>
      </c>
      <c r="C96" s="34" t="s">
        <v>28</v>
      </c>
      <c r="D96" s="36">
        <v>0.63281035423278797</v>
      </c>
      <c r="E96" s="34">
        <v>3.5000000000000003E-2</v>
      </c>
      <c r="F96" s="34">
        <v>1.3</v>
      </c>
      <c r="G96" s="34">
        <v>35.309599519209002</v>
      </c>
      <c r="H96" s="34">
        <v>-120.662949511957</v>
      </c>
      <c r="I96" s="34" t="s">
        <v>29</v>
      </c>
      <c r="J96" s="34">
        <v>1.16773664951324</v>
      </c>
      <c r="K96" s="34" t="s">
        <v>30</v>
      </c>
      <c r="L96" s="34" t="s">
        <v>337</v>
      </c>
      <c r="M96" s="86" t="s">
        <v>599</v>
      </c>
      <c r="N96" s="109">
        <v>1</v>
      </c>
      <c r="O96" s="86">
        <v>2</v>
      </c>
      <c r="P96" s="86"/>
      <c r="Q96" s="86"/>
      <c r="R96" s="34" t="s">
        <v>581</v>
      </c>
      <c r="S96" s="34" t="s">
        <v>33</v>
      </c>
      <c r="T96" s="34" t="s">
        <v>107</v>
      </c>
      <c r="U96" s="3" t="s">
        <v>605</v>
      </c>
      <c r="V96" s="3" t="s">
        <v>606</v>
      </c>
      <c r="W96" s="3" t="s">
        <v>607</v>
      </c>
      <c r="X96">
        <v>0.21316964285714199</v>
      </c>
      <c r="Y96">
        <v>1.95187103748321</v>
      </c>
      <c r="Z96">
        <v>2.6191648050128101E-2</v>
      </c>
      <c r="AA96" t="s">
        <v>608</v>
      </c>
    </row>
    <row r="97" spans="1:28">
      <c r="A97" s="34" t="s">
        <v>609</v>
      </c>
      <c r="B97" s="35">
        <v>4.6117154475760799E-2</v>
      </c>
      <c r="C97" s="34" t="s">
        <v>28</v>
      </c>
      <c r="D97" s="36">
        <v>1.56762719154357</v>
      </c>
      <c r="E97" s="34">
        <v>5.2999999999999999E-2</v>
      </c>
      <c r="F97" s="34">
        <v>1.3</v>
      </c>
      <c r="G97" s="34">
        <v>35.309590530327597</v>
      </c>
      <c r="H97" s="34">
        <v>-120.662952983417</v>
      </c>
      <c r="I97" s="34" t="s">
        <v>29</v>
      </c>
      <c r="J97" s="34">
        <v>4.1538639068603498</v>
      </c>
      <c r="K97" s="34" t="s">
        <v>30</v>
      </c>
      <c r="L97" s="34" t="s">
        <v>337</v>
      </c>
      <c r="M97" s="86" t="s">
        <v>599</v>
      </c>
      <c r="N97" s="109">
        <v>1</v>
      </c>
      <c r="O97" s="86">
        <v>3</v>
      </c>
      <c r="P97" s="86"/>
      <c r="Q97" s="86"/>
      <c r="R97" s="34" t="s">
        <v>610</v>
      </c>
      <c r="S97" s="34" t="s">
        <v>33</v>
      </c>
      <c r="T97" s="34" t="s">
        <v>107</v>
      </c>
      <c r="U97" s="3" t="s">
        <v>611</v>
      </c>
      <c r="V97" s="3" t="s">
        <v>612</v>
      </c>
      <c r="W97" s="3" t="s">
        <v>613</v>
      </c>
      <c r="X97">
        <v>0.22463768115942001</v>
      </c>
      <c r="Y97">
        <v>1.4727821350097601</v>
      </c>
      <c r="Z97">
        <v>5.0116640205203102E-2</v>
      </c>
      <c r="AA97" t="s">
        <v>614</v>
      </c>
    </row>
    <row r="98" spans="1:28">
      <c r="A98" s="34" t="s">
        <v>615</v>
      </c>
      <c r="B98" s="35">
        <v>6.0299719295750398E-2</v>
      </c>
      <c r="C98" s="34" t="s">
        <v>28</v>
      </c>
      <c r="D98" s="36">
        <v>1.6852881908416699</v>
      </c>
      <c r="E98" s="34">
        <v>5.5E-2</v>
      </c>
      <c r="F98" s="34">
        <v>1.3</v>
      </c>
      <c r="G98" s="34">
        <v>35.3096165902043</v>
      </c>
      <c r="H98" s="34">
        <v>-120.66294572347201</v>
      </c>
      <c r="I98" s="34" t="s">
        <v>29</v>
      </c>
      <c r="J98" s="34">
        <v>6.9009189605712802</v>
      </c>
      <c r="K98" s="34" t="s">
        <v>30</v>
      </c>
      <c r="L98" s="34" t="s">
        <v>337</v>
      </c>
      <c r="M98" s="86" t="s">
        <v>599</v>
      </c>
      <c r="N98" s="109">
        <v>1</v>
      </c>
      <c r="O98" s="86">
        <v>4</v>
      </c>
      <c r="P98" s="86"/>
      <c r="Q98" s="86"/>
      <c r="R98" s="34" t="s">
        <v>563</v>
      </c>
      <c r="S98" s="34" t="s">
        <v>33</v>
      </c>
      <c r="T98" s="34" t="s">
        <v>107</v>
      </c>
      <c r="U98" s="3" t="s">
        <v>616</v>
      </c>
      <c r="V98" s="3" t="s">
        <v>617</v>
      </c>
      <c r="W98" s="3" t="s">
        <v>618</v>
      </c>
      <c r="X98">
        <v>0.21417968749999999</v>
      </c>
      <c r="Y98">
        <v>0.24994046986103</v>
      </c>
      <c r="Z98">
        <v>5.4295383879408202E-2</v>
      </c>
      <c r="AA98" t="s">
        <v>619</v>
      </c>
    </row>
    <row r="99" spans="1:28" s="52" customFormat="1">
      <c r="A99" s="48" t="s">
        <v>620</v>
      </c>
      <c r="B99" s="49">
        <v>8.1575479689261807E-2</v>
      </c>
      <c r="C99" s="48" t="s">
        <v>28</v>
      </c>
      <c r="D99" s="50">
        <v>24.651197433471602</v>
      </c>
      <c r="E99" s="48">
        <v>9.7000000000000003E-2</v>
      </c>
      <c r="F99" s="48">
        <v>1.3</v>
      </c>
      <c r="G99" s="48">
        <v>35.309613479087197</v>
      </c>
      <c r="H99" s="48">
        <v>-120.662943288308</v>
      </c>
      <c r="I99" s="48" t="s">
        <v>29</v>
      </c>
      <c r="J99" s="48">
        <v>3.0387105941772399</v>
      </c>
      <c r="K99" s="48" t="s">
        <v>30</v>
      </c>
      <c r="L99" s="48" t="s">
        <v>337</v>
      </c>
      <c r="M99" s="87" t="s">
        <v>599</v>
      </c>
      <c r="N99" s="110">
        <v>1</v>
      </c>
      <c r="O99" s="87">
        <v>5</v>
      </c>
      <c r="P99" s="87"/>
      <c r="Q99" s="87"/>
      <c r="R99" s="48" t="s">
        <v>621</v>
      </c>
      <c r="S99" s="48" t="s">
        <v>33</v>
      </c>
      <c r="T99" s="48" t="s">
        <v>107</v>
      </c>
      <c r="U99" s="51" t="s">
        <v>622</v>
      </c>
      <c r="V99" s="51" t="s">
        <v>623</v>
      </c>
      <c r="W99" s="51" t="s">
        <v>624</v>
      </c>
      <c r="X99" s="52">
        <v>0.227604166666666</v>
      </c>
      <c r="Y99" s="52">
        <v>0.32293394207954401</v>
      </c>
      <c r="Z99" s="52">
        <v>7.3957067173455598E-2</v>
      </c>
      <c r="AA99" s="52" t="s">
        <v>625</v>
      </c>
    </row>
    <row r="100" spans="1:28" s="95" customFormat="1">
      <c r="A100" s="95" t="s">
        <v>626</v>
      </c>
      <c r="B100" s="96">
        <v>0.43707663151130699</v>
      </c>
      <c r="C100" s="96" t="s">
        <v>28</v>
      </c>
      <c r="D100" s="97">
        <v>19.983575820922798</v>
      </c>
      <c r="E100" s="95">
        <v>0.45300000000000001</v>
      </c>
      <c r="F100" s="95">
        <v>18.7</v>
      </c>
      <c r="G100" s="95">
        <v>35.310455511632803</v>
      </c>
      <c r="H100" s="95">
        <v>-120.662588711623</v>
      </c>
      <c r="I100" s="95" t="s">
        <v>627</v>
      </c>
      <c r="K100" s="95" t="s">
        <v>30</v>
      </c>
      <c r="L100" s="95" t="s">
        <v>628</v>
      </c>
      <c r="M100" s="98"/>
      <c r="N100" s="111"/>
      <c r="O100" s="98"/>
      <c r="P100" s="98" t="s">
        <v>629</v>
      </c>
      <c r="Q100" s="98"/>
      <c r="R100" s="95">
        <v>1.1000000000000001</v>
      </c>
      <c r="S100" s="95" t="s">
        <v>33</v>
      </c>
      <c r="T100" s="95" t="s">
        <v>78</v>
      </c>
      <c r="U100" s="99" t="s">
        <v>630</v>
      </c>
      <c r="V100" s="99" t="s">
        <v>631</v>
      </c>
      <c r="AA100" s="95" t="s">
        <v>632</v>
      </c>
    </row>
    <row r="101" spans="1:28" s="11" customFormat="1">
      <c r="A101" s="11" t="s">
        <v>633</v>
      </c>
      <c r="B101" s="12">
        <v>0.84838415385486798</v>
      </c>
      <c r="C101" s="12" t="s">
        <v>28</v>
      </c>
      <c r="D101" s="13">
        <v>23.091753005981399</v>
      </c>
      <c r="E101" s="11">
        <v>0.84299999999999997</v>
      </c>
      <c r="F101" s="11">
        <v>22.3</v>
      </c>
      <c r="G101" s="11">
        <v>35.310358035106503</v>
      </c>
      <c r="H101" s="11">
        <v>-120.66251259158</v>
      </c>
      <c r="I101" s="11" t="s">
        <v>627</v>
      </c>
      <c r="K101" s="11" t="s">
        <v>30</v>
      </c>
      <c r="L101" s="11" t="s">
        <v>628</v>
      </c>
      <c r="M101" s="79">
        <v>1</v>
      </c>
      <c r="N101" s="102">
        <v>12</v>
      </c>
      <c r="O101" s="79">
        <v>1</v>
      </c>
      <c r="P101" s="79" t="s">
        <v>629</v>
      </c>
      <c r="Q101" s="79"/>
      <c r="R101" s="11" t="s">
        <v>634</v>
      </c>
      <c r="S101" s="11" t="s">
        <v>33</v>
      </c>
      <c r="T101" s="11" t="s">
        <v>34</v>
      </c>
      <c r="U101" s="47" t="s">
        <v>635</v>
      </c>
      <c r="V101" s="47" t="s">
        <v>631</v>
      </c>
      <c r="AA101" s="11" t="s">
        <v>636</v>
      </c>
    </row>
    <row r="102" spans="1:28" s="11" customFormat="1">
      <c r="A102" s="11" t="s">
        <v>637</v>
      </c>
      <c r="B102" s="12">
        <v>8.5372110647687405E-2</v>
      </c>
      <c r="C102" s="11" t="s">
        <v>28</v>
      </c>
      <c r="D102" s="13">
        <v>5.95173835754394</v>
      </c>
      <c r="E102" s="11">
        <v>9.4E-2</v>
      </c>
      <c r="F102" s="11">
        <v>6</v>
      </c>
      <c r="G102" s="11">
        <v>35.310504835553303</v>
      </c>
      <c r="H102" s="11">
        <v>-120.662446365804</v>
      </c>
      <c r="I102" s="11" t="s">
        <v>627</v>
      </c>
      <c r="K102" s="11" t="s">
        <v>30</v>
      </c>
      <c r="L102" s="11" t="s">
        <v>628</v>
      </c>
      <c r="M102" s="79">
        <v>1</v>
      </c>
      <c r="N102" s="102">
        <v>6</v>
      </c>
      <c r="O102" s="79">
        <v>1</v>
      </c>
      <c r="P102" s="79" t="s">
        <v>629</v>
      </c>
      <c r="Q102" s="79"/>
      <c r="R102" s="11" t="s">
        <v>638</v>
      </c>
      <c r="S102" s="11" t="s">
        <v>33</v>
      </c>
      <c r="T102" s="11" t="s">
        <v>34</v>
      </c>
      <c r="U102" s="94" t="s">
        <v>639</v>
      </c>
      <c r="V102" s="94" t="s">
        <v>640</v>
      </c>
      <c r="W102" s="94"/>
      <c r="AA102" s="11" t="s">
        <v>641</v>
      </c>
    </row>
    <row r="103" spans="1:28" s="11" customFormat="1">
      <c r="A103" s="11" t="s">
        <v>642</v>
      </c>
      <c r="B103" s="12">
        <v>0.11369289256545199</v>
      </c>
      <c r="C103" s="12" t="s">
        <v>28</v>
      </c>
      <c r="D103" s="13">
        <v>8.9318418502807599</v>
      </c>
      <c r="G103" s="11">
        <v>35.310513270145101</v>
      </c>
      <c r="H103" s="11">
        <v>-120.662419736411</v>
      </c>
      <c r="I103" s="11" t="s">
        <v>627</v>
      </c>
      <c r="K103" s="11" t="s">
        <v>30</v>
      </c>
      <c r="L103" s="11" t="s">
        <v>628</v>
      </c>
      <c r="M103" s="129">
        <v>1</v>
      </c>
      <c r="N103" s="112">
        <v>13</v>
      </c>
      <c r="O103" s="79">
        <v>1</v>
      </c>
      <c r="P103" s="79" t="s">
        <v>629</v>
      </c>
      <c r="Q103" s="79"/>
      <c r="S103" s="11" t="s">
        <v>33</v>
      </c>
      <c r="T103" s="11" t="s">
        <v>34</v>
      </c>
      <c r="U103" s="47" t="s">
        <v>643</v>
      </c>
      <c r="V103" s="47" t="s">
        <v>644</v>
      </c>
      <c r="AA103" s="11" t="s">
        <v>645</v>
      </c>
    </row>
    <row r="104" spans="1:28" s="11" customFormat="1">
      <c r="A104" s="11" t="s">
        <v>646</v>
      </c>
      <c r="B104" s="12">
        <v>0.13882808641410199</v>
      </c>
      <c r="C104" s="12" t="s">
        <v>28</v>
      </c>
      <c r="D104" s="13">
        <v>8.4683818817138601</v>
      </c>
      <c r="G104" s="11">
        <v>35.310527863770602</v>
      </c>
      <c r="H104" s="11">
        <v>-120.662394061247</v>
      </c>
      <c r="I104" s="11" t="s">
        <v>627</v>
      </c>
      <c r="K104" s="11" t="s">
        <v>30</v>
      </c>
      <c r="L104" s="11" t="s">
        <v>628</v>
      </c>
      <c r="M104" s="129">
        <v>1</v>
      </c>
      <c r="N104" s="112">
        <v>14</v>
      </c>
      <c r="O104" s="79">
        <v>1</v>
      </c>
      <c r="P104" s="79" t="s">
        <v>629</v>
      </c>
      <c r="Q104" s="79"/>
      <c r="S104" s="11" t="s">
        <v>33</v>
      </c>
      <c r="T104" s="11" t="s">
        <v>34</v>
      </c>
      <c r="U104" s="47" t="s">
        <v>647</v>
      </c>
      <c r="V104" s="47" t="s">
        <v>648</v>
      </c>
      <c r="AA104" s="11" t="s">
        <v>649</v>
      </c>
    </row>
    <row r="105" spans="1:28">
      <c r="A105" s="40" t="s">
        <v>650</v>
      </c>
      <c r="B105" s="41">
        <v>0.11790148850241799</v>
      </c>
      <c r="C105" s="41" t="s">
        <v>28</v>
      </c>
      <c r="D105" s="42">
        <v>6.8544778823852504</v>
      </c>
      <c r="E105" s="40">
        <v>0.13500000000000001</v>
      </c>
      <c r="F105" s="40">
        <v>6.7</v>
      </c>
      <c r="G105" s="40">
        <v>35.3103012592033</v>
      </c>
      <c r="H105" s="40">
        <v>-120.66258197096001</v>
      </c>
      <c r="I105" s="40" t="s">
        <v>627</v>
      </c>
      <c r="J105" s="40"/>
      <c r="K105" s="40" t="s">
        <v>30</v>
      </c>
      <c r="L105" s="40" t="s">
        <v>628</v>
      </c>
      <c r="M105" s="88">
        <v>9</v>
      </c>
      <c r="N105" s="100">
        <v>1</v>
      </c>
      <c r="O105" s="78">
        <v>1</v>
      </c>
      <c r="P105" s="78" t="s">
        <v>629</v>
      </c>
      <c r="R105" s="44" t="s">
        <v>651</v>
      </c>
      <c r="S105" s="40" t="s">
        <v>33</v>
      </c>
      <c r="T105" s="40" t="s">
        <v>652</v>
      </c>
      <c r="U105" s="43" t="s">
        <v>653</v>
      </c>
      <c r="V105" s="43" t="s">
        <v>654</v>
      </c>
      <c r="W105" s="40"/>
      <c r="X105" s="40"/>
      <c r="Y105" s="40"/>
      <c r="AA105" s="40" t="s">
        <v>655</v>
      </c>
      <c r="AB105" s="40"/>
    </row>
    <row r="106" spans="1:28">
      <c r="A106" s="40" t="s">
        <v>656</v>
      </c>
      <c r="B106" s="41">
        <v>0.138425886027918</v>
      </c>
      <c r="C106" s="41" t="s">
        <v>28</v>
      </c>
      <c r="D106" s="42">
        <v>1.3332841396331701</v>
      </c>
      <c r="E106" s="40">
        <v>0.188999999999999</v>
      </c>
      <c r="F106" s="40">
        <v>1.3</v>
      </c>
      <c r="G106" s="40">
        <v>35.310318765614703</v>
      </c>
      <c r="H106" s="40">
        <v>-120.662625116079</v>
      </c>
      <c r="I106" s="40" t="s">
        <v>627</v>
      </c>
      <c r="J106" s="40"/>
      <c r="K106" s="40" t="s">
        <v>30</v>
      </c>
      <c r="L106" s="40" t="s">
        <v>628</v>
      </c>
      <c r="M106" s="88">
        <v>9</v>
      </c>
      <c r="N106" s="100">
        <v>1</v>
      </c>
      <c r="O106" s="78">
        <v>2</v>
      </c>
      <c r="P106" s="78" t="s">
        <v>629</v>
      </c>
      <c r="R106" s="40" t="s">
        <v>657</v>
      </c>
      <c r="S106" s="40" t="s">
        <v>33</v>
      </c>
      <c r="T106" s="40" t="s">
        <v>652</v>
      </c>
      <c r="U106" s="43" t="s">
        <v>658</v>
      </c>
      <c r="V106" s="43" t="s">
        <v>659</v>
      </c>
      <c r="W106" s="40"/>
      <c r="X106" s="40"/>
      <c r="Y106" s="40"/>
      <c r="AA106" s="40" t="s">
        <v>660</v>
      </c>
      <c r="AB106" s="40"/>
    </row>
    <row r="107" spans="1:28">
      <c r="A107" s="40" t="s">
        <v>661</v>
      </c>
      <c r="B107" s="41">
        <v>0.10576433175625399</v>
      </c>
      <c r="C107" s="41" t="s">
        <v>28</v>
      </c>
      <c r="D107" s="42">
        <v>1.4054316282272299</v>
      </c>
      <c r="E107" s="40">
        <v>0.121</v>
      </c>
      <c r="F107" s="40">
        <v>1.3</v>
      </c>
      <c r="G107" s="40">
        <v>35.310322482220798</v>
      </c>
      <c r="H107" s="40">
        <v>-120.662613024935</v>
      </c>
      <c r="I107" s="40" t="s">
        <v>627</v>
      </c>
      <c r="J107" s="40"/>
      <c r="K107" s="40" t="s">
        <v>30</v>
      </c>
      <c r="L107" s="40" t="s">
        <v>628</v>
      </c>
      <c r="M107" s="88">
        <v>9</v>
      </c>
      <c r="N107" s="100">
        <v>1</v>
      </c>
      <c r="O107" s="78">
        <v>3</v>
      </c>
      <c r="P107" s="78" t="s">
        <v>629</v>
      </c>
      <c r="R107" s="40">
        <v>1.3</v>
      </c>
      <c r="S107" s="40" t="s">
        <v>33</v>
      </c>
      <c r="T107" s="40" t="s">
        <v>652</v>
      </c>
      <c r="U107" s="43" t="s">
        <v>662</v>
      </c>
      <c r="V107" s="43" t="s">
        <v>663</v>
      </c>
      <c r="W107" s="40"/>
      <c r="X107" s="40"/>
      <c r="Y107" s="40"/>
      <c r="AA107" s="40" t="s">
        <v>664</v>
      </c>
      <c r="AB107" s="40"/>
    </row>
    <row r="108" spans="1:28">
      <c r="A108" s="40" t="s">
        <v>665</v>
      </c>
      <c r="B108" s="41">
        <v>0.10219655730508399</v>
      </c>
      <c r="C108" s="41" t="s">
        <v>28</v>
      </c>
      <c r="D108" s="42">
        <v>1.31787741184234</v>
      </c>
      <c r="E108" s="40">
        <v>0.113</v>
      </c>
      <c r="F108" s="40">
        <v>1.3</v>
      </c>
      <c r="G108" s="40">
        <v>35.310327222024398</v>
      </c>
      <c r="H108" s="40">
        <v>-120.662606324496</v>
      </c>
      <c r="I108" s="40" t="s">
        <v>627</v>
      </c>
      <c r="J108" s="40"/>
      <c r="K108" s="40" t="s">
        <v>30</v>
      </c>
      <c r="L108" s="40" t="s">
        <v>628</v>
      </c>
      <c r="M108" s="88">
        <v>9</v>
      </c>
      <c r="N108" s="100">
        <v>1</v>
      </c>
      <c r="O108" s="78">
        <v>4</v>
      </c>
      <c r="P108" s="78" t="s">
        <v>629</v>
      </c>
      <c r="R108" s="40">
        <v>1.4</v>
      </c>
      <c r="S108" s="40" t="s">
        <v>33</v>
      </c>
      <c r="T108" s="40" t="s">
        <v>652</v>
      </c>
      <c r="U108" s="43" t="s">
        <v>666</v>
      </c>
      <c r="V108" s="43" t="s">
        <v>667</v>
      </c>
      <c r="W108" s="40"/>
      <c r="X108" s="40"/>
      <c r="Y108" s="40"/>
      <c r="AA108" s="40" t="s">
        <v>668</v>
      </c>
      <c r="AB108" s="40"/>
    </row>
    <row r="109" spans="1:28">
      <c r="A109" s="40" t="s">
        <v>669</v>
      </c>
      <c r="B109" s="41">
        <v>0.152856812204655</v>
      </c>
      <c r="C109" s="41" t="s">
        <v>28</v>
      </c>
      <c r="D109" s="42">
        <v>1.2740621566772401</v>
      </c>
      <c r="E109" s="40">
        <v>0.17499999999999999</v>
      </c>
      <c r="F109" s="40"/>
      <c r="G109" s="40">
        <v>35.310345896203202</v>
      </c>
      <c r="H109" s="40">
        <v>-120.662622028116</v>
      </c>
      <c r="I109" s="40" t="s">
        <v>627</v>
      </c>
      <c r="J109" s="40"/>
      <c r="K109" s="40" t="s">
        <v>30</v>
      </c>
      <c r="L109" s="40" t="s">
        <v>628</v>
      </c>
      <c r="M109" s="88">
        <v>9</v>
      </c>
      <c r="N109" s="100">
        <v>1</v>
      </c>
      <c r="O109" s="78">
        <v>5</v>
      </c>
      <c r="P109" s="78" t="s">
        <v>629</v>
      </c>
      <c r="R109" s="40">
        <v>1.5</v>
      </c>
      <c r="S109" s="40" t="s">
        <v>33</v>
      </c>
      <c r="T109" s="40" t="s">
        <v>652</v>
      </c>
      <c r="U109" s="43" t="s">
        <v>670</v>
      </c>
      <c r="V109" s="43" t="s">
        <v>671</v>
      </c>
      <c r="W109" s="40"/>
      <c r="X109" s="40"/>
      <c r="Y109" s="40"/>
      <c r="AA109" s="40" t="s">
        <v>672</v>
      </c>
      <c r="AB109" s="40"/>
    </row>
    <row r="110" spans="1:28">
      <c r="A110" s="40" t="s">
        <v>673</v>
      </c>
      <c r="B110" s="41">
        <v>0.114945277349508</v>
      </c>
      <c r="C110" s="41" t="s">
        <v>28</v>
      </c>
      <c r="D110" s="42">
        <v>1.2457115650177</v>
      </c>
      <c r="E110" s="40">
        <v>0.13400000000000001</v>
      </c>
      <c r="F110" s="40"/>
      <c r="G110" s="40">
        <v>35.310324282052299</v>
      </c>
      <c r="H110" s="40">
        <v>-120.66259000154599</v>
      </c>
      <c r="I110" s="40" t="s">
        <v>627</v>
      </c>
      <c r="J110" s="40"/>
      <c r="K110" s="40" t="s">
        <v>30</v>
      </c>
      <c r="L110" s="40" t="s">
        <v>628</v>
      </c>
      <c r="M110" s="88">
        <v>9</v>
      </c>
      <c r="N110" s="100">
        <v>1</v>
      </c>
      <c r="O110" s="78">
        <v>6</v>
      </c>
      <c r="P110" s="78" t="s">
        <v>629</v>
      </c>
      <c r="R110" s="40">
        <v>1.6</v>
      </c>
      <c r="S110" s="40" t="s">
        <v>33</v>
      </c>
      <c r="T110" s="40" t="s">
        <v>652</v>
      </c>
      <c r="U110" s="43" t="s">
        <v>674</v>
      </c>
      <c r="V110" s="43" t="s">
        <v>675</v>
      </c>
      <c r="W110" s="40"/>
      <c r="X110" s="40"/>
      <c r="Y110" s="40"/>
      <c r="AA110" s="40" t="s">
        <v>676</v>
      </c>
      <c r="AB110" s="40"/>
    </row>
    <row r="111" spans="1:28">
      <c r="A111" s="40" t="s">
        <v>677</v>
      </c>
      <c r="B111" s="41">
        <v>9.5586952928373201E-2</v>
      </c>
      <c r="C111" s="41" t="s">
        <v>28</v>
      </c>
      <c r="D111" s="42">
        <v>1.2906967401504501</v>
      </c>
      <c r="E111" s="40">
        <v>0.10099999999999899</v>
      </c>
      <c r="F111" s="40"/>
      <c r="G111" s="40">
        <v>35.3103242651949</v>
      </c>
      <c r="H111" s="40">
        <v>-120.66258296654</v>
      </c>
      <c r="I111" s="40" t="s">
        <v>627</v>
      </c>
      <c r="J111" s="40"/>
      <c r="K111" s="40" t="s">
        <v>30</v>
      </c>
      <c r="L111" s="40" t="s">
        <v>628</v>
      </c>
      <c r="M111" s="88">
        <v>9</v>
      </c>
      <c r="N111" s="100">
        <v>1</v>
      </c>
      <c r="O111" s="78">
        <v>7</v>
      </c>
      <c r="P111" s="78" t="s">
        <v>629</v>
      </c>
      <c r="R111" s="40">
        <v>1.7</v>
      </c>
      <c r="S111" s="40" t="s">
        <v>33</v>
      </c>
      <c r="T111" s="40" t="s">
        <v>652</v>
      </c>
      <c r="U111" s="43" t="s">
        <v>678</v>
      </c>
      <c r="V111" s="43" t="s">
        <v>679</v>
      </c>
      <c r="W111" s="40"/>
      <c r="X111" s="40"/>
      <c r="Y111" s="40"/>
      <c r="AA111" s="40" t="s">
        <v>680</v>
      </c>
      <c r="AB111" s="40"/>
    </row>
    <row r="112" spans="1:28">
      <c r="A112" s="40" t="s">
        <v>681</v>
      </c>
      <c r="B112" s="41">
        <v>0.25995131204782701</v>
      </c>
      <c r="C112" s="41" t="s">
        <v>28</v>
      </c>
      <c r="D112" s="42">
        <v>1.1529068946838299</v>
      </c>
      <c r="E112" s="40">
        <v>0.25700000000000001</v>
      </c>
      <c r="F112" s="40"/>
      <c r="G112" s="40">
        <v>35.310337877521697</v>
      </c>
      <c r="H112" s="40">
        <v>-120.662591493077</v>
      </c>
      <c r="I112" s="40" t="s">
        <v>627</v>
      </c>
      <c r="J112" s="40"/>
      <c r="K112" s="40" t="s">
        <v>30</v>
      </c>
      <c r="L112" s="40" t="s">
        <v>628</v>
      </c>
      <c r="M112" s="88">
        <v>9</v>
      </c>
      <c r="N112" s="100">
        <v>1</v>
      </c>
      <c r="O112" s="78">
        <v>8</v>
      </c>
      <c r="P112" s="78" t="s">
        <v>629</v>
      </c>
      <c r="R112" s="40">
        <v>1.8</v>
      </c>
      <c r="S112" s="40" t="s">
        <v>33</v>
      </c>
      <c r="T112" s="40" t="s">
        <v>652</v>
      </c>
      <c r="U112" s="43" t="s">
        <v>682</v>
      </c>
      <c r="V112" s="43" t="s">
        <v>683</v>
      </c>
      <c r="W112" s="40"/>
      <c r="X112" s="40"/>
      <c r="Y112" s="40"/>
      <c r="AA112" s="40" t="s">
        <v>684</v>
      </c>
      <c r="AB112" s="40"/>
    </row>
    <row r="113" spans="1:28">
      <c r="A113" s="40" t="s">
        <v>685</v>
      </c>
      <c r="B113" s="41">
        <v>4.2472874157386202E-2</v>
      </c>
      <c r="C113" s="41" t="s">
        <v>28</v>
      </c>
      <c r="D113" s="42">
        <v>1.3050289154052701</v>
      </c>
      <c r="E113" s="40">
        <v>6.7000000000000004E-2</v>
      </c>
      <c r="F113" s="40"/>
      <c r="G113" s="40">
        <v>35.310364765591501</v>
      </c>
      <c r="H113" s="40">
        <v>-120.662602429057</v>
      </c>
      <c r="I113" s="40" t="s">
        <v>627</v>
      </c>
      <c r="J113" s="40"/>
      <c r="K113" s="40" t="s">
        <v>30</v>
      </c>
      <c r="L113" s="40" t="s">
        <v>628</v>
      </c>
      <c r="M113" s="88">
        <v>9</v>
      </c>
      <c r="N113" s="100">
        <v>1</v>
      </c>
      <c r="O113" s="78">
        <v>9</v>
      </c>
      <c r="P113" s="78" t="s">
        <v>629</v>
      </c>
      <c r="R113" s="40">
        <v>1.9</v>
      </c>
      <c r="S113" s="40" t="s">
        <v>33</v>
      </c>
      <c r="T113" s="40" t="s">
        <v>652</v>
      </c>
      <c r="U113" s="43" t="s">
        <v>686</v>
      </c>
      <c r="V113" s="43" t="s">
        <v>687</v>
      </c>
      <c r="W113" s="40"/>
      <c r="X113" s="40"/>
      <c r="Y113" s="40"/>
      <c r="AA113" s="40" t="s">
        <v>688</v>
      </c>
      <c r="AB113" s="40"/>
    </row>
    <row r="114" spans="1:28">
      <c r="A114" s="40" t="s">
        <v>689</v>
      </c>
      <c r="B114" s="41">
        <v>6.1291658476586797E-2</v>
      </c>
      <c r="C114" s="41" t="s">
        <v>28</v>
      </c>
      <c r="D114" s="42">
        <v>1.21802234649658</v>
      </c>
      <c r="E114" s="40">
        <v>7.3999999999999996E-2</v>
      </c>
      <c r="F114" s="40"/>
      <c r="G114" s="40">
        <v>35.310282041929703</v>
      </c>
      <c r="H114" s="40">
        <v>-120.66259055347901</v>
      </c>
      <c r="I114" s="40" t="s">
        <v>627</v>
      </c>
      <c r="J114" s="40"/>
      <c r="K114" s="40" t="s">
        <v>30</v>
      </c>
      <c r="L114" s="40" t="s">
        <v>628</v>
      </c>
      <c r="M114" s="88">
        <v>9</v>
      </c>
      <c r="N114" s="100">
        <v>2</v>
      </c>
      <c r="O114" s="78">
        <v>1</v>
      </c>
      <c r="P114" s="78" t="s">
        <v>629</v>
      </c>
      <c r="R114" s="40">
        <v>2.1</v>
      </c>
      <c r="S114" s="40" t="s">
        <v>33</v>
      </c>
      <c r="T114" s="40" t="s">
        <v>652</v>
      </c>
      <c r="U114" s="43" t="s">
        <v>690</v>
      </c>
      <c r="V114" s="43" t="s">
        <v>691</v>
      </c>
      <c r="W114" s="40"/>
      <c r="X114" s="40"/>
      <c r="Y114" s="40"/>
      <c r="AA114" s="40" t="s">
        <v>692</v>
      </c>
      <c r="AB114" s="40"/>
    </row>
    <row r="115" spans="1:28">
      <c r="A115" s="40" t="s">
        <v>693</v>
      </c>
      <c r="B115" s="41">
        <v>3.2178245419722501E-2</v>
      </c>
      <c r="C115" s="41" t="s">
        <v>28</v>
      </c>
      <c r="D115" s="42">
        <v>6.0732579231262198</v>
      </c>
      <c r="E115" s="40">
        <v>5.1999999999999998E-2</v>
      </c>
      <c r="F115" s="40">
        <v>4.7</v>
      </c>
      <c r="G115" s="40">
        <v>35.310258608376401</v>
      </c>
      <c r="H115" s="40">
        <v>-120.662582601379</v>
      </c>
      <c r="I115" s="40" t="s">
        <v>627</v>
      </c>
      <c r="J115" s="40"/>
      <c r="K115" s="40" t="s">
        <v>30</v>
      </c>
      <c r="L115" s="40" t="s">
        <v>628</v>
      </c>
      <c r="M115" s="88">
        <v>9</v>
      </c>
      <c r="N115" s="100">
        <v>2</v>
      </c>
      <c r="O115" s="78">
        <v>2</v>
      </c>
      <c r="P115" s="78" t="s">
        <v>629</v>
      </c>
      <c r="R115" s="40" t="s">
        <v>694</v>
      </c>
      <c r="S115" s="40" t="s">
        <v>33</v>
      </c>
      <c r="T115" s="40" t="s">
        <v>652</v>
      </c>
      <c r="U115" s="43" t="s">
        <v>695</v>
      </c>
      <c r="V115" s="43" t="s">
        <v>696</v>
      </c>
      <c r="W115" s="40"/>
      <c r="X115" s="40"/>
      <c r="Y115" s="40"/>
      <c r="AA115" s="40" t="s">
        <v>697</v>
      </c>
      <c r="AB115" s="40"/>
    </row>
    <row r="116" spans="1:28">
      <c r="A116" s="40" t="s">
        <v>698</v>
      </c>
      <c r="B116" s="41">
        <v>0.12358669644581501</v>
      </c>
      <c r="C116" s="41" t="s">
        <v>28</v>
      </c>
      <c r="D116" s="42">
        <v>1.3395348787307699</v>
      </c>
      <c r="E116" s="40">
        <v>0.14399999999999999</v>
      </c>
      <c r="F116" s="40"/>
      <c r="G116" s="40">
        <v>35.310287197631297</v>
      </c>
      <c r="H116" s="40">
        <v>-120.66258437211199</v>
      </c>
      <c r="I116" s="40" t="s">
        <v>627</v>
      </c>
      <c r="J116" s="40"/>
      <c r="K116" s="40" t="s">
        <v>30</v>
      </c>
      <c r="L116" s="40" t="s">
        <v>628</v>
      </c>
      <c r="M116" s="88">
        <v>9</v>
      </c>
      <c r="N116" s="100">
        <v>2</v>
      </c>
      <c r="O116" s="78">
        <v>3</v>
      </c>
      <c r="P116" s="78" t="s">
        <v>629</v>
      </c>
      <c r="R116" s="40">
        <v>2.2999999999999998</v>
      </c>
      <c r="S116" s="40" t="s">
        <v>33</v>
      </c>
      <c r="T116" s="40" t="s">
        <v>652</v>
      </c>
      <c r="U116" s="43" t="s">
        <v>699</v>
      </c>
      <c r="V116" s="43" t="s">
        <v>700</v>
      </c>
      <c r="W116" s="40"/>
      <c r="X116" s="40"/>
      <c r="Y116" s="40"/>
      <c r="AA116" s="40" t="s">
        <v>701</v>
      </c>
      <c r="AB116" s="40"/>
    </row>
    <row r="117" spans="1:28">
      <c r="A117" s="40" t="s">
        <v>702</v>
      </c>
      <c r="B117" s="41">
        <v>8.7608834079553902E-2</v>
      </c>
      <c r="C117" s="41" t="s">
        <v>28</v>
      </c>
      <c r="D117" s="42">
        <v>1.2509238719940099</v>
      </c>
      <c r="E117" s="40">
        <v>0.105</v>
      </c>
      <c r="F117" s="40"/>
      <c r="G117" s="40">
        <v>35.310283047512499</v>
      </c>
      <c r="H117" s="40">
        <v>-120.662567860857</v>
      </c>
      <c r="I117" s="40" t="s">
        <v>627</v>
      </c>
      <c r="J117" s="40"/>
      <c r="K117" s="40" t="s">
        <v>30</v>
      </c>
      <c r="L117" s="40" t="s">
        <v>628</v>
      </c>
      <c r="M117" s="88">
        <v>9</v>
      </c>
      <c r="N117" s="100">
        <v>2</v>
      </c>
      <c r="O117" s="78">
        <v>4</v>
      </c>
      <c r="P117" s="78" t="s">
        <v>629</v>
      </c>
      <c r="R117" s="40" t="s">
        <v>703</v>
      </c>
      <c r="S117" s="40" t="s">
        <v>33</v>
      </c>
      <c r="T117" s="40" t="s">
        <v>652</v>
      </c>
      <c r="U117" s="43" t="s">
        <v>704</v>
      </c>
      <c r="V117" s="43" t="s">
        <v>705</v>
      </c>
      <c r="W117" s="40"/>
      <c r="X117" s="40"/>
      <c r="Y117" s="40"/>
      <c r="AA117" s="40" t="s">
        <v>706</v>
      </c>
      <c r="AB117" s="40"/>
    </row>
    <row r="118" spans="1:28">
      <c r="A118" s="40" t="s">
        <v>707</v>
      </c>
      <c r="B118" s="41">
        <v>7.7862463136570401E-2</v>
      </c>
      <c r="C118" s="41" t="s">
        <v>28</v>
      </c>
      <c r="D118" s="42">
        <v>1.27956354618072</v>
      </c>
      <c r="E118" s="40">
        <v>7.9000000000000001E-2</v>
      </c>
      <c r="F118" s="40"/>
      <c r="G118" s="40">
        <v>35.310304351183902</v>
      </c>
      <c r="H118" s="40">
        <v>-120.662586400397</v>
      </c>
      <c r="I118" s="40" t="s">
        <v>627</v>
      </c>
      <c r="J118" s="40"/>
      <c r="K118" s="40" t="s">
        <v>30</v>
      </c>
      <c r="L118" s="40" t="s">
        <v>628</v>
      </c>
      <c r="M118" s="88">
        <v>9</v>
      </c>
      <c r="N118" s="100">
        <v>2</v>
      </c>
      <c r="O118" s="78">
        <v>5</v>
      </c>
      <c r="P118" s="78" t="s">
        <v>629</v>
      </c>
      <c r="R118" s="40">
        <v>2.5</v>
      </c>
      <c r="S118" s="40" t="s">
        <v>33</v>
      </c>
      <c r="T118" s="40" t="s">
        <v>652</v>
      </c>
      <c r="U118" s="43" t="s">
        <v>708</v>
      </c>
      <c r="V118" s="43" t="s">
        <v>709</v>
      </c>
      <c r="W118" s="40"/>
      <c r="X118" s="40"/>
      <c r="Y118" s="40"/>
      <c r="AA118" s="40" t="s">
        <v>710</v>
      </c>
      <c r="AB118" s="40"/>
    </row>
    <row r="119" spans="1:28" s="77" customFormat="1">
      <c r="A119" s="136" t="s">
        <v>711</v>
      </c>
      <c r="B119" s="137">
        <v>0.102033006110127</v>
      </c>
      <c r="C119" s="137" t="s">
        <v>28</v>
      </c>
      <c r="D119" s="138">
        <v>1.2794425487518299</v>
      </c>
      <c r="E119" s="136">
        <v>0.10299999999999999</v>
      </c>
      <c r="F119" s="136"/>
      <c r="G119" s="136">
        <v>35.310292225272001</v>
      </c>
      <c r="H119" s="136">
        <v>-120.66256630010299</v>
      </c>
      <c r="I119" s="136" t="s">
        <v>627</v>
      </c>
      <c r="J119" s="136"/>
      <c r="K119" s="136" t="s">
        <v>30</v>
      </c>
      <c r="L119" s="136" t="s">
        <v>628</v>
      </c>
      <c r="M119" s="92">
        <v>9</v>
      </c>
      <c r="N119" s="116">
        <v>2</v>
      </c>
      <c r="O119" s="139">
        <v>6</v>
      </c>
      <c r="P119" s="139" t="s">
        <v>629</v>
      </c>
      <c r="Q119" s="139"/>
      <c r="R119" s="136">
        <v>2.6</v>
      </c>
      <c r="S119" s="136" t="s">
        <v>33</v>
      </c>
      <c r="T119" s="136" t="s">
        <v>652</v>
      </c>
      <c r="U119" s="140" t="s">
        <v>712</v>
      </c>
      <c r="V119" s="140" t="s">
        <v>713</v>
      </c>
      <c r="W119" s="136"/>
      <c r="X119" s="136"/>
      <c r="Y119" s="136"/>
      <c r="AA119" s="136" t="s">
        <v>714</v>
      </c>
      <c r="AB119" s="136"/>
    </row>
    <row r="120" spans="1:28" hidden="1">
      <c r="A120" s="15" t="s">
        <v>715</v>
      </c>
      <c r="B120" s="16">
        <v>6.3318345056488395E-2</v>
      </c>
      <c r="C120" s="16" t="s">
        <v>28</v>
      </c>
      <c r="D120" s="17">
        <v>4.0953340530395499</v>
      </c>
      <c r="E120" s="15">
        <v>7.0000000000000007E-2</v>
      </c>
      <c r="F120" s="15">
        <v>3.8</v>
      </c>
      <c r="G120" s="15">
        <v>35.307505633715003</v>
      </c>
      <c r="H120" s="15">
        <v>-120.658907835078</v>
      </c>
      <c r="I120" s="15" t="s">
        <v>627</v>
      </c>
      <c r="J120" s="15"/>
      <c r="K120" s="15" t="s">
        <v>30</v>
      </c>
      <c r="L120" s="15" t="s">
        <v>628</v>
      </c>
      <c r="M120" s="88"/>
      <c r="N120" s="100"/>
      <c r="P120" s="88" t="s">
        <v>716</v>
      </c>
      <c r="Q120" s="88"/>
      <c r="R120" s="15"/>
      <c r="S120" s="15" t="s">
        <v>33</v>
      </c>
      <c r="T120" s="15" t="s">
        <v>717</v>
      </c>
      <c r="U120" s="45" t="s">
        <v>718</v>
      </c>
      <c r="V120" s="45" t="s">
        <v>719</v>
      </c>
      <c r="W120" s="15"/>
      <c r="X120" s="15"/>
      <c r="Y120" s="15"/>
      <c r="AA120" s="15" t="s">
        <v>720</v>
      </c>
      <c r="AB120" s="15"/>
    </row>
    <row r="121" spans="1:28" hidden="1">
      <c r="A121" s="15" t="s">
        <v>721</v>
      </c>
      <c r="B121" s="16">
        <v>0.18852008176889601</v>
      </c>
      <c r="C121" s="16" t="s">
        <v>28</v>
      </c>
      <c r="D121" s="17">
        <v>8.8041305541992099</v>
      </c>
      <c r="E121" s="15">
        <v>0.20300000000000001</v>
      </c>
      <c r="F121" s="15">
        <v>7.7</v>
      </c>
      <c r="G121" s="15">
        <v>35.307496245983302</v>
      </c>
      <c r="H121" s="15">
        <v>-120.65846049238</v>
      </c>
      <c r="I121" s="15" t="s">
        <v>627</v>
      </c>
      <c r="J121" s="15"/>
      <c r="K121" s="15" t="s">
        <v>30</v>
      </c>
      <c r="L121" s="15" t="s">
        <v>628</v>
      </c>
      <c r="M121" s="88"/>
      <c r="N121" s="100"/>
      <c r="P121" s="88" t="s">
        <v>716</v>
      </c>
      <c r="Q121" s="88"/>
      <c r="R121" s="15"/>
      <c r="S121" s="15" t="s">
        <v>33</v>
      </c>
      <c r="T121" s="15" t="s">
        <v>722</v>
      </c>
      <c r="U121" s="45" t="s">
        <v>723</v>
      </c>
      <c r="V121" s="45" t="s">
        <v>724</v>
      </c>
      <c r="W121" s="15"/>
      <c r="X121" s="15"/>
      <c r="Y121" s="15"/>
      <c r="AA121" s="15" t="s">
        <v>725</v>
      </c>
      <c r="AB121" s="15"/>
    </row>
    <row r="122" spans="1:28" s="22" customFormat="1">
      <c r="A122" s="22" t="s">
        <v>726</v>
      </c>
      <c r="B122" s="23">
        <v>0.13004179095378199</v>
      </c>
      <c r="C122" s="23" t="s">
        <v>28</v>
      </c>
      <c r="D122" s="24">
        <v>9.8815746307372994</v>
      </c>
      <c r="E122" s="22">
        <v>0.161</v>
      </c>
      <c r="F122" s="22">
        <v>10.8</v>
      </c>
      <c r="G122" s="22">
        <v>35.310824196818501</v>
      </c>
      <c r="H122" s="22">
        <v>-120.662859063707</v>
      </c>
      <c r="I122" s="22" t="s">
        <v>627</v>
      </c>
      <c r="K122" s="22" t="s">
        <v>30</v>
      </c>
      <c r="L122" s="22" t="s">
        <v>628</v>
      </c>
      <c r="M122" s="141">
        <v>10</v>
      </c>
      <c r="N122" s="142">
        <v>1</v>
      </c>
      <c r="O122" s="82">
        <v>1</v>
      </c>
      <c r="P122" s="141">
        <v>1</v>
      </c>
      <c r="Q122" s="141"/>
      <c r="R122" s="22" t="s">
        <v>727</v>
      </c>
      <c r="S122" s="22" t="s">
        <v>33</v>
      </c>
      <c r="T122" s="22" t="s">
        <v>728</v>
      </c>
      <c r="U122" s="46" t="s">
        <v>729</v>
      </c>
      <c r="V122" s="46" t="s">
        <v>730</v>
      </c>
      <c r="AA122" s="22" t="s">
        <v>731</v>
      </c>
    </row>
    <row r="123" spans="1:28" s="22" customFormat="1">
      <c r="A123" s="22" t="s">
        <v>732</v>
      </c>
      <c r="B123" s="23">
        <v>0.11198820801561001</v>
      </c>
      <c r="C123" s="23" t="s">
        <v>28</v>
      </c>
      <c r="D123" s="24">
        <v>1.2933545112609801</v>
      </c>
      <c r="E123" s="22">
        <v>0.122</v>
      </c>
      <c r="F123" s="22">
        <v>1.3</v>
      </c>
      <c r="G123" s="22">
        <v>35.310829100231899</v>
      </c>
      <c r="H123" s="22">
        <v>-120.66289125021601</v>
      </c>
      <c r="I123" s="22" t="s">
        <v>627</v>
      </c>
      <c r="K123" s="22" t="s">
        <v>30</v>
      </c>
      <c r="L123" s="22" t="s">
        <v>628</v>
      </c>
      <c r="M123" s="141">
        <v>10</v>
      </c>
      <c r="N123" s="142">
        <v>1</v>
      </c>
      <c r="O123" s="82">
        <v>2</v>
      </c>
      <c r="P123" s="141">
        <v>1</v>
      </c>
      <c r="Q123" s="141"/>
      <c r="R123" s="22" t="s">
        <v>733</v>
      </c>
      <c r="S123" s="22" t="s">
        <v>33</v>
      </c>
      <c r="T123" s="22" t="s">
        <v>728</v>
      </c>
      <c r="U123" s="46" t="s">
        <v>734</v>
      </c>
      <c r="V123" s="46" t="s">
        <v>735</v>
      </c>
      <c r="AA123" s="22" t="s">
        <v>736</v>
      </c>
    </row>
    <row r="124" spans="1:28" s="22" customFormat="1">
      <c r="A124" s="22" t="s">
        <v>737</v>
      </c>
      <c r="B124" s="23">
        <v>5.2926415848481602E-2</v>
      </c>
      <c r="C124" s="23" t="s">
        <v>28</v>
      </c>
      <c r="D124" s="24">
        <v>1.2927340269088701</v>
      </c>
      <c r="E124" s="22">
        <v>5.7000000000000002E-2</v>
      </c>
      <c r="F124" s="22">
        <v>1.3</v>
      </c>
      <c r="G124" s="22">
        <v>35.310810953411497</v>
      </c>
      <c r="H124" s="22">
        <v>-120.662899380662</v>
      </c>
      <c r="I124" s="22" t="s">
        <v>627</v>
      </c>
      <c r="K124" s="22" t="s">
        <v>30</v>
      </c>
      <c r="L124" s="22" t="s">
        <v>628</v>
      </c>
      <c r="M124" s="141">
        <v>10</v>
      </c>
      <c r="N124" s="142">
        <v>1</v>
      </c>
      <c r="O124" s="82">
        <v>3</v>
      </c>
      <c r="P124" s="141">
        <v>1</v>
      </c>
      <c r="Q124" s="141"/>
      <c r="R124" s="22" t="s">
        <v>738</v>
      </c>
      <c r="S124" s="22" t="s">
        <v>33</v>
      </c>
      <c r="T124" s="22" t="s">
        <v>728</v>
      </c>
      <c r="U124" s="46" t="s">
        <v>739</v>
      </c>
      <c r="V124" s="46" t="s">
        <v>740</v>
      </c>
      <c r="AA124" s="22" t="s">
        <v>741</v>
      </c>
    </row>
    <row r="125" spans="1:28" s="22" customFormat="1">
      <c r="A125" s="22" t="s">
        <v>742</v>
      </c>
      <c r="B125" s="23">
        <v>9.9103543181239304E-2</v>
      </c>
      <c r="C125" s="23" t="s">
        <v>28</v>
      </c>
      <c r="D125" s="24">
        <v>1.23294305801391</v>
      </c>
      <c r="E125" s="22">
        <v>0.111999999999999</v>
      </c>
      <c r="F125" s="22">
        <v>1.3</v>
      </c>
      <c r="G125" s="22">
        <v>35.310845654490599</v>
      </c>
      <c r="H125" s="22">
        <v>-120.66288823273</v>
      </c>
      <c r="I125" s="22" t="s">
        <v>627</v>
      </c>
      <c r="K125" s="22" t="s">
        <v>30</v>
      </c>
      <c r="L125" s="22" t="s">
        <v>628</v>
      </c>
      <c r="M125" s="141">
        <v>10</v>
      </c>
      <c r="N125" s="142">
        <v>1</v>
      </c>
      <c r="O125" s="82">
        <v>4</v>
      </c>
      <c r="P125" s="141">
        <v>1</v>
      </c>
      <c r="Q125" s="141"/>
      <c r="R125" s="22" t="s">
        <v>743</v>
      </c>
      <c r="S125" s="22" t="s">
        <v>33</v>
      </c>
      <c r="T125" s="22" t="s">
        <v>728</v>
      </c>
      <c r="U125" s="46" t="s">
        <v>744</v>
      </c>
      <c r="V125" s="46" t="s">
        <v>745</v>
      </c>
      <c r="AA125" s="22" t="s">
        <v>746</v>
      </c>
    </row>
    <row r="126" spans="1:28" s="22" customFormat="1">
      <c r="A126" s="22" t="s">
        <v>747</v>
      </c>
      <c r="B126" s="23">
        <v>9.57902884770164E-2</v>
      </c>
      <c r="C126" s="23" t="s">
        <v>28</v>
      </c>
      <c r="D126" s="24">
        <v>0.92759710550308205</v>
      </c>
      <c r="E126" s="22">
        <v>0.109</v>
      </c>
      <c r="F126" s="22">
        <v>1.3</v>
      </c>
      <c r="G126" s="22">
        <v>35.310875577885</v>
      </c>
      <c r="H126" s="22">
        <v>-120.662938524149</v>
      </c>
      <c r="I126" s="22" t="s">
        <v>627</v>
      </c>
      <c r="K126" s="22" t="s">
        <v>30</v>
      </c>
      <c r="L126" s="22" t="s">
        <v>628</v>
      </c>
      <c r="M126" s="141">
        <v>10</v>
      </c>
      <c r="N126" s="142">
        <v>1</v>
      </c>
      <c r="O126" s="82">
        <v>5</v>
      </c>
      <c r="P126" s="141">
        <v>1</v>
      </c>
      <c r="Q126" s="141"/>
      <c r="R126" s="22" t="s">
        <v>748</v>
      </c>
      <c r="S126" s="22" t="s">
        <v>33</v>
      </c>
      <c r="T126" s="22" t="s">
        <v>728</v>
      </c>
      <c r="U126" s="46" t="s">
        <v>749</v>
      </c>
      <c r="V126" s="46" t="s">
        <v>750</v>
      </c>
      <c r="AA126" s="22" t="s">
        <v>751</v>
      </c>
    </row>
    <row r="127" spans="1:28" s="22" customFormat="1">
      <c r="A127" s="22" t="s">
        <v>752</v>
      </c>
      <c r="B127" s="23">
        <v>8.4025711512090595E-2</v>
      </c>
      <c r="C127" s="23" t="s">
        <v>28</v>
      </c>
      <c r="D127" s="24">
        <v>1.1133282184600799</v>
      </c>
      <c r="E127" s="22">
        <v>8.7999999999999995E-2</v>
      </c>
      <c r="F127" s="22">
        <v>1.3</v>
      </c>
      <c r="G127" s="22">
        <v>35.310847372780799</v>
      </c>
      <c r="H127" s="22">
        <v>-120.66280935902201</v>
      </c>
      <c r="I127" s="22" t="s">
        <v>627</v>
      </c>
      <c r="K127" s="22" t="s">
        <v>30</v>
      </c>
      <c r="L127" s="22" t="s">
        <v>628</v>
      </c>
      <c r="M127" s="141">
        <v>10</v>
      </c>
      <c r="N127" s="142">
        <v>1</v>
      </c>
      <c r="O127" s="82">
        <v>6</v>
      </c>
      <c r="P127" s="141">
        <v>1</v>
      </c>
      <c r="Q127" s="141"/>
      <c r="R127" s="22" t="s">
        <v>753</v>
      </c>
      <c r="S127" s="22" t="s">
        <v>33</v>
      </c>
      <c r="T127" s="22" t="s">
        <v>728</v>
      </c>
      <c r="U127" s="46" t="s">
        <v>754</v>
      </c>
      <c r="V127" s="46" t="s">
        <v>755</v>
      </c>
      <c r="AA127" s="22" t="s">
        <v>756</v>
      </c>
    </row>
    <row r="128" spans="1:28" s="22" customFormat="1">
      <c r="A128" s="22" t="s">
        <v>757</v>
      </c>
      <c r="B128" s="23">
        <v>0.102954639943221</v>
      </c>
      <c r="C128" s="23" t="s">
        <v>28</v>
      </c>
      <c r="D128" s="24">
        <v>1.1891084909439</v>
      </c>
      <c r="E128" s="22">
        <v>0.105</v>
      </c>
      <c r="F128" s="22">
        <v>1.3</v>
      </c>
      <c r="G128" s="22">
        <v>35.310869752462303</v>
      </c>
      <c r="H128" s="22">
        <v>-120.662832660712</v>
      </c>
      <c r="I128" s="22" t="s">
        <v>627</v>
      </c>
      <c r="K128" s="22" t="s">
        <v>30</v>
      </c>
      <c r="L128" s="22" t="s">
        <v>628</v>
      </c>
      <c r="M128" s="141">
        <v>10</v>
      </c>
      <c r="N128" s="142">
        <v>1</v>
      </c>
      <c r="O128" s="82">
        <v>7</v>
      </c>
      <c r="P128" s="141">
        <v>1</v>
      </c>
      <c r="Q128" s="141"/>
      <c r="R128" s="22" t="s">
        <v>758</v>
      </c>
      <c r="S128" s="22" t="s">
        <v>33</v>
      </c>
      <c r="T128" s="22" t="s">
        <v>728</v>
      </c>
      <c r="U128" s="46" t="s">
        <v>759</v>
      </c>
      <c r="V128" s="46" t="s">
        <v>760</v>
      </c>
      <c r="AA128" s="22" t="s">
        <v>761</v>
      </c>
    </row>
    <row r="129" spans="1:28" s="15" customFormat="1">
      <c r="A129" s="15" t="s">
        <v>762</v>
      </c>
      <c r="B129" s="16">
        <v>0.17142462468964201</v>
      </c>
      <c r="C129" s="16" t="s">
        <v>28</v>
      </c>
      <c r="D129" s="17">
        <v>10.6524505615234</v>
      </c>
      <c r="E129" s="15">
        <v>0.16699999999999901</v>
      </c>
      <c r="F129" s="15">
        <v>10</v>
      </c>
      <c r="G129" s="15">
        <v>35.310863256487302</v>
      </c>
      <c r="H129" s="15">
        <v>-120.66291170205901</v>
      </c>
      <c r="I129" s="15" t="s">
        <v>627</v>
      </c>
      <c r="K129" s="15" t="s">
        <v>30</v>
      </c>
      <c r="L129" s="15" t="s">
        <v>628</v>
      </c>
      <c r="M129" s="119">
        <v>11</v>
      </c>
      <c r="N129" s="118">
        <v>1</v>
      </c>
      <c r="O129" s="80">
        <v>1</v>
      </c>
      <c r="P129" s="119">
        <v>1</v>
      </c>
      <c r="Q129" s="119"/>
      <c r="R129" s="15" t="s">
        <v>763</v>
      </c>
      <c r="S129" s="15" t="s">
        <v>33</v>
      </c>
      <c r="T129" s="15" t="s">
        <v>764</v>
      </c>
      <c r="U129" s="120" t="s">
        <v>765</v>
      </c>
      <c r="V129" s="120" t="s">
        <v>766</v>
      </c>
      <c r="AA129" s="15" t="s">
        <v>767</v>
      </c>
    </row>
    <row r="130" spans="1:28" s="15" customFormat="1">
      <c r="A130" s="15" t="s">
        <v>768</v>
      </c>
      <c r="B130" s="16">
        <v>0.32065579972712399</v>
      </c>
      <c r="C130" s="16" t="s">
        <v>28</v>
      </c>
      <c r="D130" s="17">
        <v>13.2140302658081</v>
      </c>
      <c r="E130" s="15">
        <v>0.32799999999999901</v>
      </c>
      <c r="F130" s="15">
        <v>13.7</v>
      </c>
      <c r="G130" s="15">
        <v>35.310843433286301</v>
      </c>
      <c r="H130" s="15">
        <v>-120.662809023745</v>
      </c>
      <c r="I130" s="15" t="s">
        <v>627</v>
      </c>
      <c r="K130" s="15" t="s">
        <v>30</v>
      </c>
      <c r="L130" s="15" t="s">
        <v>628</v>
      </c>
      <c r="M130" s="119">
        <v>11</v>
      </c>
      <c r="N130" s="118">
        <v>2</v>
      </c>
      <c r="O130" s="80">
        <v>1</v>
      </c>
      <c r="P130" s="119">
        <v>1</v>
      </c>
      <c r="Q130" s="119"/>
      <c r="R130" s="15" t="s">
        <v>769</v>
      </c>
      <c r="S130" s="15" t="s">
        <v>33</v>
      </c>
      <c r="T130" s="15" t="s">
        <v>764</v>
      </c>
      <c r="U130" s="120" t="s">
        <v>770</v>
      </c>
      <c r="V130" s="120" t="s">
        <v>771</v>
      </c>
      <c r="AA130" s="15" t="s">
        <v>772</v>
      </c>
    </row>
    <row r="131" spans="1:28" s="40" customFormat="1">
      <c r="A131" s="40" t="s">
        <v>773</v>
      </c>
      <c r="B131" s="41">
        <v>0.55698177056860898</v>
      </c>
      <c r="C131" s="41" t="s">
        <v>28</v>
      </c>
      <c r="D131" s="42">
        <v>10.594742774963301</v>
      </c>
      <c r="E131" s="40">
        <v>0.65</v>
      </c>
      <c r="F131" s="40">
        <v>11.5</v>
      </c>
      <c r="G131" s="40">
        <v>35.310787023077999</v>
      </c>
      <c r="H131" s="40">
        <v>-120.662858728431</v>
      </c>
      <c r="I131" s="40" t="s">
        <v>627</v>
      </c>
      <c r="K131" s="40" t="s">
        <v>30</v>
      </c>
      <c r="L131" s="40" t="s">
        <v>628</v>
      </c>
      <c r="M131" s="122">
        <v>12</v>
      </c>
      <c r="N131" s="121">
        <v>1</v>
      </c>
      <c r="O131" s="127">
        <v>2</v>
      </c>
      <c r="P131" s="122">
        <v>1</v>
      </c>
      <c r="Q131" s="664" t="s">
        <v>774</v>
      </c>
      <c r="R131" s="40" t="s">
        <v>775</v>
      </c>
      <c r="S131" s="40" t="s">
        <v>33</v>
      </c>
      <c r="T131" s="40" t="s">
        <v>776</v>
      </c>
      <c r="U131" s="123" t="s">
        <v>777</v>
      </c>
      <c r="V131" s="123" t="s">
        <v>778</v>
      </c>
      <c r="AA131" s="40" t="s">
        <v>779</v>
      </c>
    </row>
    <row r="132" spans="1:28" s="40" customFormat="1">
      <c r="A132" s="40" t="s">
        <v>780</v>
      </c>
      <c r="B132" s="41">
        <v>0.59010244901912001</v>
      </c>
      <c r="C132" s="41" t="s">
        <v>28</v>
      </c>
      <c r="D132" s="42">
        <v>13.1925754547119</v>
      </c>
      <c r="E132" s="40">
        <v>0.73</v>
      </c>
      <c r="F132" s="40">
        <v>13.3</v>
      </c>
      <c r="G132" s="40">
        <v>35.310800015027901</v>
      </c>
      <c r="H132" s="40">
        <v>-120.66284154553</v>
      </c>
      <c r="I132" s="40" t="s">
        <v>627</v>
      </c>
      <c r="K132" s="40" t="s">
        <v>30</v>
      </c>
      <c r="L132" s="40" t="s">
        <v>628</v>
      </c>
      <c r="M132" s="122">
        <v>12</v>
      </c>
      <c r="N132" s="121">
        <v>1</v>
      </c>
      <c r="O132" s="127">
        <v>1</v>
      </c>
      <c r="P132" s="122">
        <v>1</v>
      </c>
      <c r="Q132" s="664"/>
      <c r="R132" s="40" t="s">
        <v>781</v>
      </c>
      <c r="S132" s="40" t="s">
        <v>33</v>
      </c>
      <c r="T132" s="40" t="s">
        <v>776</v>
      </c>
      <c r="U132" s="123" t="s">
        <v>782</v>
      </c>
      <c r="V132" s="123" t="s">
        <v>783</v>
      </c>
      <c r="AA132" s="40" t="s">
        <v>784</v>
      </c>
    </row>
    <row r="133" spans="1:28" s="25" customFormat="1">
      <c r="A133" s="25" t="s">
        <v>785</v>
      </c>
      <c r="B133" s="26">
        <v>8.4026724883578E-2</v>
      </c>
      <c r="C133" s="26" t="s">
        <v>28</v>
      </c>
      <c r="D133" s="27">
        <v>14.3659677505493</v>
      </c>
      <c r="E133" s="25">
        <v>0.35699999999999998</v>
      </c>
      <c r="F133" s="25">
        <v>13.9</v>
      </c>
      <c r="G133" s="25">
        <v>35.310842008362798</v>
      </c>
      <c r="H133" s="25">
        <v>-120.662645828091</v>
      </c>
      <c r="I133" s="25" t="s">
        <v>627</v>
      </c>
      <c r="K133" s="25" t="s">
        <v>30</v>
      </c>
      <c r="L133" s="25" t="s">
        <v>628</v>
      </c>
      <c r="M133" s="125">
        <v>13</v>
      </c>
      <c r="N133" s="124">
        <v>1</v>
      </c>
      <c r="O133" s="83">
        <v>1</v>
      </c>
      <c r="P133" s="125">
        <v>1</v>
      </c>
      <c r="Q133" s="125"/>
      <c r="R133" s="25" t="s">
        <v>786</v>
      </c>
      <c r="S133" s="25" t="s">
        <v>33</v>
      </c>
      <c r="T133" s="25" t="s">
        <v>787</v>
      </c>
      <c r="U133" s="126" t="s">
        <v>788</v>
      </c>
      <c r="V133" s="126" t="s">
        <v>789</v>
      </c>
      <c r="AA133" s="25" t="s">
        <v>790</v>
      </c>
    </row>
    <row r="134" spans="1:28" s="11" customFormat="1">
      <c r="A134" s="11" t="s">
        <v>791</v>
      </c>
      <c r="B134" s="12">
        <v>0.32580039488486101</v>
      </c>
      <c r="C134" s="12" t="s">
        <v>28</v>
      </c>
      <c r="D134" s="13">
        <v>11.0961189270019</v>
      </c>
      <c r="E134" s="11">
        <v>0.33100000000000002</v>
      </c>
      <c r="F134" s="11">
        <v>10.5</v>
      </c>
      <c r="G134" s="11">
        <v>35.310909734140402</v>
      </c>
      <c r="H134" s="11">
        <v>-120.662649432309</v>
      </c>
      <c r="I134" s="11" t="s">
        <v>627</v>
      </c>
      <c r="K134" s="11" t="s">
        <v>30</v>
      </c>
      <c r="L134" s="11" t="s">
        <v>628</v>
      </c>
      <c r="M134" s="129">
        <v>1</v>
      </c>
      <c r="N134" s="112">
        <v>15</v>
      </c>
      <c r="O134" s="79">
        <v>1</v>
      </c>
      <c r="P134" s="129">
        <v>1</v>
      </c>
      <c r="Q134" s="129"/>
      <c r="R134" s="11" t="s">
        <v>792</v>
      </c>
      <c r="S134" s="11" t="s">
        <v>33</v>
      </c>
      <c r="T134" s="11" t="s">
        <v>34</v>
      </c>
      <c r="U134" s="94" t="s">
        <v>793</v>
      </c>
      <c r="V134" s="94" t="s">
        <v>794</v>
      </c>
      <c r="AA134" s="11" t="s">
        <v>795</v>
      </c>
    </row>
    <row r="135" spans="1:28" s="11" customFormat="1">
      <c r="A135" s="11" t="s">
        <v>796</v>
      </c>
      <c r="B135" s="12">
        <v>0.88013292589476999</v>
      </c>
      <c r="C135" s="12" t="s">
        <v>28</v>
      </c>
      <c r="D135" s="13">
        <v>20.915929794311499</v>
      </c>
      <c r="E135" s="11">
        <v>0.98</v>
      </c>
      <c r="F135" s="11">
        <v>19.5</v>
      </c>
      <c r="G135" s="11">
        <v>35.310925408299298</v>
      </c>
      <c r="H135" s="11">
        <v>-120.662687653788</v>
      </c>
      <c r="I135" s="11" t="s">
        <v>627</v>
      </c>
      <c r="K135" s="11" t="s">
        <v>30</v>
      </c>
      <c r="L135" s="11" t="s">
        <v>628</v>
      </c>
      <c r="M135" s="129">
        <v>1</v>
      </c>
      <c r="N135" s="112">
        <v>16</v>
      </c>
      <c r="O135" s="79">
        <v>1</v>
      </c>
      <c r="P135" s="129">
        <v>1</v>
      </c>
      <c r="Q135" s="129" t="s">
        <v>797</v>
      </c>
      <c r="R135" s="11" t="s">
        <v>798</v>
      </c>
      <c r="S135" s="11" t="s">
        <v>33</v>
      </c>
      <c r="T135" s="11" t="s">
        <v>34</v>
      </c>
      <c r="U135" s="94" t="s">
        <v>799</v>
      </c>
      <c r="V135" s="94" t="s">
        <v>800</v>
      </c>
      <c r="AA135" s="11" t="s">
        <v>801</v>
      </c>
    </row>
    <row r="136" spans="1:28" s="75" customFormat="1">
      <c r="A136" s="75" t="s">
        <v>802</v>
      </c>
      <c r="B136" s="130">
        <v>0.86794534609757101</v>
      </c>
      <c r="C136" s="130" t="s">
        <v>28</v>
      </c>
      <c r="D136" s="131">
        <v>5.6840729713439897</v>
      </c>
      <c r="G136" s="75">
        <v>35.3109270008609</v>
      </c>
      <c r="H136" s="75">
        <v>-120.662672063448</v>
      </c>
      <c r="I136" s="75" t="s">
        <v>627</v>
      </c>
      <c r="K136" s="75" t="s">
        <v>30</v>
      </c>
      <c r="L136" s="75" t="s">
        <v>628</v>
      </c>
      <c r="M136" s="132">
        <v>1</v>
      </c>
      <c r="N136" s="133">
        <v>17</v>
      </c>
      <c r="O136" s="134">
        <v>1</v>
      </c>
      <c r="P136" s="132">
        <v>1</v>
      </c>
      <c r="Q136" s="132"/>
      <c r="S136" s="75" t="s">
        <v>33</v>
      </c>
      <c r="T136" s="75" t="s">
        <v>34</v>
      </c>
      <c r="U136" s="135" t="s">
        <v>803</v>
      </c>
      <c r="V136" s="135" t="s">
        <v>804</v>
      </c>
      <c r="AA136" s="75" t="s">
        <v>805</v>
      </c>
    </row>
    <row r="137" spans="1:28" hidden="1">
      <c r="A137" s="11" t="s">
        <v>806</v>
      </c>
      <c r="B137" s="12">
        <v>0.10854614643848701</v>
      </c>
      <c r="C137" s="12" t="s">
        <v>28</v>
      </c>
      <c r="D137" s="13">
        <v>4.2501735687255797</v>
      </c>
      <c r="E137" s="11"/>
      <c r="F137" s="11"/>
      <c r="G137" s="11">
        <v>35.307663233081598</v>
      </c>
      <c r="H137" s="11">
        <v>-120.657760042531</v>
      </c>
      <c r="I137" s="11" t="s">
        <v>29</v>
      </c>
      <c r="J137" s="11"/>
      <c r="K137" s="11" t="s">
        <v>30</v>
      </c>
      <c r="L137" s="11" t="s">
        <v>628</v>
      </c>
      <c r="M137" s="88"/>
      <c r="N137" s="100"/>
      <c r="P137" s="88" t="s">
        <v>716</v>
      </c>
      <c r="Q137" s="88"/>
      <c r="R137" s="11" t="s">
        <v>807</v>
      </c>
      <c r="S137" s="11" t="s">
        <v>33</v>
      </c>
      <c r="T137" s="11" t="s">
        <v>652</v>
      </c>
      <c r="U137" s="47" t="s">
        <v>808</v>
      </c>
      <c r="V137" s="47" t="s">
        <v>809</v>
      </c>
      <c r="W137" s="11"/>
      <c r="X137" s="11"/>
      <c r="Y137" s="11"/>
      <c r="AA137" s="11" t="s">
        <v>810</v>
      </c>
      <c r="AB137" s="11"/>
    </row>
    <row r="138" spans="1:28" hidden="1">
      <c r="A138" s="11" t="s">
        <v>811</v>
      </c>
      <c r="B138" s="12">
        <v>9.03908130514261E-2</v>
      </c>
      <c r="C138" s="12" t="s">
        <v>28</v>
      </c>
      <c r="D138" s="13">
        <v>1.3301149606704701</v>
      </c>
      <c r="E138" s="11"/>
      <c r="F138" s="11"/>
      <c r="G138" s="11">
        <v>35.307698387211502</v>
      </c>
      <c r="H138" s="11">
        <v>-120.657848340168</v>
      </c>
      <c r="I138" s="11" t="s">
        <v>29</v>
      </c>
      <c r="J138" s="11"/>
      <c r="K138" s="11" t="s">
        <v>30</v>
      </c>
      <c r="L138" s="11" t="s">
        <v>628</v>
      </c>
      <c r="M138" s="88"/>
      <c r="N138" s="100"/>
      <c r="P138" s="88" t="s">
        <v>716</v>
      </c>
      <c r="Q138" s="88"/>
      <c r="R138" s="11" t="s">
        <v>115</v>
      </c>
      <c r="S138" s="11" t="s">
        <v>33</v>
      </c>
      <c r="T138" s="11" t="s">
        <v>652</v>
      </c>
      <c r="U138" s="47" t="s">
        <v>812</v>
      </c>
      <c r="V138" s="47" t="s">
        <v>813</v>
      </c>
      <c r="W138" s="11"/>
      <c r="X138" s="11"/>
      <c r="Y138" s="11"/>
      <c r="AA138" s="11" t="s">
        <v>814</v>
      </c>
      <c r="AB138" s="11"/>
    </row>
    <row r="139" spans="1:28" hidden="1">
      <c r="A139" s="11" t="s">
        <v>815</v>
      </c>
      <c r="B139" s="12">
        <v>9.0730240201407394E-2</v>
      </c>
      <c r="C139" s="12" t="s">
        <v>28</v>
      </c>
      <c r="D139" s="13">
        <v>1.1705900430679299</v>
      </c>
      <c r="E139" s="11"/>
      <c r="F139" s="11"/>
      <c r="G139" s="11">
        <v>35.307685719394399</v>
      </c>
      <c r="H139" s="11">
        <v>-120.657804140867</v>
      </c>
      <c r="I139" s="11" t="s">
        <v>29</v>
      </c>
      <c r="J139" s="11"/>
      <c r="K139" s="11" t="s">
        <v>30</v>
      </c>
      <c r="L139" s="11" t="s">
        <v>628</v>
      </c>
      <c r="M139" s="88"/>
      <c r="N139" s="100"/>
      <c r="P139" s="88" t="s">
        <v>716</v>
      </c>
      <c r="Q139" s="88"/>
      <c r="R139" s="11" t="s">
        <v>816</v>
      </c>
      <c r="S139" s="11" t="s">
        <v>33</v>
      </c>
      <c r="T139" s="11" t="s">
        <v>652</v>
      </c>
      <c r="U139" s="47" t="s">
        <v>817</v>
      </c>
      <c r="V139" s="47" t="s">
        <v>818</v>
      </c>
      <c r="W139" s="11"/>
      <c r="X139" s="11"/>
      <c r="Y139" s="11"/>
      <c r="AA139" s="11" t="s">
        <v>819</v>
      </c>
      <c r="AB139" s="11"/>
    </row>
    <row r="140" spans="1:28" s="52" customFormat="1" hidden="1">
      <c r="A140" s="53" t="s">
        <v>820</v>
      </c>
      <c r="B140" s="54">
        <v>0.12657804559032401</v>
      </c>
      <c r="C140" s="54" t="s">
        <v>28</v>
      </c>
      <c r="D140" s="55">
        <v>1.3381334543228101</v>
      </c>
      <c r="E140" s="53"/>
      <c r="F140" s="53"/>
      <c r="G140" s="53">
        <v>35.307722527909199</v>
      </c>
      <c r="H140" s="53">
        <v>-120.657849768471</v>
      </c>
      <c r="I140" s="53" t="s">
        <v>29</v>
      </c>
      <c r="J140" s="53"/>
      <c r="K140" s="53" t="s">
        <v>30</v>
      </c>
      <c r="L140" s="53" t="s">
        <v>628</v>
      </c>
      <c r="M140" s="90"/>
      <c r="N140" s="114"/>
      <c r="O140" s="128"/>
      <c r="P140" s="90" t="s">
        <v>716</v>
      </c>
      <c r="Q140" s="90"/>
      <c r="R140" s="53" t="s">
        <v>821</v>
      </c>
      <c r="S140" s="53" t="s">
        <v>33</v>
      </c>
      <c r="T140" s="53" t="s">
        <v>652</v>
      </c>
      <c r="U140" s="56" t="s">
        <v>822</v>
      </c>
      <c r="V140" s="56" t="s">
        <v>823</v>
      </c>
      <c r="W140" s="53"/>
      <c r="X140" s="53"/>
      <c r="Y140" s="53"/>
      <c r="AA140" s="53" t="s">
        <v>824</v>
      </c>
      <c r="AB140" s="53"/>
    </row>
    <row r="141" spans="1:28" s="11" customFormat="1">
      <c r="A141" s="11" t="s">
        <v>825</v>
      </c>
      <c r="B141" s="12">
        <v>0.50263159058756701</v>
      </c>
      <c r="C141" s="11" t="s">
        <v>28</v>
      </c>
      <c r="D141" s="13">
        <v>16.0622043609619</v>
      </c>
      <c r="E141" s="11">
        <v>0.54</v>
      </c>
      <c r="F141" s="11">
        <v>15</v>
      </c>
      <c r="G141" s="11">
        <v>35.310549342423002</v>
      </c>
      <c r="H141" s="11">
        <v>-120.662418321736</v>
      </c>
      <c r="I141" s="11" t="s">
        <v>627</v>
      </c>
      <c r="K141" s="11" t="s">
        <v>30</v>
      </c>
      <c r="L141" s="11" t="s">
        <v>628</v>
      </c>
      <c r="M141" s="129">
        <v>1</v>
      </c>
      <c r="N141" s="112">
        <v>18</v>
      </c>
      <c r="O141" s="129">
        <v>1</v>
      </c>
      <c r="P141" s="129">
        <v>2</v>
      </c>
      <c r="Q141" s="129"/>
      <c r="S141" s="11" t="s">
        <v>33</v>
      </c>
      <c r="T141" s="11" t="s">
        <v>34</v>
      </c>
      <c r="U141" s="47" t="s">
        <v>826</v>
      </c>
      <c r="V141" s="47" t="s">
        <v>827</v>
      </c>
      <c r="AA141" s="11" t="s">
        <v>828</v>
      </c>
    </row>
    <row r="142" spans="1:28" s="11" customFormat="1">
      <c r="A142" s="11" t="s">
        <v>829</v>
      </c>
      <c r="B142" s="12">
        <v>0.39947534756974001</v>
      </c>
      <c r="C142" s="11" t="s">
        <v>28</v>
      </c>
      <c r="D142" s="13">
        <v>14.0765838623046</v>
      </c>
      <c r="E142" s="11">
        <v>0.41099999999999998</v>
      </c>
      <c r="F142" s="11">
        <v>13.7</v>
      </c>
      <c r="G142" s="11">
        <v>35.3105520221944</v>
      </c>
      <c r="H142" s="11">
        <v>-120.662456400178</v>
      </c>
      <c r="I142" s="11" t="s">
        <v>627</v>
      </c>
      <c r="K142" s="11" t="s">
        <v>30</v>
      </c>
      <c r="L142" s="11" t="s">
        <v>628</v>
      </c>
      <c r="M142" s="129">
        <v>1</v>
      </c>
      <c r="N142" s="112">
        <v>19</v>
      </c>
      <c r="O142" s="129">
        <v>1</v>
      </c>
      <c r="P142" s="129">
        <v>2</v>
      </c>
      <c r="Q142" s="129"/>
      <c r="S142" s="11" t="s">
        <v>33</v>
      </c>
      <c r="T142" s="11" t="s">
        <v>34</v>
      </c>
      <c r="U142" s="47" t="s">
        <v>830</v>
      </c>
      <c r="V142" s="47" t="s">
        <v>827</v>
      </c>
      <c r="AA142" s="11" t="s">
        <v>831</v>
      </c>
    </row>
    <row r="143" spans="1:28" s="11" customFormat="1">
      <c r="A143" s="11" t="s">
        <v>832</v>
      </c>
      <c r="B143" s="12">
        <v>0.290196681076764</v>
      </c>
      <c r="C143" s="11" t="s">
        <v>28</v>
      </c>
      <c r="D143" s="13">
        <v>12.2070198059082</v>
      </c>
      <c r="E143" s="11">
        <v>0.318</v>
      </c>
      <c r="F143" s="11">
        <v>12.2</v>
      </c>
      <c r="G143" s="11">
        <v>35.310490260448397</v>
      </c>
      <c r="H143" s="11">
        <v>-120.66250133256899</v>
      </c>
      <c r="I143" s="11" t="s">
        <v>627</v>
      </c>
      <c r="K143" s="11" t="s">
        <v>30</v>
      </c>
      <c r="L143" s="11" t="s">
        <v>628</v>
      </c>
      <c r="M143" s="129">
        <v>1</v>
      </c>
      <c r="N143" s="112">
        <v>20</v>
      </c>
      <c r="O143" s="129">
        <v>1</v>
      </c>
      <c r="P143" s="129">
        <v>2</v>
      </c>
      <c r="Q143" s="129"/>
      <c r="S143" s="11" t="s">
        <v>33</v>
      </c>
      <c r="T143" s="11" t="s">
        <v>34</v>
      </c>
      <c r="U143" s="47" t="s">
        <v>833</v>
      </c>
      <c r="V143" s="47" t="s">
        <v>834</v>
      </c>
      <c r="AA143" s="11" t="s">
        <v>835</v>
      </c>
    </row>
    <row r="144" spans="1:28" s="143" customFormat="1">
      <c r="A144" s="143" t="s">
        <v>836</v>
      </c>
      <c r="B144" s="144">
        <v>0.57481053796556703</v>
      </c>
      <c r="C144" s="143" t="s">
        <v>28</v>
      </c>
      <c r="D144" s="145">
        <v>4.4393973350524902</v>
      </c>
      <c r="E144" s="143">
        <v>0.57799999999999996</v>
      </c>
      <c r="F144" s="143">
        <v>4.3</v>
      </c>
      <c r="G144" s="143">
        <v>35.310597981824003</v>
      </c>
      <c r="H144" s="143">
        <v>-120.662500306027</v>
      </c>
      <c r="I144" s="143" t="s">
        <v>627</v>
      </c>
      <c r="K144" s="143" t="s">
        <v>30</v>
      </c>
      <c r="L144" s="143" t="s">
        <v>628</v>
      </c>
      <c r="M144" s="146">
        <v>14</v>
      </c>
      <c r="N144" s="147">
        <v>1</v>
      </c>
      <c r="O144" s="146">
        <v>1</v>
      </c>
      <c r="P144" s="146">
        <v>2</v>
      </c>
      <c r="Q144" s="146"/>
      <c r="S144" s="143" t="s">
        <v>33</v>
      </c>
      <c r="T144" s="143" t="s">
        <v>837</v>
      </c>
      <c r="U144" s="148" t="s">
        <v>838</v>
      </c>
      <c r="V144" s="148" t="s">
        <v>839</v>
      </c>
      <c r="AA144" s="143" t="s">
        <v>840</v>
      </c>
    </row>
    <row r="145" spans="1:27" s="143" customFormat="1">
      <c r="A145" s="143" t="s">
        <v>841</v>
      </c>
      <c r="B145" s="144">
        <v>0.359674810764049</v>
      </c>
      <c r="C145" s="143" t="s">
        <v>28</v>
      </c>
      <c r="D145" s="145">
        <v>24.813697814941399</v>
      </c>
      <c r="E145" s="143">
        <v>0.46899999999999997</v>
      </c>
      <c r="F145" s="143">
        <v>23.7</v>
      </c>
      <c r="G145" s="143">
        <v>35.310638747246202</v>
      </c>
      <c r="H145" s="143">
        <v>-120.662471149214</v>
      </c>
      <c r="I145" s="143" t="s">
        <v>627</v>
      </c>
      <c r="K145" s="143" t="s">
        <v>30</v>
      </c>
      <c r="L145" s="143" t="s">
        <v>628</v>
      </c>
      <c r="M145" s="146">
        <v>15</v>
      </c>
      <c r="N145" s="147">
        <v>1</v>
      </c>
      <c r="O145" s="146">
        <v>1</v>
      </c>
      <c r="P145" s="146">
        <v>2</v>
      </c>
      <c r="Q145" s="146" t="s">
        <v>774</v>
      </c>
      <c r="R145" s="143" t="s">
        <v>842</v>
      </c>
      <c r="S145" s="143" t="s">
        <v>33</v>
      </c>
      <c r="T145" s="143" t="s">
        <v>843</v>
      </c>
      <c r="U145" s="148" t="s">
        <v>844</v>
      </c>
      <c r="V145" s="148" t="s">
        <v>845</v>
      </c>
      <c r="AA145" s="143" t="s">
        <v>846</v>
      </c>
    </row>
    <row r="146" spans="1:27" s="143" customFormat="1" ht="43.5">
      <c r="A146" s="143" t="s">
        <v>847</v>
      </c>
      <c r="B146" s="144">
        <v>0.21480227515469399</v>
      </c>
      <c r="C146" s="143" t="s">
        <v>28</v>
      </c>
      <c r="D146" s="145">
        <v>6.5767874717712402</v>
      </c>
      <c r="G146" s="143">
        <v>35.310654667556001</v>
      </c>
      <c r="H146" s="143">
        <v>-120.66243412140599</v>
      </c>
      <c r="I146" s="143" t="s">
        <v>627</v>
      </c>
      <c r="K146" s="143" t="s">
        <v>30</v>
      </c>
      <c r="L146" s="143" t="s">
        <v>628</v>
      </c>
      <c r="M146" s="149">
        <v>16</v>
      </c>
      <c r="N146" s="150">
        <v>1</v>
      </c>
      <c r="O146" s="149">
        <v>99</v>
      </c>
      <c r="P146" s="149">
        <v>2</v>
      </c>
      <c r="Q146" s="151" t="s">
        <v>848</v>
      </c>
      <c r="R146" s="152" t="s">
        <v>849</v>
      </c>
      <c r="S146" s="143" t="s">
        <v>33</v>
      </c>
      <c r="T146" s="143" t="s">
        <v>843</v>
      </c>
      <c r="U146" s="148" t="s">
        <v>850</v>
      </c>
      <c r="V146" s="148" t="s">
        <v>851</v>
      </c>
      <c r="AA146" s="143" t="s">
        <v>852</v>
      </c>
    </row>
    <row r="147" spans="1:27" s="153" customFormat="1" ht="15.75" customHeight="1">
      <c r="A147" s="153" t="s">
        <v>853</v>
      </c>
      <c r="B147" s="154">
        <v>0.43879488173376602</v>
      </c>
      <c r="C147" s="153" t="s">
        <v>28</v>
      </c>
      <c r="D147" s="155">
        <v>7.6719403266906703</v>
      </c>
      <c r="E147" s="153">
        <v>0.48199999999999998</v>
      </c>
      <c r="F147" s="153">
        <v>7.8</v>
      </c>
      <c r="G147" s="153">
        <v>35.310620516849298</v>
      </c>
      <c r="H147" s="153">
        <v>-120.662404765817</v>
      </c>
      <c r="I147" s="153" t="s">
        <v>627</v>
      </c>
      <c r="K147" s="153" t="s">
        <v>30</v>
      </c>
      <c r="L147" s="153" t="s">
        <v>628</v>
      </c>
      <c r="M147" s="156">
        <v>17</v>
      </c>
      <c r="N147" s="157">
        <v>1</v>
      </c>
      <c r="O147" s="156">
        <v>1</v>
      </c>
      <c r="P147" s="156">
        <v>2</v>
      </c>
      <c r="Q147" s="156" t="s">
        <v>774</v>
      </c>
      <c r="R147" s="153" t="s">
        <v>854</v>
      </c>
      <c r="S147" s="153" t="s">
        <v>33</v>
      </c>
      <c r="T147" s="153" t="s">
        <v>843</v>
      </c>
      <c r="U147" s="158" t="s">
        <v>855</v>
      </c>
      <c r="V147" s="158" t="s">
        <v>856</v>
      </c>
      <c r="AA147" s="153" t="s">
        <v>857</v>
      </c>
    </row>
    <row r="148" spans="1:27" s="15" customFormat="1">
      <c r="A148" s="15" t="s">
        <v>858</v>
      </c>
      <c r="B148" s="16">
        <v>0.52420286499511304</v>
      </c>
      <c r="C148" s="15" t="s">
        <v>28</v>
      </c>
      <c r="D148" s="17">
        <v>13.056458473205501</v>
      </c>
      <c r="E148" s="15">
        <v>0.55600000000000005</v>
      </c>
      <c r="F148" s="15">
        <v>13.1</v>
      </c>
      <c r="G148" s="15">
        <v>35.310369127547297</v>
      </c>
      <c r="H148" s="15">
        <v>-120.66213500250601</v>
      </c>
      <c r="I148" s="15" t="s">
        <v>627</v>
      </c>
      <c r="K148" s="15" t="s">
        <v>30</v>
      </c>
      <c r="L148" s="15" t="s">
        <v>628</v>
      </c>
      <c r="M148" s="119">
        <v>2</v>
      </c>
      <c r="N148" s="118" t="s">
        <v>859</v>
      </c>
      <c r="O148" s="119">
        <v>1</v>
      </c>
      <c r="P148" s="119">
        <v>3</v>
      </c>
      <c r="Q148" s="119"/>
      <c r="S148" s="15" t="s">
        <v>33</v>
      </c>
      <c r="T148" s="15" t="s">
        <v>64</v>
      </c>
      <c r="U148" s="45" t="s">
        <v>860</v>
      </c>
      <c r="V148" s="45" t="s">
        <v>861</v>
      </c>
      <c r="AA148" s="15" t="s">
        <v>862</v>
      </c>
    </row>
    <row r="149" spans="1:27" s="15" customFormat="1">
      <c r="A149" s="15" t="s">
        <v>863</v>
      </c>
      <c r="B149" s="16">
        <v>0.448922766648643</v>
      </c>
      <c r="C149" s="15" t="s">
        <v>28</v>
      </c>
      <c r="D149" s="17">
        <v>15.740143775939901</v>
      </c>
      <c r="E149" s="15">
        <v>0.437</v>
      </c>
      <c r="F149" s="15">
        <v>15.2</v>
      </c>
      <c r="G149" s="15">
        <v>35.310417349719003</v>
      </c>
      <c r="H149" s="15">
        <v>-120.662165965452</v>
      </c>
      <c r="I149" s="15" t="s">
        <v>627</v>
      </c>
      <c r="K149" s="15" t="s">
        <v>30</v>
      </c>
      <c r="L149" s="15" t="s">
        <v>628</v>
      </c>
      <c r="M149" s="119">
        <v>2</v>
      </c>
      <c r="N149" s="118" t="s">
        <v>859</v>
      </c>
      <c r="O149" s="119">
        <v>1</v>
      </c>
      <c r="P149" s="119">
        <v>3</v>
      </c>
      <c r="Q149" s="119"/>
      <c r="S149" s="15" t="s">
        <v>33</v>
      </c>
      <c r="T149" s="15" t="s">
        <v>64</v>
      </c>
      <c r="U149" s="45" t="s">
        <v>864</v>
      </c>
      <c r="V149" s="45" t="s">
        <v>865</v>
      </c>
      <c r="AA149" s="15" t="s">
        <v>866</v>
      </c>
    </row>
    <row r="150" spans="1:27" s="15" customFormat="1">
      <c r="A150" s="15" t="s">
        <v>867</v>
      </c>
      <c r="B150" s="16">
        <v>0.237053202033498</v>
      </c>
      <c r="C150" s="15" t="s">
        <v>28</v>
      </c>
      <c r="D150" s="17">
        <v>13.365461349487299</v>
      </c>
      <c r="E150" s="15">
        <v>0.25600000000000001</v>
      </c>
      <c r="F150" s="15">
        <v>13.5</v>
      </c>
      <c r="G150" s="15">
        <v>35.310442539512103</v>
      </c>
      <c r="H150" s="15">
        <v>-120.662231142653</v>
      </c>
      <c r="I150" s="15" t="s">
        <v>627</v>
      </c>
      <c r="K150" s="15" t="s">
        <v>30</v>
      </c>
      <c r="L150" s="15" t="s">
        <v>628</v>
      </c>
      <c r="M150" s="119">
        <v>2</v>
      </c>
      <c r="N150" s="118" t="s">
        <v>859</v>
      </c>
      <c r="O150" s="119">
        <v>1</v>
      </c>
      <c r="P150" s="119">
        <v>3</v>
      </c>
      <c r="Q150" s="119"/>
      <c r="S150" s="15" t="s">
        <v>33</v>
      </c>
      <c r="T150" s="15" t="s">
        <v>64</v>
      </c>
      <c r="U150" s="45" t="s">
        <v>868</v>
      </c>
      <c r="V150" s="45" t="s">
        <v>869</v>
      </c>
      <c r="AA150" s="15" t="s">
        <v>870</v>
      </c>
    </row>
    <row r="151" spans="1:27" s="15" customFormat="1">
      <c r="A151" s="15" t="s">
        <v>871</v>
      </c>
      <c r="B151" s="16">
        <v>0.31533926873587798</v>
      </c>
      <c r="C151" s="15" t="s">
        <v>28</v>
      </c>
      <c r="D151" s="17">
        <v>1.2902867794036801</v>
      </c>
      <c r="E151" s="15">
        <v>0.34200000000000003</v>
      </c>
      <c r="F151" s="15">
        <v>1.3</v>
      </c>
      <c r="G151" s="15">
        <v>35.310385095267897</v>
      </c>
      <c r="H151" s="15">
        <v>-120.662206280592</v>
      </c>
      <c r="I151" s="15" t="s">
        <v>627</v>
      </c>
      <c r="K151" s="15" t="s">
        <v>30</v>
      </c>
      <c r="L151" s="15" t="s">
        <v>628</v>
      </c>
      <c r="M151" s="119">
        <v>2</v>
      </c>
      <c r="N151" s="118" t="s">
        <v>859</v>
      </c>
      <c r="O151" s="119">
        <v>2</v>
      </c>
      <c r="P151" s="119">
        <v>3</v>
      </c>
      <c r="Q151" s="119"/>
      <c r="R151" s="15" t="s">
        <v>872</v>
      </c>
      <c r="S151" s="15" t="s">
        <v>33</v>
      </c>
      <c r="T151" s="15" t="s">
        <v>64</v>
      </c>
      <c r="U151" s="45" t="s">
        <v>873</v>
      </c>
      <c r="V151" s="45" t="s">
        <v>874</v>
      </c>
      <c r="AA151" s="15" t="s">
        <v>875</v>
      </c>
    </row>
    <row r="152" spans="1:27" s="15" customFormat="1">
      <c r="A152" s="15" t="s">
        <v>876</v>
      </c>
      <c r="B152" s="16">
        <v>0.31939936782789702</v>
      </c>
      <c r="C152" s="15" t="s">
        <v>28</v>
      </c>
      <c r="D152" s="17">
        <v>1.2957787513732899</v>
      </c>
      <c r="E152" s="15">
        <v>0.34399999999999997</v>
      </c>
      <c r="F152" s="15">
        <v>1.3</v>
      </c>
      <c r="G152" s="15">
        <v>35.310390535074802</v>
      </c>
      <c r="H152" s="15">
        <v>-120.662214686632</v>
      </c>
      <c r="I152" s="15" t="s">
        <v>627</v>
      </c>
      <c r="K152" s="15" t="s">
        <v>30</v>
      </c>
      <c r="L152" s="15" t="s">
        <v>628</v>
      </c>
      <c r="M152" s="119">
        <v>2</v>
      </c>
      <c r="N152" s="118" t="s">
        <v>859</v>
      </c>
      <c r="O152" s="119">
        <v>3</v>
      </c>
      <c r="P152" s="119">
        <v>3</v>
      </c>
      <c r="Q152" s="119"/>
      <c r="R152" s="15" t="s">
        <v>877</v>
      </c>
      <c r="S152" s="15" t="s">
        <v>33</v>
      </c>
      <c r="T152" s="15" t="s">
        <v>64</v>
      </c>
      <c r="U152" s="45" t="s">
        <v>878</v>
      </c>
      <c r="V152" s="45" t="s">
        <v>879</v>
      </c>
      <c r="AA152" s="15" t="s">
        <v>880</v>
      </c>
    </row>
    <row r="153" spans="1:27" s="15" customFormat="1">
      <c r="A153" s="15" t="s">
        <v>881</v>
      </c>
      <c r="B153" s="16">
        <v>0.33941513459433398</v>
      </c>
      <c r="C153" s="15" t="s">
        <v>28</v>
      </c>
      <c r="D153" s="17">
        <v>1.2895096540451001</v>
      </c>
      <c r="E153" s="15">
        <v>0.32700000000000001</v>
      </c>
      <c r="F153" s="15">
        <v>1.3</v>
      </c>
      <c r="G153" s="15">
        <v>35.310410009794602</v>
      </c>
      <c r="H153" s="15">
        <v>-120.662238941463</v>
      </c>
      <c r="I153" s="15" t="s">
        <v>627</v>
      </c>
      <c r="K153" s="15" t="s">
        <v>30</v>
      </c>
      <c r="L153" s="15" t="s">
        <v>628</v>
      </c>
      <c r="M153" s="119">
        <v>2</v>
      </c>
      <c r="N153" s="118" t="s">
        <v>859</v>
      </c>
      <c r="O153" s="119">
        <v>4</v>
      </c>
      <c r="P153" s="119">
        <v>3</v>
      </c>
      <c r="Q153" s="119"/>
      <c r="S153" s="15" t="s">
        <v>33</v>
      </c>
      <c r="T153" s="15" t="s">
        <v>64</v>
      </c>
      <c r="U153" s="45" t="s">
        <v>882</v>
      </c>
      <c r="V153" s="45" t="s">
        <v>883</v>
      </c>
      <c r="AA153" s="15" t="s">
        <v>884</v>
      </c>
    </row>
    <row r="154" spans="1:27" s="25" customFormat="1" ht="29.1">
      <c r="A154" s="25" t="s">
        <v>885</v>
      </c>
      <c r="B154" s="26">
        <v>0.171272659663225</v>
      </c>
      <c r="C154" s="25" t="s">
        <v>28</v>
      </c>
      <c r="D154" s="27">
        <v>4.9052453041076598</v>
      </c>
      <c r="E154" s="25">
        <v>0.18</v>
      </c>
      <c r="F154" s="25">
        <v>5.0999999999999996</v>
      </c>
      <c r="G154" s="25">
        <v>35.310496817312497</v>
      </c>
      <c r="H154" s="25">
        <v>-120.662215972921</v>
      </c>
      <c r="I154" s="25" t="s">
        <v>627</v>
      </c>
      <c r="K154" s="25" t="s">
        <v>30</v>
      </c>
      <c r="L154" s="25" t="s">
        <v>628</v>
      </c>
      <c r="M154" s="125">
        <v>18</v>
      </c>
      <c r="N154" s="124">
        <v>1</v>
      </c>
      <c r="O154" s="125">
        <v>99</v>
      </c>
      <c r="P154" s="125">
        <v>3</v>
      </c>
      <c r="Q154" s="174" t="s">
        <v>886</v>
      </c>
      <c r="S154" s="25" t="s">
        <v>33</v>
      </c>
      <c r="T154" s="25" t="s">
        <v>887</v>
      </c>
      <c r="U154" s="159" t="s">
        <v>888</v>
      </c>
      <c r="V154" s="159" t="s">
        <v>889</v>
      </c>
      <c r="AA154" s="25" t="s">
        <v>890</v>
      </c>
    </row>
    <row r="155" spans="1:27" s="22" customFormat="1">
      <c r="A155" s="22" t="s">
        <v>891</v>
      </c>
      <c r="B155" s="23">
        <v>0.40396196746897001</v>
      </c>
      <c r="C155" s="22" t="s">
        <v>28</v>
      </c>
      <c r="D155" s="24">
        <v>12.976625442504799</v>
      </c>
      <c r="E155" s="22">
        <v>0.42599999999999999</v>
      </c>
      <c r="F155" s="22">
        <v>12.4</v>
      </c>
      <c r="G155" s="22">
        <v>35.310381957813803</v>
      </c>
      <c r="H155" s="22">
        <v>-120.66199344976501</v>
      </c>
      <c r="I155" s="22" t="s">
        <v>627</v>
      </c>
      <c r="K155" s="22" t="s">
        <v>30</v>
      </c>
      <c r="L155" s="22" t="s">
        <v>628</v>
      </c>
      <c r="M155" s="141">
        <v>4</v>
      </c>
      <c r="N155" s="142">
        <v>6</v>
      </c>
      <c r="O155" s="141">
        <v>1</v>
      </c>
      <c r="P155" s="141">
        <v>3</v>
      </c>
      <c r="Q155" s="141"/>
      <c r="S155" s="22" t="s">
        <v>33</v>
      </c>
      <c r="T155" s="22" t="s">
        <v>71</v>
      </c>
      <c r="U155" s="160" t="s">
        <v>892</v>
      </c>
      <c r="V155" s="160" t="s">
        <v>893</v>
      </c>
      <c r="AA155" s="22" t="s">
        <v>894</v>
      </c>
    </row>
    <row r="156" spans="1:27" s="22" customFormat="1">
      <c r="A156" s="22" t="s">
        <v>895</v>
      </c>
      <c r="B156" s="23">
        <v>0.147823812458834</v>
      </c>
      <c r="C156" s="22" t="s">
        <v>28</v>
      </c>
      <c r="D156" s="24">
        <v>1.28171122074127</v>
      </c>
      <c r="E156" s="22">
        <v>0.17799999999999999</v>
      </c>
      <c r="F156" s="22">
        <v>1.3</v>
      </c>
      <c r="G156" s="22">
        <v>35.310401781800799</v>
      </c>
      <c r="H156" s="22">
        <v>-120.66201610534701</v>
      </c>
      <c r="I156" s="22" t="s">
        <v>627</v>
      </c>
      <c r="K156" s="22" t="s">
        <v>30</v>
      </c>
      <c r="L156" s="22" t="s">
        <v>628</v>
      </c>
      <c r="M156" s="141">
        <v>4</v>
      </c>
      <c r="N156" s="142">
        <v>6</v>
      </c>
      <c r="O156" s="141">
        <v>2</v>
      </c>
      <c r="P156" s="141">
        <v>3</v>
      </c>
      <c r="Q156" s="141"/>
      <c r="S156" s="22" t="s">
        <v>33</v>
      </c>
      <c r="T156" s="22" t="s">
        <v>71</v>
      </c>
      <c r="U156" s="160" t="s">
        <v>896</v>
      </c>
      <c r="V156" s="160" t="s">
        <v>897</v>
      </c>
      <c r="AA156" s="22" t="s">
        <v>898</v>
      </c>
    </row>
    <row r="157" spans="1:27" s="161" customFormat="1">
      <c r="A157" s="161" t="s">
        <v>899</v>
      </c>
      <c r="B157" s="162">
        <v>0.203557256658499</v>
      </c>
      <c r="C157" s="161" t="s">
        <v>28</v>
      </c>
      <c r="D157" s="163">
        <v>1.3093278408050499</v>
      </c>
      <c r="E157" s="161">
        <v>0.25</v>
      </c>
      <c r="F157" s="161">
        <v>1.3</v>
      </c>
      <c r="G157" s="161">
        <v>35.3103931154794</v>
      </c>
      <c r="H157" s="161">
        <v>-120.662020292271</v>
      </c>
      <c r="I157" s="161" t="s">
        <v>627</v>
      </c>
      <c r="K157" s="161" t="s">
        <v>30</v>
      </c>
      <c r="L157" s="161" t="s">
        <v>628</v>
      </c>
      <c r="M157" s="164">
        <v>4</v>
      </c>
      <c r="N157" s="165">
        <v>6</v>
      </c>
      <c r="O157" s="164">
        <v>3</v>
      </c>
      <c r="P157" s="164">
        <v>3</v>
      </c>
      <c r="Q157" s="164"/>
      <c r="S157" s="161" t="s">
        <v>33</v>
      </c>
      <c r="T157" s="161" t="s">
        <v>71</v>
      </c>
      <c r="U157" s="166" t="s">
        <v>900</v>
      </c>
      <c r="V157" s="166" t="s">
        <v>901</v>
      </c>
      <c r="AA157" s="161" t="s">
        <v>902</v>
      </c>
    </row>
    <row r="158" spans="1:27" s="28" customFormat="1">
      <c r="A158" s="28" t="s">
        <v>903</v>
      </c>
      <c r="B158" s="29">
        <v>0.11365509998630099</v>
      </c>
      <c r="C158" s="28" t="s">
        <v>28</v>
      </c>
      <c r="D158" s="30">
        <v>3.3631234169006299</v>
      </c>
      <c r="E158" s="28">
        <v>0.13900000000000001</v>
      </c>
      <c r="F158" s="28">
        <v>3.1</v>
      </c>
      <c r="G158" s="28">
        <v>35.310144963038702</v>
      </c>
      <c r="H158" s="28">
        <v>-120.66304516213501</v>
      </c>
      <c r="I158" s="28" t="s">
        <v>627</v>
      </c>
      <c r="K158" s="28" t="s">
        <v>30</v>
      </c>
      <c r="L158" s="28" t="s">
        <v>628</v>
      </c>
      <c r="M158" s="167">
        <v>19</v>
      </c>
      <c r="N158" s="168">
        <v>1</v>
      </c>
      <c r="O158" s="167">
        <v>1</v>
      </c>
      <c r="P158" s="167">
        <v>6</v>
      </c>
      <c r="Q158" s="167"/>
      <c r="S158" s="28" t="s">
        <v>33</v>
      </c>
      <c r="T158" s="28" t="s">
        <v>904</v>
      </c>
      <c r="U158" s="169" t="s">
        <v>905</v>
      </c>
      <c r="V158" s="169" t="s">
        <v>906</v>
      </c>
      <c r="AA158" s="28" t="s">
        <v>907</v>
      </c>
    </row>
    <row r="159" spans="1:27" s="40" customFormat="1">
      <c r="A159" s="40" t="s">
        <v>908</v>
      </c>
      <c r="B159" s="41">
        <v>0.69444430196134599</v>
      </c>
      <c r="C159" s="40" t="s">
        <v>28</v>
      </c>
      <c r="D159" s="42">
        <v>18.2246398925781</v>
      </c>
      <c r="E159" s="40">
        <v>0.73199999999999998</v>
      </c>
      <c r="F159" s="40">
        <v>17.899999999999999</v>
      </c>
      <c r="G159" s="40">
        <v>35.310211575156998</v>
      </c>
      <c r="H159" s="40">
        <v>-120.66304160199</v>
      </c>
      <c r="I159" s="40" t="s">
        <v>627</v>
      </c>
      <c r="K159" s="40" t="s">
        <v>30</v>
      </c>
      <c r="L159" s="40" t="s">
        <v>628</v>
      </c>
      <c r="M159" s="122">
        <v>20</v>
      </c>
      <c r="N159" s="121">
        <v>1</v>
      </c>
      <c r="O159" s="122">
        <v>1</v>
      </c>
      <c r="P159" s="122">
        <v>6</v>
      </c>
      <c r="Q159" s="122"/>
      <c r="S159" s="40" t="s">
        <v>33</v>
      </c>
      <c r="T159" s="40" t="s">
        <v>909</v>
      </c>
      <c r="U159" s="43" t="s">
        <v>910</v>
      </c>
      <c r="V159" s="43" t="s">
        <v>911</v>
      </c>
      <c r="AA159" s="40" t="s">
        <v>912</v>
      </c>
    </row>
    <row r="160" spans="1:27" s="40" customFormat="1">
      <c r="A160" s="40" t="s">
        <v>913</v>
      </c>
      <c r="B160" s="41">
        <v>0.494396666037898</v>
      </c>
      <c r="C160" s="40" t="s">
        <v>28</v>
      </c>
      <c r="D160" s="42">
        <v>16.29150390625</v>
      </c>
      <c r="E160" s="40">
        <v>0.61699999999999999</v>
      </c>
      <c r="F160" s="40">
        <v>16.8</v>
      </c>
      <c r="G160" s="40">
        <v>35.310308625954498</v>
      </c>
      <c r="H160" s="40">
        <v>-120.663017816953</v>
      </c>
      <c r="I160" s="40" t="s">
        <v>627</v>
      </c>
      <c r="K160" s="40" t="s">
        <v>30</v>
      </c>
      <c r="L160" s="40" t="s">
        <v>628</v>
      </c>
      <c r="M160" s="122">
        <v>20</v>
      </c>
      <c r="N160" s="121">
        <v>2</v>
      </c>
      <c r="O160" s="122">
        <v>1</v>
      </c>
      <c r="P160" s="122">
        <v>6</v>
      </c>
      <c r="Q160" s="122" t="s">
        <v>914</v>
      </c>
      <c r="R160" s="40" t="s">
        <v>915</v>
      </c>
      <c r="S160" s="40" t="s">
        <v>33</v>
      </c>
      <c r="T160" s="40" t="s">
        <v>909</v>
      </c>
      <c r="U160" s="43" t="s">
        <v>916</v>
      </c>
      <c r="V160" s="43" t="s">
        <v>917</v>
      </c>
      <c r="AA160" s="40" t="s">
        <v>918</v>
      </c>
    </row>
    <row r="161" spans="1:27" s="40" customFormat="1">
      <c r="A161" s="40" t="s">
        <v>919</v>
      </c>
      <c r="B161" s="41">
        <v>0.26956104078661097</v>
      </c>
      <c r="C161" s="40" t="s">
        <v>28</v>
      </c>
      <c r="D161" s="42">
        <v>1.26981556415557</v>
      </c>
      <c r="E161" s="40">
        <v>0.27100000000000002</v>
      </c>
      <c r="F161" s="40">
        <v>1.3</v>
      </c>
      <c r="G161" s="40">
        <v>35.310279314397803</v>
      </c>
      <c r="H161" s="40">
        <v>-120.6630340361</v>
      </c>
      <c r="I161" s="40" t="s">
        <v>627</v>
      </c>
      <c r="K161" s="40" t="s">
        <v>30</v>
      </c>
      <c r="L161" s="40" t="s">
        <v>628</v>
      </c>
      <c r="M161" s="122">
        <v>20</v>
      </c>
      <c r="N161" s="121">
        <v>2</v>
      </c>
      <c r="O161" s="122">
        <v>2</v>
      </c>
      <c r="P161" s="122">
        <v>6</v>
      </c>
      <c r="Q161" s="122"/>
      <c r="S161" s="40" t="s">
        <v>33</v>
      </c>
      <c r="T161" s="40" t="s">
        <v>909</v>
      </c>
      <c r="U161" s="43" t="s">
        <v>920</v>
      </c>
      <c r="V161" s="43" t="s">
        <v>921</v>
      </c>
      <c r="AA161" s="40" t="s">
        <v>922</v>
      </c>
    </row>
    <row r="162" spans="1:27" s="136" customFormat="1">
      <c r="A162" s="136" t="s">
        <v>923</v>
      </c>
      <c r="B162" s="137">
        <v>0.61975699583661403</v>
      </c>
      <c r="C162" s="136" t="s">
        <v>28</v>
      </c>
      <c r="D162" s="138">
        <v>1.7694941759109399</v>
      </c>
      <c r="E162" s="136">
        <v>0.61699999999999999</v>
      </c>
      <c r="G162" s="136">
        <v>35.310289742486901</v>
      </c>
      <c r="H162" s="136">
        <v>-120.663014407608</v>
      </c>
      <c r="I162" s="136" t="s">
        <v>627</v>
      </c>
      <c r="K162" s="136" t="s">
        <v>30</v>
      </c>
      <c r="L162" s="136" t="s">
        <v>628</v>
      </c>
      <c r="M162" s="170">
        <v>20</v>
      </c>
      <c r="N162" s="171">
        <v>2</v>
      </c>
      <c r="O162" s="170">
        <v>1</v>
      </c>
      <c r="P162" s="170">
        <v>6</v>
      </c>
      <c r="Q162" s="170" t="s">
        <v>924</v>
      </c>
      <c r="R162" s="136" t="s">
        <v>925</v>
      </c>
      <c r="S162" s="136" t="s">
        <v>33</v>
      </c>
      <c r="T162" s="136" t="s">
        <v>909</v>
      </c>
      <c r="U162" s="140" t="s">
        <v>926</v>
      </c>
      <c r="V162" s="140" t="s">
        <v>927</v>
      </c>
      <c r="AA162" s="136" t="s">
        <v>928</v>
      </c>
    </row>
    <row r="163" spans="1:27" s="11" customFormat="1">
      <c r="A163" s="11" t="s">
        <v>929</v>
      </c>
      <c r="B163" s="12">
        <v>0.61544881485006497</v>
      </c>
      <c r="C163" s="11" t="s">
        <v>28</v>
      </c>
      <c r="D163" s="13">
        <v>12.9264621734619</v>
      </c>
      <c r="E163" s="11">
        <v>0.629</v>
      </c>
      <c r="G163" s="11">
        <v>35.310517377252999</v>
      </c>
      <c r="H163" s="11">
        <v>-120.66149574715701</v>
      </c>
      <c r="I163" s="11" t="s">
        <v>627</v>
      </c>
      <c r="K163" s="11" t="s">
        <v>30</v>
      </c>
      <c r="L163" s="11" t="s">
        <v>628</v>
      </c>
      <c r="M163" s="129"/>
      <c r="N163" s="112"/>
      <c r="O163" s="129"/>
      <c r="P163" s="129">
        <v>4</v>
      </c>
      <c r="Q163" s="129"/>
      <c r="S163" s="11" t="s">
        <v>33</v>
      </c>
      <c r="T163" s="11" t="s">
        <v>930</v>
      </c>
      <c r="U163" s="47" t="s">
        <v>931</v>
      </c>
      <c r="V163" s="47" t="s">
        <v>932</v>
      </c>
      <c r="AA163" s="11" t="s">
        <v>933</v>
      </c>
    </row>
    <row r="164" spans="1:27" s="11" customFormat="1">
      <c r="A164" s="11" t="s">
        <v>934</v>
      </c>
      <c r="B164" s="12">
        <v>0.21642414337928001</v>
      </c>
      <c r="C164" s="11" t="s">
        <v>28</v>
      </c>
      <c r="D164" s="13">
        <v>12.026494026184</v>
      </c>
      <c r="E164" s="11">
        <v>0.223</v>
      </c>
      <c r="F164" s="11">
        <v>11.7</v>
      </c>
      <c r="G164" s="11">
        <v>35.310498601078102</v>
      </c>
      <c r="H164" s="11">
        <v>-120.66147458992999</v>
      </c>
      <c r="I164" s="11" t="s">
        <v>627</v>
      </c>
      <c r="K164" s="11" t="s">
        <v>30</v>
      </c>
      <c r="L164" s="11" t="s">
        <v>628</v>
      </c>
      <c r="M164" s="129"/>
      <c r="N164" s="112"/>
      <c r="O164" s="129"/>
      <c r="P164" s="129">
        <v>4</v>
      </c>
      <c r="Q164" s="129"/>
      <c r="S164" s="11" t="s">
        <v>33</v>
      </c>
      <c r="T164" s="11" t="s">
        <v>930</v>
      </c>
      <c r="U164" s="47" t="s">
        <v>935</v>
      </c>
      <c r="V164" s="47" t="s">
        <v>936</v>
      </c>
      <c r="AA164" s="11" t="s">
        <v>937</v>
      </c>
    </row>
    <row r="165" spans="1:27" s="11" customFormat="1">
      <c r="A165" s="11" t="s">
        <v>938</v>
      </c>
      <c r="B165" s="12">
        <v>0.31093565705251602</v>
      </c>
      <c r="C165" s="11" t="s">
        <v>28</v>
      </c>
      <c r="D165" s="13">
        <v>1.4397143125534</v>
      </c>
      <c r="E165" s="67">
        <v>0.36299999999999999</v>
      </c>
      <c r="G165" s="11">
        <v>35.3104330034936</v>
      </c>
      <c r="H165" s="11">
        <v>-120.66145696620499</v>
      </c>
      <c r="I165" s="11" t="s">
        <v>627</v>
      </c>
      <c r="K165" s="11" t="s">
        <v>30</v>
      </c>
      <c r="L165" s="11" t="s">
        <v>628</v>
      </c>
      <c r="M165" s="129"/>
      <c r="N165" s="112"/>
      <c r="O165" s="129"/>
      <c r="P165" s="129">
        <v>4</v>
      </c>
      <c r="Q165" s="129"/>
      <c r="R165" s="11" t="s">
        <v>939</v>
      </c>
      <c r="S165" s="11" t="s">
        <v>33</v>
      </c>
      <c r="T165" s="11" t="s">
        <v>930</v>
      </c>
      <c r="U165" s="47" t="s">
        <v>940</v>
      </c>
      <c r="V165" s="47" t="s">
        <v>941</v>
      </c>
      <c r="AA165" s="11" t="s">
        <v>942</v>
      </c>
    </row>
    <row r="166" spans="1:27" s="11" customFormat="1">
      <c r="A166" s="11" t="s">
        <v>943</v>
      </c>
      <c r="B166" s="12">
        <v>0.39598749315443998</v>
      </c>
      <c r="C166" s="11" t="s">
        <v>28</v>
      </c>
      <c r="D166" s="13">
        <v>1.34484839439392</v>
      </c>
      <c r="E166" s="11">
        <v>0.41399999999999998</v>
      </c>
      <c r="F166" s="11">
        <v>1.3</v>
      </c>
      <c r="G166" s="11">
        <v>35.3104348522781</v>
      </c>
      <c r="H166" s="11">
        <v>-120.66146758315899</v>
      </c>
      <c r="I166" s="11" t="s">
        <v>627</v>
      </c>
      <c r="K166" s="11" t="s">
        <v>30</v>
      </c>
      <c r="L166" s="11" t="s">
        <v>628</v>
      </c>
      <c r="M166" s="129"/>
      <c r="N166" s="112"/>
      <c r="O166" s="129"/>
      <c r="P166" s="129">
        <v>4</v>
      </c>
      <c r="Q166" s="129"/>
      <c r="S166" s="11" t="s">
        <v>33</v>
      </c>
      <c r="T166" s="11" t="s">
        <v>930</v>
      </c>
      <c r="U166" s="47" t="s">
        <v>944</v>
      </c>
      <c r="V166" s="47" t="s">
        <v>945</v>
      </c>
      <c r="AA166" s="11" t="s">
        <v>946</v>
      </c>
    </row>
    <row r="167" spans="1:27" s="11" customFormat="1">
      <c r="A167" s="11" t="s">
        <v>947</v>
      </c>
      <c r="B167" s="12">
        <v>0.26337061368629699</v>
      </c>
      <c r="C167" s="11" t="s">
        <v>28</v>
      </c>
      <c r="D167" s="13">
        <v>13.942717552185</v>
      </c>
      <c r="E167" s="11">
        <v>0.29599999999999999</v>
      </c>
      <c r="F167" s="11">
        <v>13.2</v>
      </c>
      <c r="G167" s="11">
        <v>35.310406823929299</v>
      </c>
      <c r="H167" s="11">
        <v>-120.661414305698</v>
      </c>
      <c r="I167" s="11" t="s">
        <v>627</v>
      </c>
      <c r="K167" s="11" t="s">
        <v>30</v>
      </c>
      <c r="L167" s="11" t="s">
        <v>628</v>
      </c>
      <c r="M167" s="129"/>
      <c r="N167" s="112"/>
      <c r="O167" s="129"/>
      <c r="P167" s="129">
        <v>4</v>
      </c>
      <c r="Q167" s="129"/>
      <c r="R167" s="11">
        <v>3.1</v>
      </c>
      <c r="S167" s="11" t="s">
        <v>33</v>
      </c>
      <c r="T167" s="11" t="s">
        <v>930</v>
      </c>
      <c r="U167" s="47" t="s">
        <v>948</v>
      </c>
      <c r="V167" s="47" t="s">
        <v>949</v>
      </c>
      <c r="AA167" s="11" t="s">
        <v>950</v>
      </c>
    </row>
    <row r="168" spans="1:27" s="11" customFormat="1">
      <c r="A168" s="11" t="s">
        <v>951</v>
      </c>
      <c r="B168" s="12">
        <v>0.243779198478218</v>
      </c>
      <c r="C168" s="11" t="s">
        <v>28</v>
      </c>
      <c r="D168" s="13">
        <v>1.3683351278305</v>
      </c>
      <c r="E168" s="11">
        <v>0.28799999999999998</v>
      </c>
      <c r="F168" s="11">
        <v>1.3</v>
      </c>
      <c r="G168" s="11">
        <v>35.3103975268209</v>
      </c>
      <c r="H168" s="11">
        <v>-120.66138217692701</v>
      </c>
      <c r="I168" s="11" t="s">
        <v>627</v>
      </c>
      <c r="K168" s="11" t="s">
        <v>30</v>
      </c>
      <c r="L168" s="11" t="s">
        <v>628</v>
      </c>
      <c r="M168" s="129"/>
      <c r="N168" s="112"/>
      <c r="O168" s="129"/>
      <c r="P168" s="129">
        <v>4</v>
      </c>
      <c r="Q168" s="129"/>
      <c r="R168" s="11">
        <v>3.2</v>
      </c>
      <c r="S168" s="11" t="s">
        <v>33</v>
      </c>
      <c r="T168" s="11" t="s">
        <v>930</v>
      </c>
      <c r="U168" s="47" t="s">
        <v>952</v>
      </c>
      <c r="V168" s="47" t="s">
        <v>953</v>
      </c>
      <c r="AA168" s="11" t="s">
        <v>954</v>
      </c>
    </row>
    <row r="169" spans="1:27" s="11" customFormat="1">
      <c r="A169" s="11" t="s">
        <v>955</v>
      </c>
      <c r="B169" s="12">
        <v>0.16554095929242499</v>
      </c>
      <c r="C169" s="11" t="s">
        <v>28</v>
      </c>
      <c r="D169" s="13">
        <v>1.61874151229858</v>
      </c>
      <c r="E169" s="11">
        <v>0.248</v>
      </c>
      <c r="F169" s="11">
        <v>1.3</v>
      </c>
      <c r="G169" s="11">
        <v>35.310360097881599</v>
      </c>
      <c r="H169" s="11">
        <v>-120.66143572361</v>
      </c>
      <c r="I169" s="11" t="s">
        <v>627</v>
      </c>
      <c r="K169" s="11" t="s">
        <v>30</v>
      </c>
      <c r="L169" s="11" t="s">
        <v>628</v>
      </c>
      <c r="M169" s="129"/>
      <c r="N169" s="112"/>
      <c r="O169" s="129"/>
      <c r="P169" s="129">
        <v>4</v>
      </c>
      <c r="Q169" s="129"/>
      <c r="R169" s="11">
        <v>3.3</v>
      </c>
      <c r="S169" s="11" t="s">
        <v>33</v>
      </c>
      <c r="T169" s="11" t="s">
        <v>930</v>
      </c>
      <c r="U169" s="47" t="s">
        <v>956</v>
      </c>
      <c r="V169" s="47" t="s">
        <v>957</v>
      </c>
      <c r="AA169" s="11" t="s">
        <v>958</v>
      </c>
    </row>
    <row r="170" spans="1:27" s="11" customFormat="1">
      <c r="A170" s="11" t="s">
        <v>959</v>
      </c>
      <c r="B170" s="12">
        <v>0.23388480744016299</v>
      </c>
      <c r="C170" s="11" t="s">
        <v>28</v>
      </c>
      <c r="D170" s="13">
        <v>1.758234500885</v>
      </c>
      <c r="E170" s="11">
        <v>0.28199999999999997</v>
      </c>
      <c r="F170" s="11">
        <v>1.3</v>
      </c>
      <c r="G170" s="11">
        <v>35.310400224474797</v>
      </c>
      <c r="H170" s="11">
        <v>-120.661405240536</v>
      </c>
      <c r="I170" s="11" t="s">
        <v>627</v>
      </c>
      <c r="K170" s="11" t="s">
        <v>30</v>
      </c>
      <c r="L170" s="11" t="s">
        <v>628</v>
      </c>
      <c r="M170" s="129"/>
      <c r="N170" s="112"/>
      <c r="O170" s="129"/>
      <c r="P170" s="129">
        <v>4</v>
      </c>
      <c r="Q170" s="129"/>
      <c r="R170" s="11">
        <v>3.4</v>
      </c>
      <c r="S170" s="11" t="s">
        <v>33</v>
      </c>
      <c r="T170" s="11" t="s">
        <v>930</v>
      </c>
      <c r="U170" s="47" t="s">
        <v>960</v>
      </c>
      <c r="V170" s="47" t="s">
        <v>961</v>
      </c>
      <c r="AA170" s="11" t="s">
        <v>962</v>
      </c>
    </row>
    <row r="171" spans="1:27" s="11" customFormat="1">
      <c r="A171" s="11" t="s">
        <v>963</v>
      </c>
      <c r="B171" s="12">
        <v>0.237522227497831</v>
      </c>
      <c r="C171" s="11" t="s">
        <v>28</v>
      </c>
      <c r="D171" s="13">
        <v>1.2609287500381401</v>
      </c>
      <c r="E171" s="11">
        <v>0.248</v>
      </c>
      <c r="F171" s="11">
        <v>1.3</v>
      </c>
      <c r="G171" s="11">
        <v>35.310366411170101</v>
      </c>
      <c r="H171" s="11">
        <v>-120.661399673573</v>
      </c>
      <c r="I171" s="11" t="s">
        <v>627</v>
      </c>
      <c r="K171" s="11" t="s">
        <v>30</v>
      </c>
      <c r="L171" s="11" t="s">
        <v>628</v>
      </c>
      <c r="M171" s="129"/>
      <c r="N171" s="112"/>
      <c r="O171" s="129"/>
      <c r="P171" s="129">
        <v>4</v>
      </c>
      <c r="Q171" s="129"/>
      <c r="R171" s="11">
        <v>3.5</v>
      </c>
      <c r="S171" s="11" t="s">
        <v>33</v>
      </c>
      <c r="U171" s="47" t="s">
        <v>964</v>
      </c>
      <c r="V171" s="47" t="s">
        <v>965</v>
      </c>
      <c r="AA171" s="11" t="s">
        <v>966</v>
      </c>
    </row>
    <row r="172" spans="1:27" s="11" customFormat="1">
      <c r="A172" s="11" t="s">
        <v>967</v>
      </c>
      <c r="B172" s="12">
        <v>0.54379517476594297</v>
      </c>
      <c r="C172" s="11" t="s">
        <v>28</v>
      </c>
      <c r="D172" s="13">
        <v>14.3909034729003</v>
      </c>
      <c r="E172" s="11">
        <v>0.55299999999999905</v>
      </c>
      <c r="F172" s="11">
        <v>14.1</v>
      </c>
      <c r="G172" s="11">
        <v>35.3103490253934</v>
      </c>
      <c r="H172" s="11">
        <v>-120.661405701211</v>
      </c>
      <c r="I172" s="11" t="s">
        <v>627</v>
      </c>
      <c r="K172" s="11" t="s">
        <v>30</v>
      </c>
      <c r="L172" s="11" t="s">
        <v>628</v>
      </c>
      <c r="M172" s="129"/>
      <c r="N172" s="112"/>
      <c r="O172" s="129"/>
      <c r="P172" s="129">
        <v>4</v>
      </c>
      <c r="Q172" s="129"/>
      <c r="R172" s="11">
        <v>4.0999999999999996</v>
      </c>
      <c r="S172" s="11" t="s">
        <v>33</v>
      </c>
      <c r="T172" s="11" t="s">
        <v>930</v>
      </c>
      <c r="U172" s="47" t="s">
        <v>968</v>
      </c>
      <c r="V172" s="47" t="s">
        <v>969</v>
      </c>
      <c r="AA172" s="11" t="s">
        <v>970</v>
      </c>
    </row>
    <row r="173" spans="1:27" s="11" customFormat="1">
      <c r="A173" s="11" t="s">
        <v>971</v>
      </c>
      <c r="B173" s="12">
        <v>0.61402997337334597</v>
      </c>
      <c r="C173" s="11" t="s">
        <v>28</v>
      </c>
      <c r="D173" s="13">
        <v>1.22324454784393</v>
      </c>
      <c r="E173" s="11">
        <v>0.63</v>
      </c>
      <c r="F173" s="11">
        <v>1.3</v>
      </c>
      <c r="G173" s="11">
        <v>35.3104021291729</v>
      </c>
      <c r="H173" s="11">
        <v>-120.661434949867</v>
      </c>
      <c r="I173" s="11" t="s">
        <v>627</v>
      </c>
      <c r="K173" s="11" t="s">
        <v>30</v>
      </c>
      <c r="L173" s="11" t="s">
        <v>628</v>
      </c>
      <c r="M173" s="129"/>
      <c r="N173" s="112"/>
      <c r="O173" s="129"/>
      <c r="P173" s="129">
        <v>4</v>
      </c>
      <c r="Q173" s="129"/>
      <c r="R173" s="11">
        <v>4.2</v>
      </c>
      <c r="S173" s="11" t="s">
        <v>33</v>
      </c>
      <c r="T173" s="11" t="s">
        <v>930</v>
      </c>
      <c r="U173" s="47" t="s">
        <v>972</v>
      </c>
      <c r="V173" s="47" t="s">
        <v>973</v>
      </c>
      <c r="AA173" s="11" t="s">
        <v>974</v>
      </c>
    </row>
    <row r="174" spans="1:27" s="11" customFormat="1">
      <c r="A174" s="11" t="s">
        <v>975</v>
      </c>
      <c r="B174" s="12">
        <v>0.481048230901572</v>
      </c>
      <c r="C174" s="11" t="s">
        <v>28</v>
      </c>
      <c r="D174" s="13">
        <v>13.256700515746999</v>
      </c>
      <c r="E174" s="11">
        <v>0.52100000000000002</v>
      </c>
      <c r="F174" s="11">
        <v>13</v>
      </c>
      <c r="G174" s="11">
        <v>35.310399360056401</v>
      </c>
      <c r="H174" s="11">
        <v>-120.661342106871</v>
      </c>
      <c r="I174" s="11" t="s">
        <v>627</v>
      </c>
      <c r="K174" s="11" t="s">
        <v>30</v>
      </c>
      <c r="L174" s="11" t="s">
        <v>628</v>
      </c>
      <c r="M174" s="129"/>
      <c r="N174" s="112"/>
      <c r="O174" s="129"/>
      <c r="P174" s="129">
        <v>4</v>
      </c>
      <c r="Q174" s="129"/>
      <c r="R174" s="11">
        <v>5.0999999999999996</v>
      </c>
      <c r="S174" s="11" t="s">
        <v>33</v>
      </c>
      <c r="T174" s="11" t="s">
        <v>930</v>
      </c>
      <c r="U174" s="47" t="s">
        <v>976</v>
      </c>
      <c r="V174" s="47" t="s">
        <v>977</v>
      </c>
      <c r="AA174" s="11" t="s">
        <v>978</v>
      </c>
    </row>
    <row r="175" spans="1:27" s="11" customFormat="1">
      <c r="A175" s="11" t="s">
        <v>979</v>
      </c>
      <c r="B175" s="12">
        <v>0.40005521912861902</v>
      </c>
      <c r="C175" s="11" t="s">
        <v>28</v>
      </c>
      <c r="D175" s="13">
        <v>1.2690014839172301</v>
      </c>
      <c r="E175" s="11">
        <v>0.45799999999999902</v>
      </c>
      <c r="F175" s="11">
        <v>1.3</v>
      </c>
      <c r="G175" s="11">
        <v>35.3103503804913</v>
      </c>
      <c r="H175" s="11">
        <v>-120.66129897155</v>
      </c>
      <c r="I175" s="11" t="s">
        <v>627</v>
      </c>
      <c r="K175" s="11" t="s">
        <v>30</v>
      </c>
      <c r="L175" s="11" t="s">
        <v>628</v>
      </c>
      <c r="M175" s="129"/>
      <c r="N175" s="112"/>
      <c r="O175" s="129"/>
      <c r="P175" s="129">
        <v>4</v>
      </c>
      <c r="Q175" s="129"/>
      <c r="R175" s="11">
        <v>5.2</v>
      </c>
      <c r="S175" s="11" t="s">
        <v>33</v>
      </c>
      <c r="T175" s="11" t="s">
        <v>930</v>
      </c>
      <c r="U175" s="47" t="s">
        <v>980</v>
      </c>
      <c r="V175" s="47" t="s">
        <v>981</v>
      </c>
      <c r="AA175" s="11" t="s">
        <v>982</v>
      </c>
    </row>
    <row r="176" spans="1:27" s="11" customFormat="1">
      <c r="A176" s="11" t="s">
        <v>983</v>
      </c>
      <c r="B176" s="12">
        <v>0.23357482444594899</v>
      </c>
      <c r="C176" s="11" t="s">
        <v>28</v>
      </c>
      <c r="D176" s="13">
        <v>1.3416066169738701</v>
      </c>
      <c r="E176" s="11">
        <v>0.28199999999999997</v>
      </c>
      <c r="F176" s="11">
        <v>1.3</v>
      </c>
      <c r="G176" s="11">
        <v>35.310400315628499</v>
      </c>
      <c r="H176" s="11">
        <v>-120.661306245901</v>
      </c>
      <c r="I176" s="11" t="s">
        <v>627</v>
      </c>
      <c r="K176" s="11" t="s">
        <v>30</v>
      </c>
      <c r="L176" s="11" t="s">
        <v>628</v>
      </c>
      <c r="M176" s="129"/>
      <c r="N176" s="112"/>
      <c r="O176" s="129"/>
      <c r="P176" s="129">
        <v>4</v>
      </c>
      <c r="Q176" s="129"/>
      <c r="R176" s="11">
        <v>5.3</v>
      </c>
      <c r="S176" s="11" t="s">
        <v>33</v>
      </c>
      <c r="T176" s="11" t="s">
        <v>930</v>
      </c>
      <c r="U176" s="47" t="s">
        <v>984</v>
      </c>
      <c r="V176" s="47" t="s">
        <v>985</v>
      </c>
      <c r="AA176" s="11" t="s">
        <v>986</v>
      </c>
    </row>
    <row r="177" spans="1:30" s="11" customFormat="1">
      <c r="A177" s="11" t="s">
        <v>987</v>
      </c>
      <c r="B177" s="12">
        <v>0.34839585943354701</v>
      </c>
      <c r="C177" s="11" t="s">
        <v>28</v>
      </c>
      <c r="D177" s="13">
        <v>1.3639338016510001</v>
      </c>
      <c r="E177" s="11">
        <v>0.373</v>
      </c>
      <c r="F177" s="11">
        <v>1.3</v>
      </c>
      <c r="G177" s="11">
        <v>35.310414147652601</v>
      </c>
      <c r="H177" s="11">
        <v>-120.661327418002</v>
      </c>
      <c r="I177" s="11" t="s">
        <v>627</v>
      </c>
      <c r="K177" s="11" t="s">
        <v>30</v>
      </c>
      <c r="L177" s="11" t="s">
        <v>628</v>
      </c>
      <c r="M177" s="129"/>
      <c r="N177" s="112"/>
      <c r="O177" s="129"/>
      <c r="P177" s="129">
        <v>4</v>
      </c>
      <c r="Q177" s="129"/>
      <c r="R177" s="11">
        <v>5.4</v>
      </c>
      <c r="S177" s="11" t="s">
        <v>33</v>
      </c>
      <c r="T177" s="11" t="s">
        <v>930</v>
      </c>
      <c r="U177" s="47" t="s">
        <v>988</v>
      </c>
      <c r="V177" s="47" t="s">
        <v>989</v>
      </c>
      <c r="AA177" s="11" t="s">
        <v>990</v>
      </c>
    </row>
    <row r="178" spans="1:30" s="68" customFormat="1">
      <c r="A178" s="68" t="s">
        <v>991</v>
      </c>
      <c r="B178" s="69">
        <v>7.26102747168033E-2</v>
      </c>
      <c r="C178" s="68" t="s">
        <v>28</v>
      </c>
      <c r="D178" s="70">
        <v>4.3274192810058496</v>
      </c>
      <c r="G178" s="68">
        <v>35.310429642276802</v>
      </c>
      <c r="H178" s="68">
        <v>-120.661536673586</v>
      </c>
      <c r="I178" s="68" t="s">
        <v>627</v>
      </c>
      <c r="K178" s="68" t="s">
        <v>30</v>
      </c>
      <c r="L178" s="68" t="s">
        <v>628</v>
      </c>
      <c r="M178" s="91"/>
      <c r="N178" s="115"/>
      <c r="O178" s="91"/>
      <c r="P178" s="91">
        <v>4</v>
      </c>
      <c r="Q178" s="91"/>
      <c r="R178" s="68" t="s">
        <v>992</v>
      </c>
      <c r="S178" s="68" t="s">
        <v>33</v>
      </c>
      <c r="T178" s="68" t="s">
        <v>993</v>
      </c>
      <c r="U178" s="71" t="s">
        <v>994</v>
      </c>
      <c r="V178" s="71" t="s">
        <v>995</v>
      </c>
      <c r="AA178" s="68" t="s">
        <v>996</v>
      </c>
    </row>
    <row r="179" spans="1:30" s="15" customFormat="1">
      <c r="A179" s="15" t="s">
        <v>997</v>
      </c>
      <c r="B179" s="16">
        <v>0.12942956771973399</v>
      </c>
      <c r="C179" s="15" t="s">
        <v>28</v>
      </c>
      <c r="D179" s="17">
        <v>11.3087148666381</v>
      </c>
      <c r="E179" s="15">
        <v>0.156</v>
      </c>
      <c r="F179" s="15">
        <v>10.1</v>
      </c>
      <c r="G179" s="15">
        <v>35.310433804544097</v>
      </c>
      <c r="H179" s="15">
        <v>-120.661560234126</v>
      </c>
      <c r="I179" s="15" t="s">
        <v>627</v>
      </c>
      <c r="K179" s="15" t="s">
        <v>30</v>
      </c>
      <c r="L179" s="15" t="s">
        <v>628</v>
      </c>
      <c r="M179" s="119"/>
      <c r="N179" s="118"/>
      <c r="O179" s="119"/>
      <c r="P179" s="119">
        <v>4</v>
      </c>
      <c r="Q179" s="119"/>
      <c r="R179" s="15">
        <v>1.1000000000000001</v>
      </c>
      <c r="S179" s="15" t="s">
        <v>33</v>
      </c>
      <c r="T179" s="15" t="s">
        <v>107</v>
      </c>
      <c r="U179" s="45" t="s">
        <v>998</v>
      </c>
      <c r="V179" s="45" t="s">
        <v>999</v>
      </c>
      <c r="AA179" s="15" t="s">
        <v>1000</v>
      </c>
    </row>
    <row r="180" spans="1:30" s="15" customFormat="1">
      <c r="A180" s="15" t="s">
        <v>1001</v>
      </c>
      <c r="B180" s="16">
        <v>0.15450409968669099</v>
      </c>
      <c r="C180" s="15" t="s">
        <v>28</v>
      </c>
      <c r="D180" s="17">
        <v>1.3425534963607699</v>
      </c>
      <c r="E180" s="15">
        <v>0.16500000000000001</v>
      </c>
      <c r="F180" s="15">
        <v>1.3</v>
      </c>
      <c r="G180" s="15">
        <v>35.310397695620303</v>
      </c>
      <c r="H180" s="15">
        <v>-120.661499656038</v>
      </c>
      <c r="I180" s="15" t="s">
        <v>627</v>
      </c>
      <c r="K180" s="15" t="s">
        <v>30</v>
      </c>
      <c r="L180" s="15" t="s">
        <v>628</v>
      </c>
      <c r="M180" s="119"/>
      <c r="N180" s="118"/>
      <c r="O180" s="119"/>
      <c r="P180" s="119">
        <v>4</v>
      </c>
      <c r="Q180" s="119"/>
      <c r="R180" s="15">
        <v>1.2</v>
      </c>
      <c r="S180" s="15" t="s">
        <v>33</v>
      </c>
      <c r="U180" s="45" t="s">
        <v>1002</v>
      </c>
      <c r="V180" s="45" t="s">
        <v>1003</v>
      </c>
      <c r="AA180" s="15" t="s">
        <v>1004</v>
      </c>
    </row>
    <row r="181" spans="1:30" s="15" customFormat="1">
      <c r="A181" s="15" t="s">
        <v>1005</v>
      </c>
      <c r="B181" s="16">
        <v>0.13175625539194599</v>
      </c>
      <c r="C181" s="15" t="s">
        <v>28</v>
      </c>
      <c r="D181" s="17">
        <v>1.3308663368225</v>
      </c>
      <c r="E181" s="15">
        <v>0.19399999999999901</v>
      </c>
      <c r="F181" s="15">
        <v>1.3</v>
      </c>
      <c r="G181" s="15">
        <v>35.310435204628497</v>
      </c>
      <c r="H181" s="15">
        <v>-120.66149769135301</v>
      </c>
      <c r="I181" s="15" t="s">
        <v>627</v>
      </c>
      <c r="K181" s="15" t="s">
        <v>30</v>
      </c>
      <c r="L181" s="15" t="s">
        <v>628</v>
      </c>
      <c r="M181" s="119"/>
      <c r="N181" s="118"/>
      <c r="O181" s="119"/>
      <c r="P181" s="119">
        <v>4</v>
      </c>
      <c r="Q181" s="119"/>
      <c r="R181" s="15">
        <v>1.3</v>
      </c>
      <c r="S181" s="15" t="s">
        <v>33</v>
      </c>
      <c r="U181" s="45" t="s">
        <v>1006</v>
      </c>
      <c r="V181" s="45" t="s">
        <v>1007</v>
      </c>
      <c r="AA181" s="15" t="s">
        <v>1008</v>
      </c>
    </row>
    <row r="182" spans="1:30" s="15" customFormat="1">
      <c r="A182" s="15" t="s">
        <v>1009</v>
      </c>
      <c r="B182" s="16">
        <v>0.149605166551735</v>
      </c>
      <c r="C182" s="15" t="s">
        <v>28</v>
      </c>
      <c r="D182" s="17">
        <v>1.3272720575332599</v>
      </c>
      <c r="E182" s="15">
        <v>0.158</v>
      </c>
      <c r="F182" s="15">
        <v>1.3</v>
      </c>
      <c r="G182" s="15">
        <v>35.310406135914</v>
      </c>
      <c r="H182" s="15">
        <v>-120.66154609249099</v>
      </c>
      <c r="I182" s="15" t="s">
        <v>627</v>
      </c>
      <c r="K182" s="15" t="s">
        <v>30</v>
      </c>
      <c r="L182" s="15" t="s">
        <v>628</v>
      </c>
      <c r="M182" s="119"/>
      <c r="N182" s="118"/>
      <c r="O182" s="119"/>
      <c r="P182" s="119">
        <v>4</v>
      </c>
      <c r="Q182" s="119"/>
      <c r="R182" s="15">
        <v>1.4</v>
      </c>
      <c r="S182" s="15" t="s">
        <v>33</v>
      </c>
      <c r="U182" s="45" t="s">
        <v>1010</v>
      </c>
      <c r="V182" s="45" t="s">
        <v>1011</v>
      </c>
      <c r="AA182" s="15" t="s">
        <v>1012</v>
      </c>
    </row>
    <row r="183" spans="1:30" s="15" customFormat="1">
      <c r="A183" s="15" t="s">
        <v>1013</v>
      </c>
      <c r="B183" s="16">
        <v>0.23363036315059901</v>
      </c>
      <c r="C183" s="15" t="s">
        <v>28</v>
      </c>
      <c r="D183" s="17">
        <v>1.2683092355728101</v>
      </c>
      <c r="E183" s="15">
        <v>0.247</v>
      </c>
      <c r="F183" s="15">
        <v>1.3</v>
      </c>
      <c r="G183" s="15">
        <v>35.310371342956401</v>
      </c>
      <c r="H183" s="15">
        <v>-120.66152228060901</v>
      </c>
      <c r="I183" s="15" t="s">
        <v>627</v>
      </c>
      <c r="K183" s="15" t="s">
        <v>30</v>
      </c>
      <c r="L183" s="15" t="s">
        <v>628</v>
      </c>
      <c r="M183" s="119"/>
      <c r="N183" s="118"/>
      <c r="O183" s="119"/>
      <c r="P183" s="119">
        <v>4</v>
      </c>
      <c r="Q183" s="119"/>
      <c r="R183" s="15">
        <v>1.5</v>
      </c>
      <c r="S183" s="15" t="s">
        <v>33</v>
      </c>
      <c r="U183" s="45" t="s">
        <v>1014</v>
      </c>
      <c r="V183" s="45" t="s">
        <v>1015</v>
      </c>
      <c r="AA183" s="15" t="s">
        <v>1016</v>
      </c>
    </row>
    <row r="184" spans="1:30" s="15" customFormat="1">
      <c r="A184" s="15" t="s">
        <v>1017</v>
      </c>
      <c r="B184" s="16">
        <v>0.12805004376222501</v>
      </c>
      <c r="C184" s="15" t="s">
        <v>28</v>
      </c>
      <c r="D184" s="17">
        <v>2.16776418685913</v>
      </c>
      <c r="E184" s="15">
        <v>0.15</v>
      </c>
      <c r="F184" s="15">
        <v>1.3</v>
      </c>
      <c r="G184" s="15">
        <v>35.310414342885601</v>
      </c>
      <c r="H184" s="15">
        <v>-120.66155277068</v>
      </c>
      <c r="I184" s="15" t="s">
        <v>627</v>
      </c>
      <c r="K184" s="15" t="s">
        <v>30</v>
      </c>
      <c r="L184" s="15" t="s">
        <v>628</v>
      </c>
      <c r="M184" s="119"/>
      <c r="N184" s="118"/>
      <c r="O184" s="119"/>
      <c r="P184" s="119">
        <v>4</v>
      </c>
      <c r="Q184" s="119"/>
      <c r="R184" s="15">
        <v>1.6</v>
      </c>
      <c r="S184" s="15" t="s">
        <v>33</v>
      </c>
      <c r="U184" s="45" t="s">
        <v>1018</v>
      </c>
      <c r="V184" s="45" t="s">
        <v>1019</v>
      </c>
      <c r="AA184" s="15" t="s">
        <v>1020</v>
      </c>
    </row>
    <row r="185" spans="1:30" s="15" customFormat="1">
      <c r="A185" s="15" t="s">
        <v>1021</v>
      </c>
      <c r="B185" s="16">
        <v>0.115103978490727</v>
      </c>
      <c r="C185" s="15" t="s">
        <v>28</v>
      </c>
      <c r="D185" s="17">
        <v>2.5900113582611</v>
      </c>
      <c r="E185" s="15">
        <v>0.113</v>
      </c>
      <c r="F185" s="15">
        <v>1.3</v>
      </c>
      <c r="G185" s="15">
        <v>35.310408231377103</v>
      </c>
      <c r="H185" s="15">
        <v>-120.661510221787</v>
      </c>
      <c r="I185" s="15" t="s">
        <v>627</v>
      </c>
      <c r="K185" s="15" t="s">
        <v>30</v>
      </c>
      <c r="L185" s="15" t="s">
        <v>628</v>
      </c>
      <c r="M185" s="119"/>
      <c r="N185" s="118"/>
      <c r="O185" s="119"/>
      <c r="P185" s="119">
        <v>4</v>
      </c>
      <c r="Q185" s="119"/>
      <c r="R185" s="15">
        <v>1.7</v>
      </c>
      <c r="S185" s="15" t="s">
        <v>33</v>
      </c>
      <c r="U185" s="45" t="s">
        <v>1022</v>
      </c>
      <c r="V185" s="45" t="s">
        <v>1023</v>
      </c>
      <c r="AA185" s="15" t="s">
        <v>1024</v>
      </c>
    </row>
    <row r="186" spans="1:30" s="68" customFormat="1">
      <c r="A186" s="68" t="s">
        <v>1025</v>
      </c>
      <c r="B186" s="69">
        <v>9.2806349605994695E-2</v>
      </c>
      <c r="C186" s="68" t="s">
        <v>28</v>
      </c>
      <c r="D186" s="70">
        <v>4.3784036636352504</v>
      </c>
      <c r="G186" s="68">
        <v>35.310297826685897</v>
      </c>
      <c r="H186" s="68">
        <v>-120.66158591866601</v>
      </c>
      <c r="I186" s="68" t="s">
        <v>627</v>
      </c>
      <c r="K186" s="68" t="s">
        <v>30</v>
      </c>
      <c r="L186" s="68" t="s">
        <v>628</v>
      </c>
      <c r="M186" s="91"/>
      <c r="N186" s="115"/>
      <c r="O186" s="91"/>
      <c r="P186" s="91">
        <v>4</v>
      </c>
      <c r="Q186" s="91"/>
      <c r="R186" s="68" t="s">
        <v>1026</v>
      </c>
      <c r="S186" s="68" t="s">
        <v>33</v>
      </c>
      <c r="T186" s="68" t="s">
        <v>107</v>
      </c>
      <c r="U186" s="71" t="s">
        <v>1027</v>
      </c>
      <c r="V186" s="71" t="s">
        <v>1028</v>
      </c>
      <c r="AA186" s="68" t="s">
        <v>1029</v>
      </c>
    </row>
    <row r="187" spans="1:30">
      <c r="A187" s="57" t="s">
        <v>1030</v>
      </c>
      <c r="B187" s="58">
        <v>9.91045572118541E-2</v>
      </c>
      <c r="C187" s="57" t="s">
        <v>28</v>
      </c>
      <c r="D187" s="59">
        <v>5.3603625297546298</v>
      </c>
      <c r="E187" s="11">
        <v>9.8000000000000004E-2</v>
      </c>
      <c r="F187" s="57">
        <v>4.5999999999999996</v>
      </c>
      <c r="G187" s="57">
        <v>35.310331509323198</v>
      </c>
      <c r="H187" s="57">
        <v>-120.661357744954</v>
      </c>
      <c r="I187" s="57" t="s">
        <v>627</v>
      </c>
      <c r="J187" s="57"/>
      <c r="K187" s="57" t="s">
        <v>30</v>
      </c>
      <c r="L187" s="57" t="s">
        <v>628</v>
      </c>
      <c r="M187" s="88"/>
      <c r="N187" s="100"/>
      <c r="O187" s="88"/>
      <c r="P187" s="88">
        <v>4</v>
      </c>
      <c r="Q187" s="88"/>
      <c r="R187" s="57"/>
      <c r="S187" s="57" t="s">
        <v>33</v>
      </c>
      <c r="T187" s="57" t="s">
        <v>1031</v>
      </c>
      <c r="U187" s="172" t="s">
        <v>1032</v>
      </c>
      <c r="V187" s="172" t="s">
        <v>1033</v>
      </c>
      <c r="W187" s="57"/>
      <c r="X187" s="57"/>
      <c r="Y187" s="57"/>
      <c r="AA187" s="57" t="s">
        <v>1034</v>
      </c>
      <c r="AB187" s="57"/>
      <c r="AC187" s="57"/>
      <c r="AD187" s="57"/>
    </row>
    <row r="188" spans="1:30" s="68" customFormat="1">
      <c r="A188" s="68" t="s">
        <v>1035</v>
      </c>
      <c r="B188" s="69">
        <v>0.13622662289695001</v>
      </c>
      <c r="C188" s="68" t="s">
        <v>28</v>
      </c>
      <c r="D188" s="70">
        <v>3.2900044918060298</v>
      </c>
      <c r="F188" s="68">
        <v>3.5</v>
      </c>
      <c r="G188" s="68">
        <v>35.310314032933903</v>
      </c>
      <c r="H188" s="68">
        <v>-120.661429348379</v>
      </c>
      <c r="I188" s="68" t="s">
        <v>627</v>
      </c>
      <c r="K188" s="68" t="s">
        <v>30</v>
      </c>
      <c r="L188" s="68" t="s">
        <v>628</v>
      </c>
      <c r="M188" s="91"/>
      <c r="N188" s="115"/>
      <c r="O188" s="91"/>
      <c r="P188" s="91">
        <v>4</v>
      </c>
      <c r="Q188" s="91"/>
      <c r="R188" s="68" t="s">
        <v>1036</v>
      </c>
      <c r="S188" s="68" t="s">
        <v>33</v>
      </c>
      <c r="T188" s="68" t="s">
        <v>107</v>
      </c>
      <c r="U188" s="173" t="s">
        <v>1037</v>
      </c>
      <c r="V188" s="173" t="s">
        <v>1038</v>
      </c>
      <c r="AA188" s="68" t="s">
        <v>1039</v>
      </c>
    </row>
    <row r="189" spans="1:30" s="68" customFormat="1">
      <c r="A189" s="68" t="s">
        <v>1040</v>
      </c>
      <c r="B189" s="69">
        <v>5.4230102218448401E-2</v>
      </c>
      <c r="C189" s="68" t="s">
        <v>28</v>
      </c>
      <c r="D189" s="70">
        <v>2.9521360397338801</v>
      </c>
      <c r="E189" s="68">
        <v>0</v>
      </c>
      <c r="F189" s="68">
        <v>3.1</v>
      </c>
      <c r="G189" s="68">
        <v>35.3103172840243</v>
      </c>
      <c r="H189" s="68">
        <v>-120.661431373483</v>
      </c>
      <c r="I189" s="68" t="s">
        <v>627</v>
      </c>
      <c r="K189" s="68" t="s">
        <v>30</v>
      </c>
      <c r="L189" s="68" t="s">
        <v>628</v>
      </c>
      <c r="M189" s="91"/>
      <c r="N189" s="115"/>
      <c r="O189" s="91"/>
      <c r="P189" s="91">
        <v>4</v>
      </c>
      <c r="Q189" s="91"/>
      <c r="R189" s="68" t="s">
        <v>1041</v>
      </c>
      <c r="S189" s="68" t="s">
        <v>33</v>
      </c>
      <c r="T189" s="68" t="s">
        <v>107</v>
      </c>
      <c r="U189" s="173" t="s">
        <v>1042</v>
      </c>
      <c r="V189" s="173" t="s">
        <v>1043</v>
      </c>
      <c r="AA189" s="68" t="s">
        <v>1044</v>
      </c>
    </row>
    <row r="190" spans="1:30" s="68" customFormat="1">
      <c r="A190" s="68" t="s">
        <v>1045</v>
      </c>
      <c r="B190" s="69">
        <v>9.7415755709861995E-2</v>
      </c>
      <c r="C190" s="68" t="s">
        <v>28</v>
      </c>
      <c r="D190" s="70">
        <v>3.0311982631683301</v>
      </c>
      <c r="E190" s="68">
        <v>0</v>
      </c>
      <c r="F190" s="68">
        <v>3.1</v>
      </c>
      <c r="G190" s="68">
        <v>35.310262730593003</v>
      </c>
      <c r="H190" s="68">
        <v>-120.661423713896</v>
      </c>
      <c r="I190" s="68" t="s">
        <v>627</v>
      </c>
      <c r="K190" s="68" t="s">
        <v>30</v>
      </c>
      <c r="L190" s="68" t="s">
        <v>628</v>
      </c>
      <c r="M190" s="91"/>
      <c r="N190" s="115"/>
      <c r="O190" s="91"/>
      <c r="P190" s="91">
        <v>4</v>
      </c>
      <c r="Q190" s="91"/>
      <c r="R190" s="68" t="s">
        <v>1046</v>
      </c>
      <c r="S190" s="68" t="s">
        <v>33</v>
      </c>
      <c r="T190" s="68" t="s">
        <v>1047</v>
      </c>
      <c r="U190" s="173" t="s">
        <v>1048</v>
      </c>
      <c r="V190" s="173" t="s">
        <v>1049</v>
      </c>
      <c r="AA190" s="68" t="s">
        <v>1050</v>
      </c>
    </row>
    <row r="191" spans="1:30" s="68" customFormat="1">
      <c r="A191" s="68" t="s">
        <v>1051</v>
      </c>
      <c r="B191" s="69">
        <v>8.1812943129487198E-2</v>
      </c>
      <c r="C191" s="68" t="s">
        <v>28</v>
      </c>
      <c r="D191" s="70">
        <v>3.2770593166351301</v>
      </c>
      <c r="G191" s="68">
        <v>35.310294867898001</v>
      </c>
      <c r="H191" s="68">
        <v>-120.661518262689</v>
      </c>
      <c r="I191" s="68" t="s">
        <v>627</v>
      </c>
      <c r="K191" s="68" t="s">
        <v>30</v>
      </c>
      <c r="L191" s="68" t="s">
        <v>628</v>
      </c>
      <c r="M191" s="91"/>
      <c r="N191" s="115"/>
      <c r="O191" s="91"/>
      <c r="P191" s="91">
        <v>4</v>
      </c>
      <c r="Q191" s="91"/>
      <c r="R191" s="68" t="s">
        <v>1052</v>
      </c>
      <c r="S191" s="68" t="s">
        <v>33</v>
      </c>
      <c r="T191" s="68" t="s">
        <v>107</v>
      </c>
      <c r="U191" s="173" t="s">
        <v>1053</v>
      </c>
      <c r="V191" s="173" t="s">
        <v>1054</v>
      </c>
      <c r="AA191" s="68" t="s">
        <v>1055</v>
      </c>
    </row>
    <row r="192" spans="1:30" s="68" customFormat="1">
      <c r="A192" s="68" t="s">
        <v>1056</v>
      </c>
      <c r="B192" s="69">
        <v>0.232445329431301</v>
      </c>
      <c r="C192" s="68" t="s">
        <v>28</v>
      </c>
      <c r="D192" s="70">
        <v>5.1155753135681099</v>
      </c>
      <c r="F192" s="68">
        <v>4.4000000000000004</v>
      </c>
      <c r="G192" s="68">
        <v>35.310315061736802</v>
      </c>
      <c r="H192" s="68">
        <v>-120.661592482502</v>
      </c>
      <c r="I192" s="68" t="s">
        <v>627</v>
      </c>
      <c r="K192" s="68" t="s">
        <v>30</v>
      </c>
      <c r="L192" s="68" t="s">
        <v>628</v>
      </c>
      <c r="M192" s="91"/>
      <c r="N192" s="115"/>
      <c r="O192" s="91"/>
      <c r="P192" s="91">
        <v>4</v>
      </c>
      <c r="Q192" s="91"/>
      <c r="R192" s="68" t="s">
        <v>1057</v>
      </c>
      <c r="S192" s="68" t="s">
        <v>33</v>
      </c>
      <c r="T192" s="68" t="s">
        <v>107</v>
      </c>
      <c r="U192" s="173" t="s">
        <v>1058</v>
      </c>
      <c r="V192" s="173" t="s">
        <v>1059</v>
      </c>
      <c r="AA192" s="68" t="s">
        <v>1060</v>
      </c>
    </row>
    <row r="193" spans="1:30">
      <c r="A193" s="57" t="s">
        <v>1061</v>
      </c>
      <c r="B193" s="58">
        <v>2.9136229293112399E-2</v>
      </c>
      <c r="C193" s="57" t="s">
        <v>28</v>
      </c>
      <c r="D193" s="59">
        <v>3.0467600822448699</v>
      </c>
      <c r="E193" s="11">
        <v>2.7E-2</v>
      </c>
      <c r="F193" s="57">
        <v>2.9</v>
      </c>
      <c r="G193" s="57">
        <v>35.310147577558602</v>
      </c>
      <c r="H193" s="57">
        <v>-120.66146313651799</v>
      </c>
      <c r="I193" s="57" t="s">
        <v>627</v>
      </c>
      <c r="J193" s="57"/>
      <c r="K193" s="57" t="s">
        <v>30</v>
      </c>
      <c r="L193" s="57" t="s">
        <v>628</v>
      </c>
      <c r="M193" s="88"/>
      <c r="N193" s="100"/>
      <c r="O193" s="88"/>
      <c r="P193" s="88">
        <v>4</v>
      </c>
      <c r="Q193" s="88"/>
      <c r="R193" s="57"/>
      <c r="S193" s="57" t="s">
        <v>33</v>
      </c>
      <c r="T193" s="57" t="s">
        <v>71</v>
      </c>
      <c r="U193" s="172" t="s">
        <v>1062</v>
      </c>
      <c r="V193" s="172" t="s">
        <v>1063</v>
      </c>
      <c r="W193" s="57"/>
      <c r="X193" s="57"/>
      <c r="Y193" s="57"/>
      <c r="AA193" s="57" t="s">
        <v>1064</v>
      </c>
      <c r="AB193" s="57"/>
      <c r="AC193" s="57"/>
      <c r="AD193" s="57"/>
    </row>
    <row r="194" spans="1:30" s="68" customFormat="1">
      <c r="A194" s="68" t="s">
        <v>1065</v>
      </c>
      <c r="B194" s="69">
        <v>5.82884209744551E-2</v>
      </c>
      <c r="C194" s="68" t="s">
        <v>28</v>
      </c>
      <c r="D194" s="70">
        <v>3.0357577800750701</v>
      </c>
      <c r="F194" s="68">
        <v>2.9</v>
      </c>
      <c r="G194" s="68">
        <v>35.310156305061298</v>
      </c>
      <c r="H194" s="68">
        <v>-120.661547108964</v>
      </c>
      <c r="I194" s="68" t="s">
        <v>627</v>
      </c>
      <c r="K194" s="68" t="s">
        <v>30</v>
      </c>
      <c r="L194" s="68" t="s">
        <v>628</v>
      </c>
      <c r="M194" s="91"/>
      <c r="N194" s="115"/>
      <c r="O194" s="91"/>
      <c r="P194" s="91">
        <v>4</v>
      </c>
      <c r="Q194" s="91"/>
      <c r="R194" s="68" t="s">
        <v>1066</v>
      </c>
      <c r="S194" s="68" t="s">
        <v>33</v>
      </c>
      <c r="T194" s="68" t="s">
        <v>1067</v>
      </c>
      <c r="U194" s="173" t="s">
        <v>1068</v>
      </c>
      <c r="V194" s="173" t="s">
        <v>1069</v>
      </c>
      <c r="AA194" s="68" t="s">
        <v>1070</v>
      </c>
    </row>
    <row r="195" spans="1:30" s="77" customFormat="1">
      <c r="A195" s="72" t="s">
        <v>1071</v>
      </c>
      <c r="B195" s="73">
        <v>0.14835543995387299</v>
      </c>
      <c r="C195" s="72" t="s">
        <v>28</v>
      </c>
      <c r="D195" s="74">
        <v>4.1654396057128897</v>
      </c>
      <c r="E195" s="75">
        <v>0.17699999999999999</v>
      </c>
      <c r="F195" s="72">
        <v>4.0999999999999996</v>
      </c>
      <c r="G195" s="72">
        <v>35.310113235294899</v>
      </c>
      <c r="H195" s="72">
        <v>-120.66158372724399</v>
      </c>
      <c r="I195" s="72" t="s">
        <v>627</v>
      </c>
      <c r="J195" s="72"/>
      <c r="K195" s="72" t="s">
        <v>30</v>
      </c>
      <c r="L195" s="72" t="s">
        <v>628</v>
      </c>
      <c r="M195" s="92"/>
      <c r="N195" s="116"/>
      <c r="O195" s="92"/>
      <c r="P195" s="92">
        <v>4</v>
      </c>
      <c r="Q195" s="92"/>
      <c r="R195" s="72"/>
      <c r="S195" s="72" t="s">
        <v>33</v>
      </c>
      <c r="T195" s="72" t="s">
        <v>1072</v>
      </c>
      <c r="U195" s="76" t="s">
        <v>1073</v>
      </c>
      <c r="V195" s="76" t="s">
        <v>1074</v>
      </c>
      <c r="W195" s="72"/>
      <c r="X195" s="72"/>
      <c r="Y195" s="72"/>
      <c r="AA195" s="72" t="s">
        <v>1075</v>
      </c>
      <c r="AB195" s="72"/>
      <c r="AC195" s="72"/>
      <c r="AD195" s="72"/>
    </row>
    <row r="196" spans="1:30" s="68" customFormat="1">
      <c r="A196" s="68" t="s">
        <v>1076</v>
      </c>
      <c r="B196" s="69">
        <v>0.13472003303803801</v>
      </c>
      <c r="C196" s="68" t="s">
        <v>28</v>
      </c>
      <c r="D196" s="70">
        <v>5.3009014129638601</v>
      </c>
      <c r="F196" s="68">
        <v>4.8</v>
      </c>
      <c r="G196" s="68">
        <v>35.310159754887302</v>
      </c>
      <c r="H196" s="68">
        <v>-120.66168039143599</v>
      </c>
      <c r="I196" s="68" t="s">
        <v>627</v>
      </c>
      <c r="K196" s="68" t="s">
        <v>30</v>
      </c>
      <c r="L196" s="68" t="s">
        <v>628</v>
      </c>
      <c r="M196" s="91"/>
      <c r="N196" s="115"/>
      <c r="O196" s="91"/>
      <c r="P196" s="91">
        <v>5</v>
      </c>
      <c r="Q196" s="91" t="s">
        <v>1077</v>
      </c>
      <c r="S196" s="68" t="s">
        <v>33</v>
      </c>
      <c r="T196" s="68" t="s">
        <v>1072</v>
      </c>
      <c r="U196" s="71" t="s">
        <v>1078</v>
      </c>
      <c r="V196" s="71" t="s">
        <v>1079</v>
      </c>
      <c r="AA196" s="68" t="s">
        <v>1080</v>
      </c>
    </row>
    <row r="197" spans="1:30">
      <c r="A197" s="57" t="s">
        <v>1081</v>
      </c>
      <c r="B197" s="58">
        <v>0.376305840101119</v>
      </c>
      <c r="C197" s="57" t="s">
        <v>28</v>
      </c>
      <c r="D197" s="59">
        <v>10.4095745086669</v>
      </c>
      <c r="E197" s="11">
        <v>0.38700000000000001</v>
      </c>
      <c r="F197" s="57">
        <v>9.9</v>
      </c>
      <c r="G197" s="57">
        <v>35.3101899949908</v>
      </c>
      <c r="H197" s="57">
        <v>-120.66171695076601</v>
      </c>
      <c r="I197" s="57" t="s">
        <v>627</v>
      </c>
      <c r="J197" s="57"/>
      <c r="K197" s="57" t="s">
        <v>30</v>
      </c>
      <c r="L197" s="57" t="s">
        <v>628</v>
      </c>
      <c r="M197" s="88"/>
      <c r="N197" s="100"/>
      <c r="O197" s="88"/>
      <c r="P197" s="88">
        <v>5</v>
      </c>
      <c r="Q197" s="88"/>
      <c r="R197" s="57"/>
      <c r="S197" s="57" t="s">
        <v>33</v>
      </c>
      <c r="T197" s="57" t="s">
        <v>1082</v>
      </c>
      <c r="U197" s="60" t="s">
        <v>1083</v>
      </c>
      <c r="V197" s="60" t="s">
        <v>1084</v>
      </c>
      <c r="W197" s="57"/>
      <c r="X197" s="57"/>
      <c r="Y197" s="57"/>
      <c r="AA197" s="57" t="s">
        <v>1085</v>
      </c>
      <c r="AB197" s="57"/>
      <c r="AC197" s="57"/>
      <c r="AD197" s="57"/>
    </row>
    <row r="198" spans="1:30">
      <c r="A198" s="57" t="s">
        <v>1086</v>
      </c>
      <c r="B198" s="58">
        <v>0.31484960302383502</v>
      </c>
      <c r="C198" s="57" t="s">
        <v>28</v>
      </c>
      <c r="D198" s="59">
        <v>10.509901046752899</v>
      </c>
      <c r="E198" s="11">
        <v>0.34200000000000003</v>
      </c>
      <c r="F198" s="57">
        <v>10</v>
      </c>
      <c r="G198" s="57">
        <v>35.310265253305197</v>
      </c>
      <c r="H198" s="57">
        <v>-120.661738185372</v>
      </c>
      <c r="I198" s="57" t="s">
        <v>627</v>
      </c>
      <c r="J198" s="57"/>
      <c r="K198" s="57" t="s">
        <v>30</v>
      </c>
      <c r="L198" s="57" t="s">
        <v>628</v>
      </c>
      <c r="P198" s="78">
        <v>5</v>
      </c>
      <c r="R198" s="57"/>
      <c r="S198" s="57" t="s">
        <v>33</v>
      </c>
      <c r="T198" s="57" t="s">
        <v>1087</v>
      </c>
      <c r="U198" s="60" t="s">
        <v>1088</v>
      </c>
      <c r="V198" s="60" t="s">
        <v>1089</v>
      </c>
      <c r="W198" s="57"/>
      <c r="X198" s="57"/>
      <c r="Y198" s="57"/>
      <c r="AA198" s="57" t="s">
        <v>1090</v>
      </c>
      <c r="AB198" s="57"/>
      <c r="AC198" s="57"/>
      <c r="AD198" s="57"/>
    </row>
    <row r="199" spans="1:30" s="68" customFormat="1">
      <c r="A199" s="68" t="s">
        <v>1091</v>
      </c>
      <c r="B199" s="69">
        <v>5.6307791381785002E-2</v>
      </c>
      <c r="C199" s="68" t="s">
        <v>28</v>
      </c>
      <c r="D199" s="70">
        <v>6.2746605873107901</v>
      </c>
      <c r="F199" s="68">
        <v>6.1</v>
      </c>
      <c r="G199" s="68">
        <v>35.310217775707201</v>
      </c>
      <c r="H199" s="68">
        <v>-120.661704246531</v>
      </c>
      <c r="I199" s="68" t="s">
        <v>627</v>
      </c>
      <c r="K199" s="68" t="s">
        <v>30</v>
      </c>
      <c r="L199" s="68" t="s">
        <v>628</v>
      </c>
      <c r="M199" s="93"/>
      <c r="N199" s="117"/>
      <c r="O199" s="93"/>
      <c r="P199" s="93">
        <v>5</v>
      </c>
      <c r="Q199" s="93" t="s">
        <v>1077</v>
      </c>
      <c r="S199" s="68" t="s">
        <v>33</v>
      </c>
      <c r="T199" s="68" t="s">
        <v>1092</v>
      </c>
      <c r="U199" s="71" t="s">
        <v>1093</v>
      </c>
      <c r="V199" s="71" t="s">
        <v>1094</v>
      </c>
      <c r="AA199" s="68" t="s">
        <v>1095</v>
      </c>
    </row>
    <row r="200" spans="1:30">
      <c r="A200" s="57" t="s">
        <v>1096</v>
      </c>
      <c r="B200" s="58">
        <v>0.15549382586952901</v>
      </c>
      <c r="C200" s="57" t="s">
        <v>28</v>
      </c>
      <c r="D200" s="59">
        <v>4.0904731750488201</v>
      </c>
      <c r="E200" s="11">
        <v>0.14000000000000001</v>
      </c>
      <c r="F200" s="57">
        <v>3.2</v>
      </c>
      <c r="G200" s="57">
        <v>35.310279659173602</v>
      </c>
      <c r="H200" s="57">
        <v>-120.66162254196399</v>
      </c>
      <c r="I200" s="57" t="s">
        <v>627</v>
      </c>
      <c r="J200" s="57"/>
      <c r="K200" s="57" t="s">
        <v>30</v>
      </c>
      <c r="L200" s="57" t="s">
        <v>628</v>
      </c>
      <c r="P200" s="78">
        <v>5</v>
      </c>
      <c r="R200" s="57" t="s">
        <v>1097</v>
      </c>
      <c r="S200" s="57" t="s">
        <v>33</v>
      </c>
      <c r="T200" s="57"/>
      <c r="U200" s="60" t="s">
        <v>1098</v>
      </c>
      <c r="V200" s="60" t="s">
        <v>1099</v>
      </c>
      <c r="W200" s="57"/>
      <c r="X200" s="57"/>
      <c r="Y200" s="57"/>
      <c r="AA200" s="57" t="s">
        <v>1100</v>
      </c>
      <c r="AB200" s="57"/>
      <c r="AC200" s="57"/>
      <c r="AD200" s="57"/>
    </row>
    <row r="201" spans="1:30">
      <c r="A201" s="57" t="s">
        <v>1101</v>
      </c>
      <c r="B201" s="58">
        <v>0.13174328082891601</v>
      </c>
      <c r="C201" s="57" t="s">
        <v>28</v>
      </c>
      <c r="D201" s="59">
        <v>0.95928424596786499</v>
      </c>
      <c r="E201" s="11">
        <v>0.11899999999999999</v>
      </c>
      <c r="F201" s="57"/>
      <c r="G201" s="57">
        <v>35.310272698205999</v>
      </c>
      <c r="H201" s="57">
        <v>-120.66165167304899</v>
      </c>
      <c r="I201" s="57" t="s">
        <v>627</v>
      </c>
      <c r="J201" s="57"/>
      <c r="K201" s="57" t="s">
        <v>30</v>
      </c>
      <c r="L201" s="57" t="s">
        <v>628</v>
      </c>
      <c r="P201" s="78">
        <v>5</v>
      </c>
      <c r="R201" s="57" t="s">
        <v>1102</v>
      </c>
      <c r="S201" s="57" t="s">
        <v>33</v>
      </c>
      <c r="T201" s="57"/>
      <c r="U201" s="60" t="s">
        <v>1103</v>
      </c>
      <c r="V201" s="60" t="s">
        <v>1104</v>
      </c>
      <c r="W201" s="57"/>
      <c r="X201" s="57"/>
      <c r="Y201" s="57"/>
      <c r="AA201" s="57" t="s">
        <v>1105</v>
      </c>
      <c r="AB201" s="57"/>
      <c r="AC201" s="57"/>
      <c r="AD201" s="57"/>
    </row>
    <row r="202" spans="1:30">
      <c r="A202" s="57" t="s">
        <v>1106</v>
      </c>
      <c r="B202" s="58">
        <v>0.12895774256172901</v>
      </c>
      <c r="C202" s="57" t="s">
        <v>28</v>
      </c>
      <c r="D202" s="59">
        <v>2.0617187023162802</v>
      </c>
      <c r="E202" s="11">
        <v>0.10299999999999999</v>
      </c>
      <c r="F202" s="57"/>
      <c r="G202" s="57">
        <v>35.310262064123499</v>
      </c>
      <c r="H202" s="57">
        <v>-120.661654521692</v>
      </c>
      <c r="I202" s="57" t="s">
        <v>627</v>
      </c>
      <c r="J202" s="57"/>
      <c r="K202" s="57" t="s">
        <v>30</v>
      </c>
      <c r="L202" s="57" t="s">
        <v>628</v>
      </c>
      <c r="P202" s="78">
        <v>5</v>
      </c>
      <c r="R202" s="57" t="s">
        <v>1107</v>
      </c>
      <c r="S202" s="57" t="s">
        <v>33</v>
      </c>
      <c r="T202" s="57"/>
      <c r="U202" s="60" t="s">
        <v>1108</v>
      </c>
      <c r="V202" s="60" t="s">
        <v>1109</v>
      </c>
      <c r="W202" s="57"/>
      <c r="X202" s="57"/>
      <c r="Y202" s="57"/>
      <c r="AA202" s="57" t="s">
        <v>1110</v>
      </c>
      <c r="AB202" s="57"/>
      <c r="AC202" s="57"/>
      <c r="AD202" s="57"/>
    </row>
    <row r="203" spans="1:30">
      <c r="A203" s="57" t="s">
        <v>1111</v>
      </c>
      <c r="B203" s="58">
        <v>6.3816270566472405E-2</v>
      </c>
      <c r="C203" s="57" t="s">
        <v>28</v>
      </c>
      <c r="D203" s="59">
        <v>2.9571454524993799</v>
      </c>
      <c r="E203" s="11">
        <v>7.1999999999999995E-2</v>
      </c>
      <c r="F203" s="57">
        <v>3</v>
      </c>
      <c r="G203" s="57">
        <v>35.310261202914397</v>
      </c>
      <c r="H203" s="57">
        <v>-120.661583211961</v>
      </c>
      <c r="I203" s="57" t="s">
        <v>627</v>
      </c>
      <c r="J203" s="57"/>
      <c r="K203" s="57" t="s">
        <v>30</v>
      </c>
      <c r="L203" s="57" t="s">
        <v>628</v>
      </c>
      <c r="P203" s="78">
        <v>5</v>
      </c>
      <c r="R203" s="57" t="s">
        <v>1112</v>
      </c>
      <c r="S203" s="57" t="s">
        <v>33</v>
      </c>
      <c r="T203" s="57"/>
      <c r="U203" s="60" t="s">
        <v>1113</v>
      </c>
      <c r="V203" s="60" t="s">
        <v>1114</v>
      </c>
      <c r="W203" s="57"/>
      <c r="X203" s="57"/>
      <c r="Y203" s="57"/>
      <c r="AA203" s="57" t="s">
        <v>1115</v>
      </c>
      <c r="AB203" s="57"/>
      <c r="AC203" s="57"/>
      <c r="AD203" s="57"/>
    </row>
    <row r="204" spans="1:30">
      <c r="A204" s="57" t="s">
        <v>1116</v>
      </c>
      <c r="B204" s="58">
        <v>6.72889342177629E-2</v>
      </c>
      <c r="C204" s="57" t="s">
        <v>28</v>
      </c>
      <c r="D204" s="59">
        <v>0.82340985536575295</v>
      </c>
      <c r="E204" s="11">
        <v>6.9000000000000006E-2</v>
      </c>
      <c r="F204" s="57"/>
      <c r="G204" s="57">
        <v>35.310240664716702</v>
      </c>
      <c r="H204" s="57">
        <v>-120.661589020524</v>
      </c>
      <c r="I204" s="57" t="s">
        <v>627</v>
      </c>
      <c r="J204" s="57"/>
      <c r="K204" s="57" t="s">
        <v>30</v>
      </c>
      <c r="L204" s="57" t="s">
        <v>628</v>
      </c>
      <c r="P204" s="78">
        <v>5</v>
      </c>
      <c r="R204" s="57" t="s">
        <v>1117</v>
      </c>
      <c r="S204" s="57" t="s">
        <v>33</v>
      </c>
      <c r="T204" s="57"/>
      <c r="U204" s="60" t="s">
        <v>1118</v>
      </c>
      <c r="V204" s="60" t="s">
        <v>1119</v>
      </c>
      <c r="W204" s="57"/>
      <c r="X204" s="57"/>
      <c r="Y204" s="57"/>
      <c r="AA204" s="57" t="s">
        <v>1120</v>
      </c>
      <c r="AB204" s="57"/>
      <c r="AC204" s="57"/>
      <c r="AD204" s="57"/>
    </row>
    <row r="205" spans="1:30">
      <c r="A205" s="57" t="s">
        <v>1121</v>
      </c>
      <c r="B205" s="58">
        <v>4.4010440698990898E-2</v>
      </c>
      <c r="C205" s="57" t="s">
        <v>28</v>
      </c>
      <c r="D205" s="59">
        <v>0.84750306606292702</v>
      </c>
      <c r="E205" s="11">
        <v>5.8999999999999997E-2</v>
      </c>
      <c r="F205" s="57"/>
      <c r="G205" s="57">
        <v>35.310249728560997</v>
      </c>
      <c r="H205" s="57">
        <v>-120.661597904199</v>
      </c>
      <c r="I205" s="57" t="s">
        <v>627</v>
      </c>
      <c r="J205" s="57"/>
      <c r="K205" s="57" t="s">
        <v>30</v>
      </c>
      <c r="L205" s="57" t="s">
        <v>628</v>
      </c>
      <c r="P205" s="78">
        <v>5</v>
      </c>
      <c r="R205" s="57" t="s">
        <v>1122</v>
      </c>
      <c r="S205" s="57" t="s">
        <v>33</v>
      </c>
      <c r="T205" s="57"/>
      <c r="U205" s="60" t="s">
        <v>1123</v>
      </c>
      <c r="V205" s="60" t="s">
        <v>1124</v>
      </c>
      <c r="W205" s="57"/>
      <c r="X205" s="57"/>
      <c r="Y205" s="57"/>
      <c r="AA205" s="57" t="s">
        <v>1125</v>
      </c>
      <c r="AB205" s="57"/>
      <c r="AC205" s="57"/>
      <c r="AD205" s="57"/>
    </row>
    <row r="206" spans="1:30">
      <c r="A206" s="57" t="s">
        <v>1126</v>
      </c>
      <c r="B206" s="58">
        <v>5.6302546937190598E-2</v>
      </c>
      <c r="C206" s="57" t="s">
        <v>28</v>
      </c>
      <c r="D206" s="59">
        <v>0.86426252126693703</v>
      </c>
      <c r="E206" s="11">
        <v>4.7E-2</v>
      </c>
      <c r="F206" s="57"/>
      <c r="G206" s="57">
        <v>35.310215633575702</v>
      </c>
      <c r="H206" s="57">
        <v>-120.661602633407</v>
      </c>
      <c r="I206" s="57" t="s">
        <v>627</v>
      </c>
      <c r="J206" s="57"/>
      <c r="K206" s="57" t="s">
        <v>30</v>
      </c>
      <c r="L206" s="57" t="s">
        <v>628</v>
      </c>
      <c r="P206" s="78">
        <v>5</v>
      </c>
      <c r="R206" s="57" t="s">
        <v>1127</v>
      </c>
      <c r="S206" s="57" t="s">
        <v>33</v>
      </c>
      <c r="T206" s="57"/>
      <c r="U206" s="60" t="s">
        <v>1128</v>
      </c>
      <c r="V206" s="60" t="s">
        <v>1129</v>
      </c>
      <c r="W206" s="57"/>
      <c r="X206" s="57"/>
      <c r="Y206" s="57"/>
      <c r="AA206" s="57" t="s">
        <v>1130</v>
      </c>
      <c r="AB206" s="57"/>
      <c r="AC206" s="57"/>
      <c r="AD206" s="57"/>
    </row>
    <row r="207" spans="1:30" s="65" customFormat="1">
      <c r="A207" s="61" t="s">
        <v>1131</v>
      </c>
      <c r="B207" s="62">
        <v>4.9086554951705302E-2</v>
      </c>
      <c r="C207" s="61" t="s">
        <v>28</v>
      </c>
      <c r="D207" s="63">
        <v>0.90732669830322199</v>
      </c>
      <c r="E207" s="66"/>
      <c r="F207" s="61"/>
      <c r="G207" s="61">
        <v>35.310210765296503</v>
      </c>
      <c r="H207" s="61">
        <v>-120.661654313277</v>
      </c>
      <c r="I207" s="61" t="s">
        <v>627</v>
      </c>
      <c r="J207" s="61"/>
      <c r="K207" s="61" t="s">
        <v>30</v>
      </c>
      <c r="L207" s="61" t="s">
        <v>628</v>
      </c>
      <c r="M207" s="89"/>
      <c r="N207" s="113"/>
      <c r="O207" s="89"/>
      <c r="P207" s="89">
        <v>5</v>
      </c>
      <c r="Q207" s="89"/>
      <c r="R207" s="61" t="s">
        <v>1132</v>
      </c>
      <c r="S207" s="61" t="s">
        <v>33</v>
      </c>
      <c r="T207" s="61"/>
      <c r="U207" s="64" t="s">
        <v>1133</v>
      </c>
      <c r="V207" s="64" t="s">
        <v>1134</v>
      </c>
      <c r="W207" s="61"/>
      <c r="X207" s="61"/>
      <c r="Y207" s="61"/>
      <c r="AA207" s="61" t="s">
        <v>1135</v>
      </c>
      <c r="AB207" s="61"/>
      <c r="AC207" s="61"/>
      <c r="AD207" s="61"/>
    </row>
    <row r="208" spans="1:30">
      <c r="A208" s="57" t="s">
        <v>1136</v>
      </c>
      <c r="B208" s="58">
        <v>8.9191435879868802E-2</v>
      </c>
      <c r="C208" s="57" t="s">
        <v>28</v>
      </c>
      <c r="D208" s="59">
        <v>0.71714776754379195</v>
      </c>
      <c r="E208" s="11">
        <v>0.10199999999999999</v>
      </c>
      <c r="F208" s="57"/>
      <c r="G208" s="57">
        <v>35.310233252537202</v>
      </c>
      <c r="H208" s="57">
        <v>-120.661634482499</v>
      </c>
      <c r="I208" s="57" t="s">
        <v>627</v>
      </c>
      <c r="J208" s="57"/>
      <c r="K208" s="57" t="s">
        <v>30</v>
      </c>
      <c r="L208" s="57" t="s">
        <v>628</v>
      </c>
      <c r="P208" s="78">
        <v>5</v>
      </c>
      <c r="R208" s="57" t="s">
        <v>1137</v>
      </c>
      <c r="S208" s="57" t="s">
        <v>33</v>
      </c>
      <c r="T208" s="57"/>
      <c r="U208" s="60" t="s">
        <v>1138</v>
      </c>
      <c r="V208" s="60" t="s">
        <v>1139</v>
      </c>
      <c r="W208" s="57"/>
      <c r="X208" s="57"/>
      <c r="Y208" s="57"/>
      <c r="AA208" s="57" t="s">
        <v>1140</v>
      </c>
      <c r="AB208" s="57"/>
      <c r="AC208" s="57"/>
      <c r="AD208" s="57"/>
    </row>
    <row r="209" spans="1:30">
      <c r="A209" s="57" t="s">
        <v>1141</v>
      </c>
      <c r="B209" s="58">
        <v>7.2922806269348994E-2</v>
      </c>
      <c r="C209" s="57" t="s">
        <v>28</v>
      </c>
      <c r="D209" s="59">
        <v>5.1600165367126403</v>
      </c>
      <c r="E209" s="11">
        <v>0.115</v>
      </c>
      <c r="F209" s="57">
        <v>5</v>
      </c>
      <c r="G209" s="57">
        <v>35.310232185409802</v>
      </c>
      <c r="H209" s="57">
        <v>-120.66159808456401</v>
      </c>
      <c r="I209" s="57" t="s">
        <v>627</v>
      </c>
      <c r="J209" s="57"/>
      <c r="K209" s="57" t="s">
        <v>30</v>
      </c>
      <c r="L209" s="57" t="s">
        <v>628</v>
      </c>
      <c r="P209" s="78">
        <v>5</v>
      </c>
      <c r="R209" s="57" t="s">
        <v>1142</v>
      </c>
      <c r="S209" s="57" t="s">
        <v>33</v>
      </c>
      <c r="T209" s="57"/>
      <c r="U209" s="60" t="s">
        <v>1143</v>
      </c>
      <c r="V209" s="60" t="s">
        <v>1144</v>
      </c>
      <c r="W209" s="57"/>
      <c r="X209" s="57"/>
      <c r="Y209" s="57"/>
      <c r="AA209" s="57" t="s">
        <v>1145</v>
      </c>
      <c r="AB209" s="57"/>
      <c r="AC209" s="57"/>
      <c r="AD209" s="57"/>
    </row>
    <row r="210" spans="1:30">
      <c r="A210" s="57" t="s">
        <v>1146</v>
      </c>
      <c r="B210" s="58">
        <v>0.233225293693513</v>
      </c>
      <c r="C210" s="57" t="s">
        <v>28</v>
      </c>
      <c r="D210" s="59">
        <v>1.17206358909606</v>
      </c>
      <c r="E210" s="11">
        <v>0.252</v>
      </c>
      <c r="F210" s="57"/>
      <c r="G210" s="57">
        <v>35.3102317219928</v>
      </c>
      <c r="H210" s="57">
        <v>-120.661590043567</v>
      </c>
      <c r="I210" s="57" t="s">
        <v>627</v>
      </c>
      <c r="J210" s="57"/>
      <c r="K210" s="57" t="s">
        <v>30</v>
      </c>
      <c r="L210" s="57" t="s">
        <v>628</v>
      </c>
      <c r="P210" s="78">
        <v>5</v>
      </c>
      <c r="R210" s="57" t="s">
        <v>1147</v>
      </c>
      <c r="S210" s="57" t="s">
        <v>33</v>
      </c>
      <c r="T210" s="57"/>
      <c r="U210" s="60" t="s">
        <v>1148</v>
      </c>
      <c r="V210" s="60" t="s">
        <v>1149</v>
      </c>
      <c r="W210" s="57"/>
      <c r="X210" s="57"/>
      <c r="Y210" s="57"/>
      <c r="AA210" s="57" t="s">
        <v>1150</v>
      </c>
      <c r="AB210" s="57"/>
      <c r="AC210" s="57"/>
      <c r="AD210" s="57"/>
    </row>
    <row r="211" spans="1:30">
      <c r="A211" s="57" t="s">
        <v>1151</v>
      </c>
      <c r="B211" s="58">
        <v>9.4907571359350296E-2</v>
      </c>
      <c r="C211" s="57" t="s">
        <v>28</v>
      </c>
      <c r="D211" s="59">
        <v>4.4767785072326598</v>
      </c>
      <c r="E211" s="11">
        <v>0.13300000000000001</v>
      </c>
      <c r="F211" s="57"/>
      <c r="G211" s="57">
        <v>35.310238645591902</v>
      </c>
      <c r="H211" s="57">
        <v>-120.661609539523</v>
      </c>
      <c r="I211" s="57" t="s">
        <v>627</v>
      </c>
      <c r="J211" s="57"/>
      <c r="K211" s="57" t="s">
        <v>30</v>
      </c>
      <c r="L211" s="57" t="s">
        <v>628</v>
      </c>
      <c r="P211" s="78">
        <v>5</v>
      </c>
      <c r="R211" s="57" t="s">
        <v>1152</v>
      </c>
      <c r="S211" s="57" t="s">
        <v>33</v>
      </c>
      <c r="T211" s="57"/>
      <c r="U211" s="60" t="s">
        <v>1153</v>
      </c>
      <c r="V211" s="60" t="s">
        <v>1154</v>
      </c>
      <c r="W211" s="57"/>
      <c r="X211" s="57"/>
      <c r="Y211" s="57"/>
      <c r="AA211" s="57" t="s">
        <v>1155</v>
      </c>
      <c r="AB211" s="57"/>
      <c r="AC211" s="57"/>
      <c r="AD211" s="57"/>
    </row>
    <row r="212" spans="1:30">
      <c r="A212" s="57" t="s">
        <v>1156</v>
      </c>
      <c r="B212" s="58">
        <v>0.107072843773692</v>
      </c>
      <c r="C212" s="57" t="s">
        <v>28</v>
      </c>
      <c r="D212" s="59">
        <v>8.1880092620849592</v>
      </c>
      <c r="E212" s="11">
        <v>0.16200000000000001</v>
      </c>
      <c r="F212" s="57"/>
      <c r="G212" s="57">
        <v>35.310261797745902</v>
      </c>
      <c r="H212" s="57">
        <v>-120.66158461525799</v>
      </c>
      <c r="I212" s="57" t="s">
        <v>627</v>
      </c>
      <c r="J212" s="57"/>
      <c r="K212" s="57" t="s">
        <v>30</v>
      </c>
      <c r="L212" s="57" t="s">
        <v>628</v>
      </c>
      <c r="P212" s="78">
        <v>5</v>
      </c>
      <c r="R212" s="57" t="s">
        <v>1157</v>
      </c>
      <c r="S212" s="57" t="s">
        <v>33</v>
      </c>
      <c r="T212" s="57"/>
      <c r="U212" s="60" t="s">
        <v>1158</v>
      </c>
      <c r="V212" s="60" t="s">
        <v>1159</v>
      </c>
      <c r="W212" s="57"/>
      <c r="X212" s="57"/>
      <c r="Y212" s="57"/>
      <c r="AA212" s="57" t="s">
        <v>1160</v>
      </c>
      <c r="AB212" s="57"/>
      <c r="AC212" s="57"/>
      <c r="AD212" s="57"/>
    </row>
    <row r="213" spans="1:30">
      <c r="A213" s="57" t="s">
        <v>1161</v>
      </c>
      <c r="B213" s="58">
        <v>0.126534592791264</v>
      </c>
      <c r="C213" s="57" t="s">
        <v>28</v>
      </c>
      <c r="D213" s="59">
        <v>2.43315434455871</v>
      </c>
      <c r="E213" s="11">
        <v>0.161</v>
      </c>
      <c r="F213" s="57"/>
      <c r="G213" s="57">
        <v>35.310251416614598</v>
      </c>
      <c r="H213" s="57">
        <v>-120.661614035534</v>
      </c>
      <c r="I213" s="57" t="s">
        <v>627</v>
      </c>
      <c r="J213" s="57"/>
      <c r="K213" s="57" t="s">
        <v>30</v>
      </c>
      <c r="L213" s="57" t="s">
        <v>628</v>
      </c>
      <c r="P213" s="78">
        <v>5</v>
      </c>
      <c r="R213" s="57" t="s">
        <v>1162</v>
      </c>
      <c r="S213" s="57" t="s">
        <v>33</v>
      </c>
      <c r="T213" s="57"/>
      <c r="U213" s="60" t="s">
        <v>1163</v>
      </c>
      <c r="V213" s="60" t="s">
        <v>1164</v>
      </c>
      <c r="W213" s="57"/>
      <c r="X213" s="57"/>
      <c r="Y213" s="57"/>
      <c r="AA213" s="57" t="s">
        <v>1165</v>
      </c>
      <c r="AB213" s="57"/>
      <c r="AC213" s="57"/>
      <c r="AD213" s="57"/>
    </row>
    <row r="214" spans="1:30">
      <c r="A214" s="57" t="s">
        <v>1166</v>
      </c>
      <c r="B214" s="58">
        <v>5.3779423694049797E-2</v>
      </c>
      <c r="C214" s="57" t="s">
        <v>28</v>
      </c>
      <c r="D214" s="59">
        <v>2.4823970794677699</v>
      </c>
      <c r="E214" s="11">
        <v>0.04</v>
      </c>
      <c r="F214" s="57">
        <v>2.6</v>
      </c>
      <c r="G214" s="57">
        <v>35.310191088243798</v>
      </c>
      <c r="H214" s="57">
        <v>-120.661509924828</v>
      </c>
      <c r="I214" s="57" t="s">
        <v>627</v>
      </c>
      <c r="J214" s="57"/>
      <c r="K214" s="57" t="s">
        <v>30</v>
      </c>
      <c r="L214" s="57" t="s">
        <v>628</v>
      </c>
      <c r="P214" s="78">
        <v>5</v>
      </c>
      <c r="R214" s="57"/>
      <c r="S214" s="57" t="s">
        <v>33</v>
      </c>
      <c r="T214" s="57" t="s">
        <v>1167</v>
      </c>
      <c r="U214" s="60" t="s">
        <v>1168</v>
      </c>
      <c r="V214" s="60" t="s">
        <v>1169</v>
      </c>
      <c r="W214" s="57"/>
      <c r="X214" s="57"/>
      <c r="Y214" s="57"/>
      <c r="AA214" s="57" t="s">
        <v>1170</v>
      </c>
      <c r="AB214" s="57"/>
      <c r="AC214" s="57"/>
      <c r="AD214" s="57"/>
    </row>
    <row r="215" spans="1:30">
      <c r="B215" s="1"/>
      <c r="D215" s="2"/>
    </row>
  </sheetData>
  <autoFilter ref="A1:AE1" xr:uid="{00000000-0009-0000-0000-000000000000}">
    <sortState xmlns:xlrd2="http://schemas.microsoft.com/office/spreadsheetml/2017/richdata2" ref="A2:AE100">
      <sortCondition ref="M1"/>
    </sortState>
  </autoFilter>
  <mergeCells count="1">
    <mergeCell ref="Q131:Q132"/>
  </mergeCells>
  <hyperlinks>
    <hyperlink ref="U2" r:id="rId1" xr:uid="{00000000-0004-0000-0000-000000000000}"/>
    <hyperlink ref="V2" r:id="rId2" xr:uid="{00000000-0004-0000-0000-000001000000}"/>
    <hyperlink ref="W2" r:id="rId3" xr:uid="{00000000-0004-0000-0000-000002000000}"/>
    <hyperlink ref="U3" r:id="rId4" xr:uid="{00000000-0004-0000-0000-000003000000}"/>
    <hyperlink ref="V3" r:id="rId5" xr:uid="{00000000-0004-0000-0000-000004000000}"/>
    <hyperlink ref="W3" r:id="rId6" xr:uid="{00000000-0004-0000-0000-000005000000}"/>
    <hyperlink ref="U4" r:id="rId7" xr:uid="{00000000-0004-0000-0000-000006000000}"/>
    <hyperlink ref="V4" r:id="rId8" xr:uid="{00000000-0004-0000-0000-000007000000}"/>
    <hyperlink ref="W4" r:id="rId9" xr:uid="{00000000-0004-0000-0000-000008000000}"/>
    <hyperlink ref="U5" r:id="rId10" xr:uid="{00000000-0004-0000-0000-000009000000}"/>
    <hyperlink ref="V5" r:id="rId11" xr:uid="{00000000-0004-0000-0000-00000A000000}"/>
    <hyperlink ref="W5" r:id="rId12" xr:uid="{00000000-0004-0000-0000-00000B000000}"/>
    <hyperlink ref="U6" r:id="rId13" xr:uid="{00000000-0004-0000-0000-00000C000000}"/>
    <hyperlink ref="V6" r:id="rId14" xr:uid="{00000000-0004-0000-0000-00000D000000}"/>
    <hyperlink ref="W6" r:id="rId15" xr:uid="{00000000-0004-0000-0000-00000E000000}"/>
    <hyperlink ref="U7" r:id="rId16" xr:uid="{00000000-0004-0000-0000-00000F000000}"/>
    <hyperlink ref="V7" r:id="rId17" xr:uid="{00000000-0004-0000-0000-000010000000}"/>
    <hyperlink ref="W7" r:id="rId18" xr:uid="{00000000-0004-0000-0000-000011000000}"/>
    <hyperlink ref="U8" r:id="rId19" xr:uid="{00000000-0004-0000-0000-000012000000}"/>
    <hyperlink ref="V8" r:id="rId20" xr:uid="{00000000-0004-0000-0000-000013000000}"/>
    <hyperlink ref="W8" r:id="rId21" xr:uid="{00000000-0004-0000-0000-000014000000}"/>
    <hyperlink ref="U9" r:id="rId22" xr:uid="{00000000-0004-0000-0000-000015000000}"/>
    <hyperlink ref="V9" r:id="rId23" xr:uid="{00000000-0004-0000-0000-000016000000}"/>
    <hyperlink ref="W9" r:id="rId24" xr:uid="{00000000-0004-0000-0000-000017000000}"/>
    <hyperlink ref="U11" r:id="rId25" xr:uid="{00000000-0004-0000-0000-000018000000}"/>
    <hyperlink ref="V11" r:id="rId26" xr:uid="{00000000-0004-0000-0000-000019000000}"/>
    <hyperlink ref="W11" r:id="rId27" xr:uid="{00000000-0004-0000-0000-00001A000000}"/>
    <hyperlink ref="U12" r:id="rId28" xr:uid="{00000000-0004-0000-0000-00001B000000}"/>
    <hyperlink ref="V12" r:id="rId29" xr:uid="{00000000-0004-0000-0000-00001C000000}"/>
    <hyperlink ref="W12" r:id="rId30" xr:uid="{00000000-0004-0000-0000-00001D000000}"/>
    <hyperlink ref="U13" r:id="rId31" xr:uid="{00000000-0004-0000-0000-00001E000000}"/>
    <hyperlink ref="V13" r:id="rId32" xr:uid="{00000000-0004-0000-0000-00001F000000}"/>
    <hyperlink ref="W13" r:id="rId33" xr:uid="{00000000-0004-0000-0000-000020000000}"/>
    <hyperlink ref="U14" r:id="rId34" xr:uid="{00000000-0004-0000-0000-000021000000}"/>
    <hyperlink ref="V14" r:id="rId35" xr:uid="{00000000-0004-0000-0000-000022000000}"/>
    <hyperlink ref="W14" r:id="rId36" xr:uid="{00000000-0004-0000-0000-000023000000}"/>
    <hyperlink ref="U15" r:id="rId37" xr:uid="{00000000-0004-0000-0000-000024000000}"/>
    <hyperlink ref="V15" r:id="rId38" xr:uid="{00000000-0004-0000-0000-000025000000}"/>
    <hyperlink ref="W15" r:id="rId39" xr:uid="{00000000-0004-0000-0000-000026000000}"/>
    <hyperlink ref="U16" r:id="rId40" xr:uid="{00000000-0004-0000-0000-000027000000}"/>
    <hyperlink ref="V16" r:id="rId41" xr:uid="{00000000-0004-0000-0000-000028000000}"/>
    <hyperlink ref="W16" r:id="rId42" xr:uid="{00000000-0004-0000-0000-000029000000}"/>
    <hyperlink ref="U17" r:id="rId43" xr:uid="{00000000-0004-0000-0000-00002A000000}"/>
    <hyperlink ref="V17" r:id="rId44" xr:uid="{00000000-0004-0000-0000-00002B000000}"/>
    <hyperlink ref="W17" r:id="rId45" xr:uid="{00000000-0004-0000-0000-00002C000000}"/>
    <hyperlink ref="U18" r:id="rId46" xr:uid="{00000000-0004-0000-0000-00002D000000}"/>
    <hyperlink ref="V18" r:id="rId47" xr:uid="{00000000-0004-0000-0000-00002E000000}"/>
    <hyperlink ref="W18" r:id="rId48" xr:uid="{00000000-0004-0000-0000-00002F000000}"/>
    <hyperlink ref="U19" r:id="rId49" xr:uid="{00000000-0004-0000-0000-000030000000}"/>
    <hyperlink ref="V19" r:id="rId50" xr:uid="{00000000-0004-0000-0000-000031000000}"/>
    <hyperlink ref="W19" r:id="rId51" xr:uid="{00000000-0004-0000-0000-000032000000}"/>
    <hyperlink ref="U20" r:id="rId52" xr:uid="{00000000-0004-0000-0000-000033000000}"/>
    <hyperlink ref="V20" r:id="rId53" xr:uid="{00000000-0004-0000-0000-000034000000}"/>
    <hyperlink ref="W20" r:id="rId54" xr:uid="{00000000-0004-0000-0000-000035000000}"/>
    <hyperlink ref="U21" r:id="rId55" xr:uid="{00000000-0004-0000-0000-000036000000}"/>
    <hyperlink ref="V21" r:id="rId56" xr:uid="{00000000-0004-0000-0000-000037000000}"/>
    <hyperlink ref="W21" r:id="rId57" xr:uid="{00000000-0004-0000-0000-000038000000}"/>
    <hyperlink ref="U22" r:id="rId58" xr:uid="{00000000-0004-0000-0000-000039000000}"/>
    <hyperlink ref="V22" r:id="rId59" xr:uid="{00000000-0004-0000-0000-00003A000000}"/>
    <hyperlink ref="W22" r:id="rId60" xr:uid="{00000000-0004-0000-0000-00003B000000}"/>
    <hyperlink ref="U23" r:id="rId61" xr:uid="{00000000-0004-0000-0000-00003C000000}"/>
    <hyperlink ref="V23" r:id="rId62" xr:uid="{00000000-0004-0000-0000-00003D000000}"/>
    <hyperlink ref="W23" r:id="rId63" xr:uid="{00000000-0004-0000-0000-00003E000000}"/>
    <hyperlink ref="U24" r:id="rId64" xr:uid="{00000000-0004-0000-0000-00003F000000}"/>
    <hyperlink ref="V24" r:id="rId65" xr:uid="{00000000-0004-0000-0000-000040000000}"/>
    <hyperlink ref="W24" r:id="rId66" xr:uid="{00000000-0004-0000-0000-000041000000}"/>
    <hyperlink ref="U25" r:id="rId67" xr:uid="{00000000-0004-0000-0000-000042000000}"/>
    <hyperlink ref="V25" r:id="rId68" xr:uid="{00000000-0004-0000-0000-000043000000}"/>
    <hyperlink ref="W25" r:id="rId69" xr:uid="{00000000-0004-0000-0000-000044000000}"/>
    <hyperlink ref="U26" r:id="rId70" xr:uid="{00000000-0004-0000-0000-000045000000}"/>
    <hyperlink ref="V26" r:id="rId71" xr:uid="{00000000-0004-0000-0000-000046000000}"/>
    <hyperlink ref="W26" r:id="rId72" xr:uid="{00000000-0004-0000-0000-000047000000}"/>
    <hyperlink ref="U27" r:id="rId73" xr:uid="{00000000-0004-0000-0000-000048000000}"/>
    <hyperlink ref="V27" r:id="rId74" xr:uid="{00000000-0004-0000-0000-000049000000}"/>
    <hyperlink ref="W27" r:id="rId75" xr:uid="{00000000-0004-0000-0000-00004A000000}"/>
    <hyperlink ref="U28" r:id="rId76" xr:uid="{00000000-0004-0000-0000-00004B000000}"/>
    <hyperlink ref="V28" r:id="rId77" xr:uid="{00000000-0004-0000-0000-00004C000000}"/>
    <hyperlink ref="W28" r:id="rId78" xr:uid="{00000000-0004-0000-0000-00004D000000}"/>
    <hyperlink ref="U29" r:id="rId79" xr:uid="{00000000-0004-0000-0000-00004E000000}"/>
    <hyperlink ref="V29" r:id="rId80" xr:uid="{00000000-0004-0000-0000-00004F000000}"/>
    <hyperlink ref="W29" r:id="rId81" xr:uid="{00000000-0004-0000-0000-000050000000}"/>
    <hyperlink ref="U30" r:id="rId82" xr:uid="{00000000-0004-0000-0000-000051000000}"/>
    <hyperlink ref="V30" r:id="rId83" xr:uid="{00000000-0004-0000-0000-000052000000}"/>
    <hyperlink ref="W30" r:id="rId84" xr:uid="{00000000-0004-0000-0000-000053000000}"/>
    <hyperlink ref="U31" r:id="rId85" xr:uid="{00000000-0004-0000-0000-000054000000}"/>
    <hyperlink ref="V31" r:id="rId86" xr:uid="{00000000-0004-0000-0000-000055000000}"/>
    <hyperlink ref="W31" r:id="rId87" xr:uid="{00000000-0004-0000-0000-000056000000}"/>
    <hyperlink ref="U32" r:id="rId88" xr:uid="{00000000-0004-0000-0000-000057000000}"/>
    <hyperlink ref="V32" r:id="rId89" xr:uid="{00000000-0004-0000-0000-000058000000}"/>
    <hyperlink ref="W32" r:id="rId90" xr:uid="{00000000-0004-0000-0000-000059000000}"/>
    <hyperlink ref="U33" r:id="rId91" xr:uid="{00000000-0004-0000-0000-00005A000000}"/>
    <hyperlink ref="V33" r:id="rId92" xr:uid="{00000000-0004-0000-0000-00005B000000}"/>
    <hyperlink ref="W33" r:id="rId93" xr:uid="{00000000-0004-0000-0000-00005C000000}"/>
    <hyperlink ref="U34" r:id="rId94" xr:uid="{00000000-0004-0000-0000-00005D000000}"/>
    <hyperlink ref="V34" r:id="rId95" xr:uid="{00000000-0004-0000-0000-00005E000000}"/>
    <hyperlink ref="W34" r:id="rId96" xr:uid="{00000000-0004-0000-0000-00005F000000}"/>
    <hyperlink ref="U35" r:id="rId97" xr:uid="{00000000-0004-0000-0000-000060000000}"/>
    <hyperlink ref="V35" r:id="rId98" xr:uid="{00000000-0004-0000-0000-000061000000}"/>
    <hyperlink ref="W35" r:id="rId99" xr:uid="{00000000-0004-0000-0000-000062000000}"/>
    <hyperlink ref="U36" r:id="rId100" xr:uid="{00000000-0004-0000-0000-000063000000}"/>
    <hyperlink ref="V36" r:id="rId101" xr:uid="{00000000-0004-0000-0000-000064000000}"/>
    <hyperlink ref="W36" r:id="rId102" xr:uid="{00000000-0004-0000-0000-000065000000}"/>
    <hyperlink ref="U37" r:id="rId103" xr:uid="{00000000-0004-0000-0000-000066000000}"/>
    <hyperlink ref="V37" r:id="rId104" xr:uid="{00000000-0004-0000-0000-000067000000}"/>
    <hyperlink ref="W37" r:id="rId105" xr:uid="{00000000-0004-0000-0000-000068000000}"/>
    <hyperlink ref="U38" r:id="rId106" xr:uid="{00000000-0004-0000-0000-000069000000}"/>
    <hyperlink ref="V38" r:id="rId107" xr:uid="{00000000-0004-0000-0000-00006A000000}"/>
    <hyperlink ref="W38" r:id="rId108" xr:uid="{00000000-0004-0000-0000-00006B000000}"/>
    <hyperlink ref="U39" r:id="rId109" xr:uid="{00000000-0004-0000-0000-00006C000000}"/>
    <hyperlink ref="V39" r:id="rId110" xr:uid="{00000000-0004-0000-0000-00006D000000}"/>
    <hyperlink ref="W39" r:id="rId111" xr:uid="{00000000-0004-0000-0000-00006E000000}"/>
    <hyperlink ref="U40" r:id="rId112" xr:uid="{00000000-0004-0000-0000-00006F000000}"/>
    <hyperlink ref="V40" r:id="rId113" xr:uid="{00000000-0004-0000-0000-000070000000}"/>
    <hyperlink ref="W40" r:id="rId114" xr:uid="{00000000-0004-0000-0000-000071000000}"/>
    <hyperlink ref="U41" r:id="rId115" xr:uid="{00000000-0004-0000-0000-000072000000}"/>
    <hyperlink ref="V41" r:id="rId116" xr:uid="{00000000-0004-0000-0000-000073000000}"/>
    <hyperlink ref="W41" r:id="rId117" xr:uid="{00000000-0004-0000-0000-000074000000}"/>
    <hyperlink ref="U42" r:id="rId118" xr:uid="{00000000-0004-0000-0000-000075000000}"/>
    <hyperlink ref="V42" r:id="rId119" xr:uid="{00000000-0004-0000-0000-000076000000}"/>
    <hyperlink ref="W42" r:id="rId120" xr:uid="{00000000-0004-0000-0000-000077000000}"/>
    <hyperlink ref="U43" r:id="rId121" xr:uid="{00000000-0004-0000-0000-000078000000}"/>
    <hyperlink ref="V43" r:id="rId122" xr:uid="{00000000-0004-0000-0000-000079000000}"/>
    <hyperlink ref="W43" r:id="rId123" xr:uid="{00000000-0004-0000-0000-00007A000000}"/>
    <hyperlink ref="U44" r:id="rId124" xr:uid="{00000000-0004-0000-0000-00007B000000}"/>
    <hyperlink ref="V44" r:id="rId125" xr:uid="{00000000-0004-0000-0000-00007C000000}"/>
    <hyperlink ref="W44" r:id="rId126" xr:uid="{00000000-0004-0000-0000-00007D000000}"/>
    <hyperlink ref="U45" r:id="rId127" xr:uid="{00000000-0004-0000-0000-00007E000000}"/>
    <hyperlink ref="V45" r:id="rId128" xr:uid="{00000000-0004-0000-0000-00007F000000}"/>
    <hyperlink ref="W45" r:id="rId129" xr:uid="{00000000-0004-0000-0000-000080000000}"/>
    <hyperlink ref="U46" r:id="rId130" xr:uid="{00000000-0004-0000-0000-000081000000}"/>
    <hyperlink ref="V46" r:id="rId131" xr:uid="{00000000-0004-0000-0000-000082000000}"/>
    <hyperlink ref="W46" r:id="rId132" xr:uid="{00000000-0004-0000-0000-000083000000}"/>
    <hyperlink ref="U47" r:id="rId133" xr:uid="{00000000-0004-0000-0000-000084000000}"/>
    <hyperlink ref="V47" r:id="rId134" xr:uid="{00000000-0004-0000-0000-000085000000}"/>
    <hyperlink ref="W47" r:id="rId135" xr:uid="{00000000-0004-0000-0000-000086000000}"/>
    <hyperlink ref="U48" r:id="rId136" xr:uid="{00000000-0004-0000-0000-000087000000}"/>
    <hyperlink ref="V48" r:id="rId137" xr:uid="{00000000-0004-0000-0000-000088000000}"/>
    <hyperlink ref="W48" r:id="rId138" xr:uid="{00000000-0004-0000-0000-000089000000}"/>
    <hyperlink ref="U49" r:id="rId139" xr:uid="{00000000-0004-0000-0000-00008A000000}"/>
    <hyperlink ref="V49" r:id="rId140" xr:uid="{00000000-0004-0000-0000-00008B000000}"/>
    <hyperlink ref="W49" r:id="rId141" xr:uid="{00000000-0004-0000-0000-00008C000000}"/>
    <hyperlink ref="U50" r:id="rId142" xr:uid="{00000000-0004-0000-0000-00008D000000}"/>
    <hyperlink ref="V50" r:id="rId143" xr:uid="{00000000-0004-0000-0000-00008E000000}"/>
    <hyperlink ref="W50" r:id="rId144" xr:uid="{00000000-0004-0000-0000-00008F000000}"/>
    <hyperlink ref="U53" r:id="rId145" xr:uid="{00000000-0004-0000-0000-000090000000}"/>
    <hyperlink ref="V53" r:id="rId146" xr:uid="{00000000-0004-0000-0000-000091000000}"/>
    <hyperlink ref="W53" r:id="rId147" xr:uid="{00000000-0004-0000-0000-000092000000}"/>
    <hyperlink ref="U54" r:id="rId148" xr:uid="{00000000-0004-0000-0000-000093000000}"/>
    <hyperlink ref="V54" r:id="rId149" xr:uid="{00000000-0004-0000-0000-000094000000}"/>
    <hyperlink ref="W54" r:id="rId150" xr:uid="{00000000-0004-0000-0000-000095000000}"/>
    <hyperlink ref="U55" r:id="rId151" xr:uid="{00000000-0004-0000-0000-000096000000}"/>
    <hyperlink ref="V55" r:id="rId152" xr:uid="{00000000-0004-0000-0000-000097000000}"/>
    <hyperlink ref="W55" r:id="rId153" xr:uid="{00000000-0004-0000-0000-000098000000}"/>
    <hyperlink ref="U56" r:id="rId154" xr:uid="{00000000-0004-0000-0000-000099000000}"/>
    <hyperlink ref="V56" r:id="rId155" xr:uid="{00000000-0004-0000-0000-00009A000000}"/>
    <hyperlink ref="W56" r:id="rId156" xr:uid="{00000000-0004-0000-0000-00009B000000}"/>
    <hyperlink ref="U57" r:id="rId157" xr:uid="{00000000-0004-0000-0000-00009C000000}"/>
    <hyperlink ref="V57" r:id="rId158" xr:uid="{00000000-0004-0000-0000-00009D000000}"/>
    <hyperlink ref="W57" r:id="rId159" xr:uid="{00000000-0004-0000-0000-00009E000000}"/>
    <hyperlink ref="U58" r:id="rId160" xr:uid="{00000000-0004-0000-0000-00009F000000}"/>
    <hyperlink ref="V58" r:id="rId161" xr:uid="{00000000-0004-0000-0000-0000A0000000}"/>
    <hyperlink ref="W58" r:id="rId162" xr:uid="{00000000-0004-0000-0000-0000A1000000}"/>
    <hyperlink ref="U59" r:id="rId163" xr:uid="{00000000-0004-0000-0000-0000A2000000}"/>
    <hyperlink ref="V59" r:id="rId164" xr:uid="{00000000-0004-0000-0000-0000A3000000}"/>
    <hyperlink ref="W59" r:id="rId165" xr:uid="{00000000-0004-0000-0000-0000A4000000}"/>
    <hyperlink ref="U60" r:id="rId166" xr:uid="{00000000-0004-0000-0000-0000A5000000}"/>
    <hyperlink ref="V60" r:id="rId167" xr:uid="{00000000-0004-0000-0000-0000A6000000}"/>
    <hyperlink ref="W60" r:id="rId168" xr:uid="{00000000-0004-0000-0000-0000A7000000}"/>
    <hyperlink ref="U61" r:id="rId169" xr:uid="{00000000-0004-0000-0000-0000A8000000}"/>
    <hyperlink ref="V61" r:id="rId170" xr:uid="{00000000-0004-0000-0000-0000A9000000}"/>
    <hyperlink ref="W61" r:id="rId171" xr:uid="{00000000-0004-0000-0000-0000AA000000}"/>
    <hyperlink ref="U62" r:id="rId172" xr:uid="{00000000-0004-0000-0000-0000AB000000}"/>
    <hyperlink ref="V62" r:id="rId173" xr:uid="{00000000-0004-0000-0000-0000AC000000}"/>
    <hyperlink ref="W62" r:id="rId174" xr:uid="{00000000-0004-0000-0000-0000AD000000}"/>
    <hyperlink ref="U63" r:id="rId175" xr:uid="{00000000-0004-0000-0000-0000AE000000}"/>
    <hyperlink ref="V63" r:id="rId176" xr:uid="{00000000-0004-0000-0000-0000AF000000}"/>
    <hyperlink ref="W63" r:id="rId177" xr:uid="{00000000-0004-0000-0000-0000B0000000}"/>
    <hyperlink ref="U64" r:id="rId178" xr:uid="{00000000-0004-0000-0000-0000B1000000}"/>
    <hyperlink ref="V64" r:id="rId179" xr:uid="{00000000-0004-0000-0000-0000B2000000}"/>
    <hyperlink ref="W64" r:id="rId180" xr:uid="{00000000-0004-0000-0000-0000B3000000}"/>
    <hyperlink ref="U65" r:id="rId181" xr:uid="{00000000-0004-0000-0000-0000B4000000}"/>
    <hyperlink ref="V65" r:id="rId182" xr:uid="{00000000-0004-0000-0000-0000B5000000}"/>
    <hyperlink ref="W65" r:id="rId183" xr:uid="{00000000-0004-0000-0000-0000B6000000}"/>
    <hyperlink ref="U66" r:id="rId184" xr:uid="{00000000-0004-0000-0000-0000B7000000}"/>
    <hyperlink ref="V66" r:id="rId185" xr:uid="{00000000-0004-0000-0000-0000B8000000}"/>
    <hyperlink ref="W66" r:id="rId186" xr:uid="{00000000-0004-0000-0000-0000B9000000}"/>
    <hyperlink ref="U72" r:id="rId187" xr:uid="{00000000-0004-0000-0000-0000BA000000}"/>
    <hyperlink ref="V72" r:id="rId188" xr:uid="{00000000-0004-0000-0000-0000BB000000}"/>
    <hyperlink ref="W72" r:id="rId189" xr:uid="{00000000-0004-0000-0000-0000BC000000}"/>
    <hyperlink ref="U73" r:id="rId190" xr:uid="{00000000-0004-0000-0000-0000BD000000}"/>
    <hyperlink ref="V73" r:id="rId191" xr:uid="{00000000-0004-0000-0000-0000BE000000}"/>
    <hyperlink ref="W73" r:id="rId192" xr:uid="{00000000-0004-0000-0000-0000BF000000}"/>
    <hyperlink ref="U74" r:id="rId193" xr:uid="{00000000-0004-0000-0000-0000C0000000}"/>
    <hyperlink ref="V74" r:id="rId194" xr:uid="{00000000-0004-0000-0000-0000C1000000}"/>
    <hyperlink ref="W74" r:id="rId195" xr:uid="{00000000-0004-0000-0000-0000C2000000}"/>
    <hyperlink ref="U75" r:id="rId196" xr:uid="{00000000-0004-0000-0000-0000C3000000}"/>
    <hyperlink ref="V75" r:id="rId197" xr:uid="{00000000-0004-0000-0000-0000C4000000}"/>
    <hyperlink ref="W75" r:id="rId198" xr:uid="{00000000-0004-0000-0000-0000C5000000}"/>
    <hyperlink ref="U76" r:id="rId199" xr:uid="{00000000-0004-0000-0000-0000C6000000}"/>
    <hyperlink ref="V76" r:id="rId200" xr:uid="{00000000-0004-0000-0000-0000C7000000}"/>
    <hyperlink ref="W76" r:id="rId201" xr:uid="{00000000-0004-0000-0000-0000C8000000}"/>
    <hyperlink ref="U67" r:id="rId202" xr:uid="{00000000-0004-0000-0000-0000C9000000}"/>
    <hyperlink ref="V67" r:id="rId203" xr:uid="{00000000-0004-0000-0000-0000CA000000}"/>
    <hyperlink ref="W67" r:id="rId204" xr:uid="{00000000-0004-0000-0000-0000CB000000}"/>
    <hyperlink ref="U68" r:id="rId205" xr:uid="{00000000-0004-0000-0000-0000CC000000}"/>
    <hyperlink ref="V68" r:id="rId206" xr:uid="{00000000-0004-0000-0000-0000CD000000}"/>
    <hyperlink ref="W68" r:id="rId207" xr:uid="{00000000-0004-0000-0000-0000CE000000}"/>
    <hyperlink ref="U69" r:id="rId208" xr:uid="{00000000-0004-0000-0000-0000CF000000}"/>
    <hyperlink ref="V69" r:id="rId209" xr:uid="{00000000-0004-0000-0000-0000D0000000}"/>
    <hyperlink ref="W69" r:id="rId210" xr:uid="{00000000-0004-0000-0000-0000D1000000}"/>
    <hyperlink ref="U70" r:id="rId211" xr:uid="{00000000-0004-0000-0000-0000D2000000}"/>
    <hyperlink ref="V70" r:id="rId212" xr:uid="{00000000-0004-0000-0000-0000D3000000}"/>
    <hyperlink ref="W70" r:id="rId213" xr:uid="{00000000-0004-0000-0000-0000D4000000}"/>
    <hyperlink ref="U94" r:id="rId214" xr:uid="{00000000-0004-0000-0000-0000D5000000}"/>
    <hyperlink ref="V94" r:id="rId215" xr:uid="{00000000-0004-0000-0000-0000D6000000}"/>
    <hyperlink ref="W94" r:id="rId216" xr:uid="{00000000-0004-0000-0000-0000D7000000}"/>
    <hyperlink ref="U88" r:id="rId217" xr:uid="{00000000-0004-0000-0000-0000D8000000}"/>
    <hyperlink ref="V88" r:id="rId218" xr:uid="{00000000-0004-0000-0000-0000D9000000}"/>
    <hyperlink ref="W88" r:id="rId219" xr:uid="{00000000-0004-0000-0000-0000DA000000}"/>
    <hyperlink ref="U71" r:id="rId220" xr:uid="{00000000-0004-0000-0000-0000DB000000}"/>
    <hyperlink ref="V71" r:id="rId221" xr:uid="{00000000-0004-0000-0000-0000DC000000}"/>
    <hyperlink ref="W71" r:id="rId222" xr:uid="{00000000-0004-0000-0000-0000DD000000}"/>
    <hyperlink ref="U90" r:id="rId223" xr:uid="{00000000-0004-0000-0000-0000DE000000}"/>
    <hyperlink ref="V90" r:id="rId224" xr:uid="{00000000-0004-0000-0000-0000DF000000}"/>
    <hyperlink ref="W90" r:id="rId225" xr:uid="{00000000-0004-0000-0000-0000E0000000}"/>
    <hyperlink ref="U89" r:id="rId226" xr:uid="{00000000-0004-0000-0000-0000E1000000}"/>
    <hyperlink ref="V89" r:id="rId227" xr:uid="{00000000-0004-0000-0000-0000E2000000}"/>
    <hyperlink ref="W89" r:id="rId228" xr:uid="{00000000-0004-0000-0000-0000E3000000}"/>
    <hyperlink ref="U86" r:id="rId229" xr:uid="{00000000-0004-0000-0000-0000E4000000}"/>
    <hyperlink ref="V86" r:id="rId230" xr:uid="{00000000-0004-0000-0000-0000E5000000}"/>
    <hyperlink ref="W86" r:id="rId231" xr:uid="{00000000-0004-0000-0000-0000E6000000}"/>
    <hyperlink ref="U87" r:id="rId232" xr:uid="{00000000-0004-0000-0000-0000E7000000}"/>
    <hyperlink ref="V87" r:id="rId233" xr:uid="{00000000-0004-0000-0000-0000E8000000}"/>
    <hyperlink ref="W87" r:id="rId234" xr:uid="{00000000-0004-0000-0000-0000E9000000}"/>
    <hyperlink ref="U77" r:id="rId235" xr:uid="{00000000-0004-0000-0000-0000EA000000}"/>
    <hyperlink ref="V77" r:id="rId236" xr:uid="{00000000-0004-0000-0000-0000EB000000}"/>
    <hyperlink ref="W77" r:id="rId237" xr:uid="{00000000-0004-0000-0000-0000EC000000}"/>
    <hyperlink ref="U95" r:id="rId238" xr:uid="{00000000-0004-0000-0000-0000ED000000}"/>
    <hyperlink ref="V95" r:id="rId239" xr:uid="{00000000-0004-0000-0000-0000EE000000}"/>
    <hyperlink ref="W95" r:id="rId240" xr:uid="{00000000-0004-0000-0000-0000EF000000}"/>
    <hyperlink ref="U96" r:id="rId241" xr:uid="{00000000-0004-0000-0000-0000F0000000}"/>
    <hyperlink ref="V96" r:id="rId242" xr:uid="{00000000-0004-0000-0000-0000F1000000}"/>
    <hyperlink ref="W96" r:id="rId243" xr:uid="{00000000-0004-0000-0000-0000F2000000}"/>
    <hyperlink ref="U97" r:id="rId244" xr:uid="{00000000-0004-0000-0000-0000F3000000}"/>
    <hyperlink ref="V97" r:id="rId245" xr:uid="{00000000-0004-0000-0000-0000F4000000}"/>
    <hyperlink ref="W97" r:id="rId246" xr:uid="{00000000-0004-0000-0000-0000F5000000}"/>
    <hyperlink ref="U98" r:id="rId247" xr:uid="{00000000-0004-0000-0000-0000F6000000}"/>
    <hyperlink ref="V98" r:id="rId248" xr:uid="{00000000-0004-0000-0000-0000F7000000}"/>
    <hyperlink ref="W98" r:id="rId249" xr:uid="{00000000-0004-0000-0000-0000F8000000}"/>
    <hyperlink ref="U99" r:id="rId250" xr:uid="{00000000-0004-0000-0000-0000F9000000}"/>
    <hyperlink ref="V99" r:id="rId251" xr:uid="{00000000-0004-0000-0000-0000FA000000}"/>
    <hyperlink ref="W99" r:id="rId252" xr:uid="{00000000-0004-0000-0000-0000FB000000}"/>
    <hyperlink ref="U78" r:id="rId253" xr:uid="{00000000-0004-0000-0000-0000FC000000}"/>
    <hyperlink ref="V78" r:id="rId254" xr:uid="{00000000-0004-0000-0000-0000FD000000}"/>
    <hyperlink ref="W78" r:id="rId255" xr:uid="{00000000-0004-0000-0000-0000FE000000}"/>
    <hyperlink ref="U79" r:id="rId256" xr:uid="{00000000-0004-0000-0000-0000FF000000}"/>
    <hyperlink ref="V79" r:id="rId257" xr:uid="{00000000-0004-0000-0000-000000010000}"/>
    <hyperlink ref="W79" r:id="rId258" xr:uid="{00000000-0004-0000-0000-000001010000}"/>
    <hyperlink ref="U82" r:id="rId259" xr:uid="{00000000-0004-0000-0000-000002010000}"/>
    <hyperlink ref="V82" r:id="rId260" xr:uid="{00000000-0004-0000-0000-000003010000}"/>
    <hyperlink ref="W82" r:id="rId261" xr:uid="{00000000-0004-0000-0000-000004010000}"/>
    <hyperlink ref="U80" r:id="rId262" xr:uid="{00000000-0004-0000-0000-000005010000}"/>
    <hyperlink ref="V80" r:id="rId263" xr:uid="{00000000-0004-0000-0000-000006010000}"/>
    <hyperlink ref="W80" r:id="rId264" xr:uid="{00000000-0004-0000-0000-000007010000}"/>
    <hyperlink ref="U81" r:id="rId265" xr:uid="{00000000-0004-0000-0000-000008010000}"/>
    <hyperlink ref="V81" r:id="rId266" xr:uid="{00000000-0004-0000-0000-000009010000}"/>
    <hyperlink ref="W81" r:id="rId267" xr:uid="{00000000-0004-0000-0000-00000A010000}"/>
    <hyperlink ref="U83" r:id="rId268" xr:uid="{00000000-0004-0000-0000-00000B010000}"/>
    <hyperlink ref="V83" r:id="rId269" xr:uid="{00000000-0004-0000-0000-00000C010000}"/>
    <hyperlink ref="W83" r:id="rId270" xr:uid="{00000000-0004-0000-0000-00000D010000}"/>
    <hyperlink ref="U84" r:id="rId271" xr:uid="{00000000-0004-0000-0000-00000E010000}"/>
    <hyperlink ref="V84" r:id="rId272" xr:uid="{00000000-0004-0000-0000-00000F010000}"/>
    <hyperlink ref="W84" r:id="rId273" xr:uid="{00000000-0004-0000-0000-000010010000}"/>
    <hyperlink ref="U85" r:id="rId274" xr:uid="{00000000-0004-0000-0000-000011010000}"/>
    <hyperlink ref="V85" r:id="rId275" xr:uid="{00000000-0004-0000-0000-000012010000}"/>
    <hyperlink ref="W85" r:id="rId276" xr:uid="{00000000-0004-0000-0000-000013010000}"/>
    <hyperlink ref="U51" r:id="rId277" xr:uid="{00000000-0004-0000-0000-000014010000}"/>
    <hyperlink ref="V51" r:id="rId278" xr:uid="{00000000-0004-0000-0000-000015010000}"/>
    <hyperlink ref="W51" r:id="rId279" xr:uid="{00000000-0004-0000-0000-000016010000}"/>
    <hyperlink ref="U52" r:id="rId280" xr:uid="{00000000-0004-0000-0000-000017010000}"/>
    <hyperlink ref="V52" r:id="rId281" xr:uid="{00000000-0004-0000-0000-000018010000}"/>
    <hyperlink ref="W52" r:id="rId282" xr:uid="{00000000-0004-0000-0000-000019010000}"/>
    <hyperlink ref="U91" r:id="rId283" xr:uid="{00000000-0004-0000-0000-00001A010000}"/>
    <hyperlink ref="V91" r:id="rId284" xr:uid="{00000000-0004-0000-0000-00001B010000}"/>
    <hyperlink ref="W91" r:id="rId285" xr:uid="{00000000-0004-0000-0000-00001C010000}"/>
    <hyperlink ref="U92" r:id="rId286" xr:uid="{00000000-0004-0000-0000-00001D010000}"/>
    <hyperlink ref="V92" r:id="rId287" xr:uid="{00000000-0004-0000-0000-00001E010000}"/>
    <hyperlink ref="W92" r:id="rId288" xr:uid="{00000000-0004-0000-0000-00001F010000}"/>
    <hyperlink ref="U93" r:id="rId289" xr:uid="{00000000-0004-0000-0000-000020010000}"/>
    <hyperlink ref="V93" r:id="rId290" xr:uid="{00000000-0004-0000-0000-000021010000}"/>
    <hyperlink ref="W93" r:id="rId291" xr:uid="{00000000-0004-0000-0000-000022010000}"/>
    <hyperlink ref="W10" r:id="rId292" xr:uid="{00000000-0004-0000-0000-000023010000}"/>
    <hyperlink ref="V10" r:id="rId293" xr:uid="{00000000-0004-0000-0000-000024010000}"/>
    <hyperlink ref="U10" r:id="rId294" xr:uid="{00000000-0004-0000-0000-000025010000}"/>
    <hyperlink ref="U100" r:id="rId295" xr:uid="{00000000-0004-0000-0000-000026010000}"/>
    <hyperlink ref="V100" r:id="rId296" xr:uid="{00000000-0004-0000-0000-000027010000}"/>
    <hyperlink ref="U101" r:id="rId297" xr:uid="{00000000-0004-0000-0000-000028010000}"/>
    <hyperlink ref="V101" r:id="rId298" xr:uid="{00000000-0004-0000-0000-000029010000}"/>
    <hyperlink ref="U102" r:id="rId299" xr:uid="{00000000-0004-0000-0000-00002A010000}"/>
    <hyperlink ref="V102" r:id="rId300" xr:uid="{00000000-0004-0000-0000-00002B010000}"/>
    <hyperlink ref="U103" r:id="rId301" xr:uid="{00000000-0004-0000-0000-00002C010000}"/>
    <hyperlink ref="V103" r:id="rId302" xr:uid="{00000000-0004-0000-0000-00002D010000}"/>
    <hyperlink ref="U104" r:id="rId303" xr:uid="{00000000-0004-0000-0000-00002E010000}"/>
    <hyperlink ref="V104" r:id="rId304" xr:uid="{00000000-0004-0000-0000-00002F010000}"/>
    <hyperlink ref="U105" r:id="rId305" xr:uid="{00000000-0004-0000-0000-000030010000}"/>
    <hyperlink ref="V105" r:id="rId306" xr:uid="{00000000-0004-0000-0000-000031010000}"/>
    <hyperlink ref="U106" r:id="rId307" xr:uid="{00000000-0004-0000-0000-000032010000}"/>
    <hyperlink ref="V106" r:id="rId308" xr:uid="{00000000-0004-0000-0000-000033010000}"/>
    <hyperlink ref="U107" r:id="rId309" xr:uid="{00000000-0004-0000-0000-000034010000}"/>
    <hyperlink ref="V107" r:id="rId310" xr:uid="{00000000-0004-0000-0000-000035010000}"/>
    <hyperlink ref="U108" r:id="rId311" xr:uid="{00000000-0004-0000-0000-000036010000}"/>
    <hyperlink ref="V108" r:id="rId312" xr:uid="{00000000-0004-0000-0000-000037010000}"/>
    <hyperlink ref="U109" r:id="rId313" xr:uid="{00000000-0004-0000-0000-000038010000}"/>
    <hyperlink ref="V109" r:id="rId314" xr:uid="{00000000-0004-0000-0000-000039010000}"/>
    <hyperlink ref="U110" r:id="rId315" xr:uid="{00000000-0004-0000-0000-00003A010000}"/>
    <hyperlink ref="V110" r:id="rId316" xr:uid="{00000000-0004-0000-0000-00003B010000}"/>
    <hyperlink ref="U111" r:id="rId317" xr:uid="{00000000-0004-0000-0000-00003C010000}"/>
    <hyperlink ref="V111" r:id="rId318" xr:uid="{00000000-0004-0000-0000-00003D010000}"/>
    <hyperlink ref="U112" r:id="rId319" xr:uid="{00000000-0004-0000-0000-00003E010000}"/>
    <hyperlink ref="V112" r:id="rId320" xr:uid="{00000000-0004-0000-0000-00003F010000}"/>
    <hyperlink ref="U113" r:id="rId321" xr:uid="{00000000-0004-0000-0000-000040010000}"/>
    <hyperlink ref="V113" r:id="rId322" xr:uid="{00000000-0004-0000-0000-000041010000}"/>
    <hyperlink ref="U114" r:id="rId323" xr:uid="{00000000-0004-0000-0000-000042010000}"/>
    <hyperlink ref="V114" r:id="rId324" xr:uid="{00000000-0004-0000-0000-000043010000}"/>
    <hyperlink ref="U115" r:id="rId325" xr:uid="{00000000-0004-0000-0000-000044010000}"/>
    <hyperlink ref="V115" r:id="rId326" xr:uid="{00000000-0004-0000-0000-000045010000}"/>
    <hyperlink ref="U116" r:id="rId327" xr:uid="{00000000-0004-0000-0000-000046010000}"/>
    <hyperlink ref="V116" r:id="rId328" xr:uid="{00000000-0004-0000-0000-000047010000}"/>
    <hyperlink ref="U117" r:id="rId329" xr:uid="{00000000-0004-0000-0000-000048010000}"/>
    <hyperlink ref="V117" r:id="rId330" xr:uid="{00000000-0004-0000-0000-000049010000}"/>
    <hyperlink ref="U118" r:id="rId331" xr:uid="{00000000-0004-0000-0000-00004A010000}"/>
    <hyperlink ref="V118" r:id="rId332" xr:uid="{00000000-0004-0000-0000-00004B010000}"/>
    <hyperlink ref="U119" r:id="rId333" xr:uid="{00000000-0004-0000-0000-00004C010000}"/>
    <hyperlink ref="V119" r:id="rId334" xr:uid="{00000000-0004-0000-0000-00004D010000}"/>
    <hyperlink ref="U120" r:id="rId335" xr:uid="{00000000-0004-0000-0000-00004E010000}"/>
    <hyperlink ref="V120" r:id="rId336" xr:uid="{00000000-0004-0000-0000-00004F010000}"/>
    <hyperlink ref="U121" r:id="rId337" xr:uid="{00000000-0004-0000-0000-000050010000}"/>
    <hyperlink ref="V121" r:id="rId338" xr:uid="{00000000-0004-0000-0000-000051010000}"/>
    <hyperlink ref="U122" r:id="rId339" xr:uid="{00000000-0004-0000-0000-000052010000}"/>
    <hyperlink ref="V122" r:id="rId340" xr:uid="{00000000-0004-0000-0000-000053010000}"/>
    <hyperlink ref="U123" r:id="rId341" xr:uid="{00000000-0004-0000-0000-000054010000}"/>
    <hyperlink ref="V123" r:id="rId342" xr:uid="{00000000-0004-0000-0000-000055010000}"/>
    <hyperlink ref="U124" r:id="rId343" xr:uid="{00000000-0004-0000-0000-000056010000}"/>
    <hyperlink ref="V124" r:id="rId344" xr:uid="{00000000-0004-0000-0000-000057010000}"/>
    <hyperlink ref="U125" r:id="rId345" xr:uid="{00000000-0004-0000-0000-000058010000}"/>
    <hyperlink ref="V125" r:id="rId346" xr:uid="{00000000-0004-0000-0000-000059010000}"/>
    <hyperlink ref="U126" r:id="rId347" xr:uid="{00000000-0004-0000-0000-00005A010000}"/>
    <hyperlink ref="V126" r:id="rId348" xr:uid="{00000000-0004-0000-0000-00005B010000}"/>
    <hyperlink ref="U127" r:id="rId349" xr:uid="{00000000-0004-0000-0000-00005C010000}"/>
    <hyperlink ref="V127" r:id="rId350" xr:uid="{00000000-0004-0000-0000-00005D010000}"/>
    <hyperlink ref="U128" r:id="rId351" xr:uid="{00000000-0004-0000-0000-00005E010000}"/>
    <hyperlink ref="V128" r:id="rId352" xr:uid="{00000000-0004-0000-0000-00005F010000}"/>
    <hyperlink ref="U129" r:id="rId353" xr:uid="{00000000-0004-0000-0000-000060010000}"/>
    <hyperlink ref="V129" r:id="rId354" xr:uid="{00000000-0004-0000-0000-000061010000}"/>
    <hyperlink ref="U130" r:id="rId355" xr:uid="{00000000-0004-0000-0000-000062010000}"/>
    <hyperlink ref="V130" r:id="rId356" xr:uid="{00000000-0004-0000-0000-000063010000}"/>
    <hyperlink ref="U131" r:id="rId357" xr:uid="{00000000-0004-0000-0000-000064010000}"/>
    <hyperlink ref="V131" r:id="rId358" xr:uid="{00000000-0004-0000-0000-000065010000}"/>
    <hyperlink ref="U132" r:id="rId359" xr:uid="{00000000-0004-0000-0000-000066010000}"/>
    <hyperlink ref="V132" r:id="rId360" xr:uid="{00000000-0004-0000-0000-000067010000}"/>
    <hyperlink ref="U133" r:id="rId361" xr:uid="{00000000-0004-0000-0000-000068010000}"/>
    <hyperlink ref="V133" r:id="rId362" xr:uid="{00000000-0004-0000-0000-000069010000}"/>
    <hyperlink ref="U134" r:id="rId363" xr:uid="{00000000-0004-0000-0000-00006A010000}"/>
    <hyperlink ref="V134" r:id="rId364" xr:uid="{00000000-0004-0000-0000-00006B010000}"/>
    <hyperlink ref="U135" r:id="rId365" xr:uid="{00000000-0004-0000-0000-00006C010000}"/>
    <hyperlink ref="V135" r:id="rId366" xr:uid="{00000000-0004-0000-0000-00006D010000}"/>
    <hyperlink ref="U136" r:id="rId367" xr:uid="{00000000-0004-0000-0000-00006E010000}"/>
    <hyperlink ref="V136" r:id="rId368" xr:uid="{00000000-0004-0000-0000-00006F010000}"/>
    <hyperlink ref="U137" r:id="rId369" xr:uid="{00000000-0004-0000-0000-000070010000}"/>
    <hyperlink ref="V137" r:id="rId370" xr:uid="{00000000-0004-0000-0000-000071010000}"/>
    <hyperlink ref="U138" r:id="rId371" xr:uid="{00000000-0004-0000-0000-000072010000}"/>
    <hyperlink ref="V138" r:id="rId372" xr:uid="{00000000-0004-0000-0000-000073010000}"/>
    <hyperlink ref="U139" r:id="rId373" xr:uid="{00000000-0004-0000-0000-000074010000}"/>
    <hyperlink ref="V139" r:id="rId374" xr:uid="{00000000-0004-0000-0000-000075010000}"/>
    <hyperlink ref="U140" r:id="rId375" xr:uid="{00000000-0004-0000-0000-000076010000}"/>
    <hyperlink ref="V140" r:id="rId376" xr:uid="{00000000-0004-0000-0000-000077010000}"/>
    <hyperlink ref="U141" r:id="rId377" xr:uid="{00000000-0004-0000-0000-000078010000}"/>
    <hyperlink ref="V141" r:id="rId378" xr:uid="{00000000-0004-0000-0000-000079010000}"/>
    <hyperlink ref="U142" r:id="rId379" xr:uid="{00000000-0004-0000-0000-00007A010000}"/>
    <hyperlink ref="V142" r:id="rId380" xr:uid="{00000000-0004-0000-0000-00007B010000}"/>
    <hyperlink ref="U143" r:id="rId381" xr:uid="{00000000-0004-0000-0000-00007C010000}"/>
    <hyperlink ref="V143" r:id="rId382" xr:uid="{00000000-0004-0000-0000-00007D010000}"/>
    <hyperlink ref="U144" r:id="rId383" xr:uid="{00000000-0004-0000-0000-00007E010000}"/>
    <hyperlink ref="V144" r:id="rId384" xr:uid="{00000000-0004-0000-0000-00007F010000}"/>
    <hyperlink ref="U145" r:id="rId385" xr:uid="{00000000-0004-0000-0000-000080010000}"/>
    <hyperlink ref="V145" r:id="rId386" xr:uid="{00000000-0004-0000-0000-000081010000}"/>
    <hyperlink ref="U146" r:id="rId387" xr:uid="{00000000-0004-0000-0000-000082010000}"/>
    <hyperlink ref="V146" r:id="rId388" xr:uid="{00000000-0004-0000-0000-000083010000}"/>
    <hyperlink ref="U147" r:id="rId389" xr:uid="{00000000-0004-0000-0000-000084010000}"/>
    <hyperlink ref="V147" r:id="rId390" xr:uid="{00000000-0004-0000-0000-000085010000}"/>
    <hyperlink ref="U148" r:id="rId391" xr:uid="{00000000-0004-0000-0000-000086010000}"/>
    <hyperlink ref="V148" r:id="rId392" xr:uid="{00000000-0004-0000-0000-000087010000}"/>
    <hyperlink ref="U149" r:id="rId393" xr:uid="{00000000-0004-0000-0000-000088010000}"/>
    <hyperlink ref="V149" r:id="rId394" xr:uid="{00000000-0004-0000-0000-000089010000}"/>
    <hyperlink ref="U150" r:id="rId395" xr:uid="{00000000-0004-0000-0000-00008A010000}"/>
    <hyperlink ref="V150" r:id="rId396" xr:uid="{00000000-0004-0000-0000-00008B010000}"/>
    <hyperlink ref="U151" r:id="rId397" xr:uid="{00000000-0004-0000-0000-00008C010000}"/>
    <hyperlink ref="V151" r:id="rId398" xr:uid="{00000000-0004-0000-0000-00008D010000}"/>
    <hyperlink ref="U152" r:id="rId399" xr:uid="{00000000-0004-0000-0000-00008E010000}"/>
    <hyperlink ref="V152" r:id="rId400" xr:uid="{00000000-0004-0000-0000-00008F010000}"/>
    <hyperlink ref="U153" r:id="rId401" xr:uid="{00000000-0004-0000-0000-000090010000}"/>
    <hyperlink ref="V153" r:id="rId402" xr:uid="{00000000-0004-0000-0000-000091010000}"/>
    <hyperlink ref="U154" r:id="rId403" xr:uid="{00000000-0004-0000-0000-000092010000}"/>
    <hyperlink ref="V154" r:id="rId404" xr:uid="{00000000-0004-0000-0000-000093010000}"/>
    <hyperlink ref="U155" r:id="rId405" xr:uid="{00000000-0004-0000-0000-000094010000}"/>
    <hyperlink ref="V155" r:id="rId406" xr:uid="{00000000-0004-0000-0000-000095010000}"/>
    <hyperlink ref="U156" r:id="rId407" xr:uid="{00000000-0004-0000-0000-000096010000}"/>
    <hyperlink ref="V156" r:id="rId408" xr:uid="{00000000-0004-0000-0000-000097010000}"/>
    <hyperlink ref="U157" r:id="rId409" xr:uid="{00000000-0004-0000-0000-000098010000}"/>
    <hyperlink ref="V157" r:id="rId410" xr:uid="{00000000-0004-0000-0000-000099010000}"/>
    <hyperlink ref="U158" r:id="rId411" xr:uid="{00000000-0004-0000-0000-00009A010000}"/>
    <hyperlink ref="V158" r:id="rId412" xr:uid="{00000000-0004-0000-0000-00009B010000}"/>
    <hyperlink ref="U159" r:id="rId413" xr:uid="{00000000-0004-0000-0000-00009C010000}"/>
    <hyperlink ref="V159" r:id="rId414" xr:uid="{00000000-0004-0000-0000-00009D010000}"/>
    <hyperlink ref="U160" r:id="rId415" xr:uid="{00000000-0004-0000-0000-00009E010000}"/>
    <hyperlink ref="V160" r:id="rId416" xr:uid="{00000000-0004-0000-0000-00009F010000}"/>
    <hyperlink ref="U161" r:id="rId417" xr:uid="{00000000-0004-0000-0000-0000A0010000}"/>
    <hyperlink ref="V161" r:id="rId418" xr:uid="{00000000-0004-0000-0000-0000A1010000}"/>
    <hyperlink ref="U162" r:id="rId419" xr:uid="{00000000-0004-0000-0000-0000A2010000}"/>
    <hyperlink ref="V162" r:id="rId420" xr:uid="{00000000-0004-0000-0000-0000A3010000}"/>
    <hyperlink ref="U163" r:id="rId421" xr:uid="{00000000-0004-0000-0000-0000A4010000}"/>
    <hyperlink ref="V163" r:id="rId422" xr:uid="{00000000-0004-0000-0000-0000A5010000}"/>
    <hyperlink ref="U164" r:id="rId423" xr:uid="{00000000-0004-0000-0000-0000A6010000}"/>
    <hyperlink ref="V164" r:id="rId424" xr:uid="{00000000-0004-0000-0000-0000A7010000}"/>
    <hyperlink ref="U165" r:id="rId425" xr:uid="{00000000-0004-0000-0000-0000A8010000}"/>
    <hyperlink ref="V165" r:id="rId426" xr:uid="{00000000-0004-0000-0000-0000A9010000}"/>
    <hyperlink ref="U166" r:id="rId427" xr:uid="{00000000-0004-0000-0000-0000AA010000}"/>
    <hyperlink ref="V166" r:id="rId428" xr:uid="{00000000-0004-0000-0000-0000AB010000}"/>
    <hyperlink ref="U167" r:id="rId429" xr:uid="{00000000-0004-0000-0000-0000AC010000}"/>
    <hyperlink ref="V167" r:id="rId430" xr:uid="{00000000-0004-0000-0000-0000AD010000}"/>
    <hyperlink ref="U168" r:id="rId431" xr:uid="{00000000-0004-0000-0000-0000AE010000}"/>
    <hyperlink ref="V168" r:id="rId432" xr:uid="{00000000-0004-0000-0000-0000AF010000}"/>
    <hyperlink ref="U169" r:id="rId433" xr:uid="{00000000-0004-0000-0000-0000B0010000}"/>
    <hyperlink ref="V169" r:id="rId434" xr:uid="{00000000-0004-0000-0000-0000B1010000}"/>
    <hyperlink ref="U170" r:id="rId435" xr:uid="{00000000-0004-0000-0000-0000B2010000}"/>
    <hyperlink ref="V170" r:id="rId436" xr:uid="{00000000-0004-0000-0000-0000B3010000}"/>
    <hyperlink ref="U171" r:id="rId437" xr:uid="{00000000-0004-0000-0000-0000B4010000}"/>
    <hyperlink ref="V171" r:id="rId438" xr:uid="{00000000-0004-0000-0000-0000B5010000}"/>
    <hyperlink ref="U172" r:id="rId439" xr:uid="{00000000-0004-0000-0000-0000B6010000}"/>
    <hyperlink ref="V172" r:id="rId440" xr:uid="{00000000-0004-0000-0000-0000B7010000}"/>
    <hyperlink ref="U173" r:id="rId441" xr:uid="{00000000-0004-0000-0000-0000B8010000}"/>
    <hyperlink ref="V173" r:id="rId442" xr:uid="{00000000-0004-0000-0000-0000B9010000}"/>
    <hyperlink ref="U174" r:id="rId443" xr:uid="{00000000-0004-0000-0000-0000BA010000}"/>
    <hyperlink ref="V174" r:id="rId444" xr:uid="{00000000-0004-0000-0000-0000BB010000}"/>
    <hyperlink ref="U175" r:id="rId445" xr:uid="{00000000-0004-0000-0000-0000BC010000}"/>
    <hyperlink ref="V175" r:id="rId446" xr:uid="{00000000-0004-0000-0000-0000BD010000}"/>
    <hyperlink ref="U176" r:id="rId447" xr:uid="{00000000-0004-0000-0000-0000BE010000}"/>
    <hyperlink ref="V176" r:id="rId448" xr:uid="{00000000-0004-0000-0000-0000BF010000}"/>
    <hyperlink ref="U177" r:id="rId449" xr:uid="{00000000-0004-0000-0000-0000C0010000}"/>
    <hyperlink ref="V177" r:id="rId450" xr:uid="{00000000-0004-0000-0000-0000C1010000}"/>
    <hyperlink ref="U178" r:id="rId451" xr:uid="{00000000-0004-0000-0000-0000C2010000}"/>
    <hyperlink ref="V178" r:id="rId452" xr:uid="{00000000-0004-0000-0000-0000C3010000}"/>
    <hyperlink ref="U179" r:id="rId453" xr:uid="{00000000-0004-0000-0000-0000C4010000}"/>
    <hyperlink ref="V179" r:id="rId454" xr:uid="{00000000-0004-0000-0000-0000C5010000}"/>
    <hyperlink ref="U180" r:id="rId455" xr:uid="{00000000-0004-0000-0000-0000C6010000}"/>
    <hyperlink ref="V180" r:id="rId456" xr:uid="{00000000-0004-0000-0000-0000C7010000}"/>
    <hyperlink ref="U181" r:id="rId457" xr:uid="{00000000-0004-0000-0000-0000C8010000}"/>
    <hyperlink ref="V181" r:id="rId458" xr:uid="{00000000-0004-0000-0000-0000C9010000}"/>
    <hyperlink ref="U182" r:id="rId459" xr:uid="{00000000-0004-0000-0000-0000CA010000}"/>
    <hyperlink ref="V182" r:id="rId460" xr:uid="{00000000-0004-0000-0000-0000CB010000}"/>
    <hyperlink ref="U183" r:id="rId461" xr:uid="{00000000-0004-0000-0000-0000CC010000}"/>
    <hyperlink ref="V183" r:id="rId462" xr:uid="{00000000-0004-0000-0000-0000CD010000}"/>
    <hyperlink ref="U184" r:id="rId463" xr:uid="{00000000-0004-0000-0000-0000CE010000}"/>
    <hyperlink ref="V184" r:id="rId464" xr:uid="{00000000-0004-0000-0000-0000CF010000}"/>
    <hyperlink ref="U185" r:id="rId465" xr:uid="{00000000-0004-0000-0000-0000D0010000}"/>
    <hyperlink ref="V185" r:id="rId466" xr:uid="{00000000-0004-0000-0000-0000D1010000}"/>
    <hyperlink ref="U186" r:id="rId467" xr:uid="{00000000-0004-0000-0000-0000D2010000}"/>
    <hyperlink ref="V186" r:id="rId468" xr:uid="{00000000-0004-0000-0000-0000D3010000}"/>
    <hyperlink ref="U187" r:id="rId469" xr:uid="{00000000-0004-0000-0000-0000D4010000}"/>
    <hyperlink ref="V187" r:id="rId470" xr:uid="{00000000-0004-0000-0000-0000D5010000}"/>
    <hyperlink ref="U188" r:id="rId471" xr:uid="{00000000-0004-0000-0000-0000D6010000}"/>
    <hyperlink ref="V188" r:id="rId472" xr:uid="{00000000-0004-0000-0000-0000D7010000}"/>
    <hyperlink ref="U189" r:id="rId473" xr:uid="{00000000-0004-0000-0000-0000D8010000}"/>
    <hyperlink ref="V189" r:id="rId474" xr:uid="{00000000-0004-0000-0000-0000D9010000}"/>
    <hyperlink ref="U190" r:id="rId475" xr:uid="{00000000-0004-0000-0000-0000DA010000}"/>
    <hyperlink ref="V190" r:id="rId476" xr:uid="{00000000-0004-0000-0000-0000DB010000}"/>
    <hyperlink ref="U191" r:id="rId477" xr:uid="{00000000-0004-0000-0000-0000DC010000}"/>
    <hyperlink ref="V191" r:id="rId478" xr:uid="{00000000-0004-0000-0000-0000DD010000}"/>
    <hyperlink ref="U192" r:id="rId479" xr:uid="{00000000-0004-0000-0000-0000DE010000}"/>
    <hyperlink ref="V192" r:id="rId480" xr:uid="{00000000-0004-0000-0000-0000DF010000}"/>
    <hyperlink ref="U193" r:id="rId481" xr:uid="{00000000-0004-0000-0000-0000E0010000}"/>
    <hyperlink ref="V193" r:id="rId482" xr:uid="{00000000-0004-0000-0000-0000E1010000}"/>
    <hyperlink ref="U194" r:id="rId483" xr:uid="{00000000-0004-0000-0000-0000E2010000}"/>
    <hyperlink ref="V194" r:id="rId484" xr:uid="{00000000-0004-0000-0000-0000E3010000}"/>
    <hyperlink ref="U195" r:id="rId485" xr:uid="{00000000-0004-0000-0000-0000E4010000}"/>
    <hyperlink ref="V195" r:id="rId486" xr:uid="{00000000-0004-0000-0000-0000E5010000}"/>
    <hyperlink ref="U196" r:id="rId487" xr:uid="{00000000-0004-0000-0000-0000E6010000}"/>
    <hyperlink ref="V196" r:id="rId488" xr:uid="{00000000-0004-0000-0000-0000E7010000}"/>
    <hyperlink ref="U197" r:id="rId489" xr:uid="{00000000-0004-0000-0000-0000E8010000}"/>
    <hyperlink ref="V197" r:id="rId490" xr:uid="{00000000-0004-0000-0000-0000E9010000}"/>
    <hyperlink ref="U198" r:id="rId491" xr:uid="{00000000-0004-0000-0000-0000EA010000}"/>
    <hyperlink ref="V198" r:id="rId492" xr:uid="{00000000-0004-0000-0000-0000EB010000}"/>
    <hyperlink ref="U199" r:id="rId493" xr:uid="{00000000-0004-0000-0000-0000EC010000}"/>
    <hyperlink ref="V199" r:id="rId494" xr:uid="{00000000-0004-0000-0000-0000ED010000}"/>
    <hyperlink ref="U200" r:id="rId495" xr:uid="{00000000-0004-0000-0000-0000EE010000}"/>
    <hyperlink ref="V200" r:id="rId496" xr:uid="{00000000-0004-0000-0000-0000EF010000}"/>
    <hyperlink ref="U201" r:id="rId497" xr:uid="{00000000-0004-0000-0000-0000F0010000}"/>
    <hyperlink ref="V201" r:id="rId498" xr:uid="{00000000-0004-0000-0000-0000F1010000}"/>
    <hyperlink ref="U202" r:id="rId499" xr:uid="{00000000-0004-0000-0000-0000F2010000}"/>
    <hyperlink ref="V202" r:id="rId500" xr:uid="{00000000-0004-0000-0000-0000F3010000}"/>
    <hyperlink ref="U203" r:id="rId501" xr:uid="{00000000-0004-0000-0000-0000F4010000}"/>
    <hyperlink ref="V203" r:id="rId502" xr:uid="{00000000-0004-0000-0000-0000F5010000}"/>
    <hyperlink ref="U204" r:id="rId503" xr:uid="{00000000-0004-0000-0000-0000F6010000}"/>
    <hyperlink ref="V204" r:id="rId504" xr:uid="{00000000-0004-0000-0000-0000F7010000}"/>
    <hyperlink ref="U205" r:id="rId505" xr:uid="{00000000-0004-0000-0000-0000F8010000}"/>
    <hyperlink ref="V205" r:id="rId506" xr:uid="{00000000-0004-0000-0000-0000F9010000}"/>
    <hyperlink ref="U206" r:id="rId507" xr:uid="{00000000-0004-0000-0000-0000FA010000}"/>
    <hyperlink ref="V206" r:id="rId508" xr:uid="{00000000-0004-0000-0000-0000FB010000}"/>
    <hyperlink ref="U207" r:id="rId509" xr:uid="{00000000-0004-0000-0000-0000FC010000}"/>
    <hyperlink ref="V207" r:id="rId510" xr:uid="{00000000-0004-0000-0000-0000FD010000}"/>
    <hyperlink ref="U208" r:id="rId511" xr:uid="{00000000-0004-0000-0000-0000FE010000}"/>
    <hyperlink ref="V208" r:id="rId512" xr:uid="{00000000-0004-0000-0000-0000FF010000}"/>
    <hyperlink ref="U209" r:id="rId513" xr:uid="{00000000-0004-0000-0000-000000020000}"/>
    <hyperlink ref="V209" r:id="rId514" xr:uid="{00000000-0004-0000-0000-000001020000}"/>
    <hyperlink ref="U210" r:id="rId515" xr:uid="{00000000-0004-0000-0000-000002020000}"/>
    <hyperlink ref="V210" r:id="rId516" xr:uid="{00000000-0004-0000-0000-000003020000}"/>
    <hyperlink ref="U211" r:id="rId517" xr:uid="{00000000-0004-0000-0000-000004020000}"/>
    <hyperlink ref="V211" r:id="rId518" xr:uid="{00000000-0004-0000-0000-000005020000}"/>
    <hyperlink ref="U212" r:id="rId519" xr:uid="{00000000-0004-0000-0000-000006020000}"/>
    <hyperlink ref="V212" r:id="rId520" xr:uid="{00000000-0004-0000-0000-000007020000}"/>
    <hyperlink ref="U213" r:id="rId521" xr:uid="{00000000-0004-0000-0000-000008020000}"/>
    <hyperlink ref="V213" r:id="rId522" xr:uid="{00000000-0004-0000-0000-000009020000}"/>
    <hyperlink ref="U214" r:id="rId523" xr:uid="{00000000-0004-0000-0000-00000A020000}"/>
    <hyperlink ref="V214" r:id="rId524" xr:uid="{00000000-0004-0000-0000-00000B020000}"/>
  </hyperlinks>
  <pageMargins left="0.7" right="0.7" top="0.75" bottom="0.75" header="0.3" footer="0.3"/>
  <pageSetup orientation="portrait" horizontalDpi="300" verticalDpi="300" r:id="rId525"/>
  <drawing r:id="rId5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356"/>
  <sheetViews>
    <sheetView zoomScale="60" zoomScaleNormal="60" workbookViewId="0">
      <pane ySplit="1" topLeftCell="J179" activePane="bottomLeft" state="frozen"/>
      <selection pane="bottomLeft" activeCell="V192" sqref="V192"/>
      <selection activeCell="I1" sqref="I1"/>
    </sheetView>
  </sheetViews>
  <sheetFormatPr defaultColWidth="9.140625" defaultRowHeight="14.45"/>
  <cols>
    <col min="1" max="1" width="21.85546875" customWidth="1"/>
    <col min="2" max="2" width="8.5703125" customWidth="1"/>
    <col min="3" max="3" width="9.140625" hidden="1" customWidth="1"/>
    <col min="4" max="4" width="8.5703125" customWidth="1"/>
    <col min="5" max="5" width="13.5703125" customWidth="1"/>
    <col min="6" max="6" width="13.140625" customWidth="1"/>
    <col min="7" max="7" width="12.7109375" bestFit="1" customWidth="1"/>
    <col min="8" max="8" width="11.5703125" customWidth="1"/>
    <col min="9" max="9" width="9.28515625" bestFit="1" customWidth="1"/>
    <col min="10" max="10" width="12.140625" style="321" customWidth="1"/>
    <col min="11" max="15" width="9.140625" hidden="1" customWidth="1"/>
    <col min="16" max="16" width="9.140625" style="432" customWidth="1"/>
    <col min="17" max="18" width="9.140625" style="78"/>
    <col min="19" max="19" width="9.140625" style="464"/>
    <col min="20" max="20" width="9.140625" style="511"/>
    <col min="21" max="21" width="27.28515625" style="603" customWidth="1"/>
    <col min="22" max="22" width="35" style="373" customWidth="1"/>
    <col min="23" max="23" width="9.140625" hidden="1" customWidth="1"/>
    <col min="24" max="24" width="24.85546875" customWidth="1"/>
    <col min="25" max="25" width="39.2851562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1171</v>
      </c>
      <c r="H1" t="s">
        <v>1172</v>
      </c>
      <c r="I1" t="s">
        <v>1173</v>
      </c>
      <c r="J1" s="321" t="s">
        <v>1174</v>
      </c>
      <c r="K1" t="s">
        <v>8</v>
      </c>
      <c r="L1" t="s">
        <v>9</v>
      </c>
      <c r="M1" t="s">
        <v>10</v>
      </c>
      <c r="N1" t="s">
        <v>11</v>
      </c>
      <c r="O1" s="78" t="s">
        <v>12</v>
      </c>
      <c r="P1" s="432" t="s">
        <v>19</v>
      </c>
      <c r="Q1" s="101" t="s">
        <v>13</v>
      </c>
      <c r="R1" s="78" t="s">
        <v>14</v>
      </c>
      <c r="S1" s="464" t="s">
        <v>15</v>
      </c>
      <c r="T1" s="496" t="s">
        <v>1175</v>
      </c>
      <c r="U1" s="587" t="s">
        <v>16</v>
      </c>
      <c r="V1" s="373" t="s">
        <v>17</v>
      </c>
      <c r="W1" t="s">
        <v>18</v>
      </c>
      <c r="X1" t="s">
        <v>1176</v>
      </c>
      <c r="Y1" t="s">
        <v>1177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I1" t="s">
        <v>1178</v>
      </c>
    </row>
    <row r="2" spans="1:35" s="204" customFormat="1">
      <c r="A2" s="202" t="s">
        <v>726</v>
      </c>
      <c r="B2" s="203">
        <v>0.13004179095378199</v>
      </c>
      <c r="C2" s="203" t="s">
        <v>28</v>
      </c>
      <c r="D2" s="205">
        <v>9.8815746307372994</v>
      </c>
      <c r="E2" s="204">
        <v>0.161</v>
      </c>
      <c r="F2" s="204">
        <v>10.8</v>
      </c>
      <c r="G2" s="204">
        <v>35.310824196818501</v>
      </c>
      <c r="H2" s="204">
        <v>-120.662859063707</v>
      </c>
      <c r="I2" s="11">
        <v>35.310843510666601</v>
      </c>
      <c r="J2" s="322">
        <v>-120.662842539333</v>
      </c>
      <c r="K2" s="204" t="s">
        <v>627</v>
      </c>
      <c r="M2" s="204" t="s">
        <v>30</v>
      </c>
      <c r="N2" s="204" t="s">
        <v>628</v>
      </c>
      <c r="O2" s="206">
        <v>10</v>
      </c>
      <c r="P2" s="433">
        <v>1</v>
      </c>
      <c r="Q2" s="346">
        <v>1</v>
      </c>
      <c r="R2" s="319">
        <v>1</v>
      </c>
      <c r="S2" s="465">
        <v>1</v>
      </c>
      <c r="T2" s="465" t="s">
        <v>1179</v>
      </c>
      <c r="U2" s="588"/>
      <c r="V2" s="202" t="s">
        <v>727</v>
      </c>
      <c r="W2" s="204" t="s">
        <v>33</v>
      </c>
      <c r="X2" s="11" t="s">
        <v>1180</v>
      </c>
      <c r="Y2" s="11" t="s">
        <v>1181</v>
      </c>
      <c r="Z2" s="320" t="s">
        <v>729</v>
      </c>
      <c r="AA2" s="320" t="s">
        <v>730</v>
      </c>
      <c r="AF2" s="204" t="s">
        <v>731</v>
      </c>
    </row>
    <row r="3" spans="1:35" s="11" customFormat="1">
      <c r="A3" s="209" t="s">
        <v>732</v>
      </c>
      <c r="B3" s="12">
        <v>0.11198820801561001</v>
      </c>
      <c r="C3" s="12" t="e" cm="1">
        <f t="array" aca="1" ref="C3" ca="1">SQRT(SUMPRODUCT((($P$2:$P$1036='Footprint Trees'!Q:QV2)*($Q$2:$Q$1036=W2))*($B$2:$B$1036)^2))</f>
        <v>#NAME?</v>
      </c>
      <c r="D3" s="13">
        <v>1.2933545112609801</v>
      </c>
      <c r="E3" s="11">
        <v>0.122</v>
      </c>
      <c r="F3" s="11">
        <v>1.3</v>
      </c>
      <c r="G3" s="11">
        <v>35.310829100231899</v>
      </c>
      <c r="H3" s="11">
        <v>-120.66289125021601</v>
      </c>
      <c r="J3" s="322"/>
      <c r="K3" s="11" t="s">
        <v>627</v>
      </c>
      <c r="M3" s="11" t="s">
        <v>30</v>
      </c>
      <c r="N3" s="11" t="s">
        <v>628</v>
      </c>
      <c r="O3" s="129">
        <v>10</v>
      </c>
      <c r="P3" s="434">
        <v>1</v>
      </c>
      <c r="Q3" s="347">
        <v>1</v>
      </c>
      <c r="R3" s="79">
        <v>2</v>
      </c>
      <c r="S3" s="466">
        <v>1</v>
      </c>
      <c r="T3" s="466"/>
      <c r="U3" s="587"/>
      <c r="V3" s="209" t="s">
        <v>733</v>
      </c>
      <c r="W3" s="11" t="s">
        <v>33</v>
      </c>
      <c r="X3" s="11" t="s">
        <v>1180</v>
      </c>
      <c r="Y3" s="11" t="s">
        <v>1181</v>
      </c>
      <c r="Z3" s="236" t="s">
        <v>734</v>
      </c>
      <c r="AA3" s="236" t="s">
        <v>735</v>
      </c>
      <c r="AF3" s="11" t="s">
        <v>736</v>
      </c>
    </row>
    <row r="4" spans="1:35" s="11" customFormat="1">
      <c r="A4" s="209" t="s">
        <v>737</v>
      </c>
      <c r="B4" s="12">
        <v>5.2926415848481602E-2</v>
      </c>
      <c r="C4" s="12" t="s">
        <v>28</v>
      </c>
      <c r="D4" s="13">
        <v>1.2927340269088701</v>
      </c>
      <c r="E4" s="11">
        <v>5.7000000000000002E-2</v>
      </c>
      <c r="F4" s="11">
        <v>1.3</v>
      </c>
      <c r="G4" s="11">
        <v>35.310810953411497</v>
      </c>
      <c r="H4" s="11">
        <v>-120.662899380662</v>
      </c>
      <c r="J4" s="322"/>
      <c r="K4" s="11" t="s">
        <v>627</v>
      </c>
      <c r="M4" s="11" t="s">
        <v>30</v>
      </c>
      <c r="N4" s="11" t="s">
        <v>628</v>
      </c>
      <c r="O4" s="129">
        <v>10</v>
      </c>
      <c r="P4" s="434">
        <v>1</v>
      </c>
      <c r="Q4" s="347">
        <v>1</v>
      </c>
      <c r="R4" s="79">
        <v>3</v>
      </c>
      <c r="S4" s="466">
        <v>1</v>
      </c>
      <c r="T4" s="466"/>
      <c r="U4" s="587"/>
      <c r="V4" s="209" t="s">
        <v>738</v>
      </c>
      <c r="W4" s="11" t="s">
        <v>33</v>
      </c>
      <c r="X4" s="11" t="s">
        <v>1180</v>
      </c>
      <c r="Y4" s="11" t="s">
        <v>1181</v>
      </c>
      <c r="Z4" s="236" t="s">
        <v>739</v>
      </c>
      <c r="AA4" s="236" t="s">
        <v>740</v>
      </c>
      <c r="AF4" s="11" t="s">
        <v>741</v>
      </c>
    </row>
    <row r="5" spans="1:35" s="11" customFormat="1">
      <c r="A5" s="209" t="s">
        <v>742</v>
      </c>
      <c r="B5" s="12">
        <v>9.9103543181239304E-2</v>
      </c>
      <c r="C5" s="12" t="s">
        <v>28</v>
      </c>
      <c r="D5" s="13">
        <v>1.23294305801391</v>
      </c>
      <c r="E5" s="11">
        <v>0.111999999999999</v>
      </c>
      <c r="F5" s="11">
        <v>1.3</v>
      </c>
      <c r="G5" s="11">
        <v>35.310845654490599</v>
      </c>
      <c r="H5" s="11">
        <v>-120.66288823273</v>
      </c>
      <c r="J5" s="322"/>
      <c r="K5" s="11" t="s">
        <v>627</v>
      </c>
      <c r="M5" s="11" t="s">
        <v>30</v>
      </c>
      <c r="N5" s="11" t="s">
        <v>628</v>
      </c>
      <c r="O5" s="129">
        <v>10</v>
      </c>
      <c r="P5" s="434">
        <v>1</v>
      </c>
      <c r="Q5" s="347">
        <v>1</v>
      </c>
      <c r="R5" s="79">
        <v>4</v>
      </c>
      <c r="S5" s="466">
        <v>1</v>
      </c>
      <c r="T5" s="466"/>
      <c r="U5" s="587"/>
      <c r="V5" s="209" t="s">
        <v>743</v>
      </c>
      <c r="W5" s="11" t="s">
        <v>33</v>
      </c>
      <c r="X5" s="11" t="s">
        <v>1180</v>
      </c>
      <c r="Y5" s="11" t="s">
        <v>1181</v>
      </c>
      <c r="Z5" s="236" t="s">
        <v>744</v>
      </c>
      <c r="AA5" s="236" t="s">
        <v>745</v>
      </c>
      <c r="AF5" s="11" t="s">
        <v>746</v>
      </c>
    </row>
    <row r="6" spans="1:35" s="11" customFormat="1">
      <c r="A6" s="209" t="s">
        <v>747</v>
      </c>
      <c r="B6" s="12">
        <v>9.57902884770164E-2</v>
      </c>
      <c r="C6" s="12" t="s">
        <v>28</v>
      </c>
      <c r="D6" s="13">
        <v>0.92759710550308205</v>
      </c>
      <c r="E6" s="11">
        <v>0.109</v>
      </c>
      <c r="F6" s="11">
        <v>1.3</v>
      </c>
      <c r="G6" s="11">
        <v>35.310875577885</v>
      </c>
      <c r="H6" s="11">
        <v>-120.662938524149</v>
      </c>
      <c r="J6" s="322"/>
      <c r="K6" s="11" t="s">
        <v>627</v>
      </c>
      <c r="M6" s="11" t="s">
        <v>30</v>
      </c>
      <c r="N6" s="11" t="s">
        <v>628</v>
      </c>
      <c r="O6" s="129">
        <v>10</v>
      </c>
      <c r="P6" s="434">
        <v>1</v>
      </c>
      <c r="Q6" s="347">
        <v>1</v>
      </c>
      <c r="R6" s="79">
        <v>5</v>
      </c>
      <c r="S6" s="466">
        <v>1</v>
      </c>
      <c r="T6" s="466"/>
      <c r="U6" s="587"/>
      <c r="V6" s="209" t="s">
        <v>748</v>
      </c>
      <c r="W6" s="11" t="s">
        <v>33</v>
      </c>
      <c r="X6" s="11" t="s">
        <v>1180</v>
      </c>
      <c r="Y6" s="11" t="s">
        <v>1181</v>
      </c>
      <c r="Z6" s="236" t="s">
        <v>749</v>
      </c>
      <c r="AA6" s="236" t="s">
        <v>750</v>
      </c>
      <c r="AF6" s="11" t="s">
        <v>751</v>
      </c>
    </row>
    <row r="7" spans="1:35" s="11" customFormat="1">
      <c r="A7" s="209" t="s">
        <v>752</v>
      </c>
      <c r="B7" s="12">
        <v>8.4025711512090595E-2</v>
      </c>
      <c r="C7" s="12" t="s">
        <v>28</v>
      </c>
      <c r="D7" s="13">
        <v>1.1133282184600799</v>
      </c>
      <c r="E7" s="11">
        <v>8.7999999999999995E-2</v>
      </c>
      <c r="F7" s="11">
        <v>1.3</v>
      </c>
      <c r="G7" s="11">
        <v>35.310847372780799</v>
      </c>
      <c r="H7" s="11">
        <v>-120.66280935902201</v>
      </c>
      <c r="J7" s="322"/>
      <c r="K7" s="11" t="s">
        <v>627</v>
      </c>
      <c r="M7" s="11" t="s">
        <v>30</v>
      </c>
      <c r="N7" s="11" t="s">
        <v>628</v>
      </c>
      <c r="O7" s="129">
        <v>10</v>
      </c>
      <c r="P7" s="434">
        <v>1</v>
      </c>
      <c r="Q7" s="347">
        <v>1</v>
      </c>
      <c r="R7" s="79">
        <v>6</v>
      </c>
      <c r="S7" s="466">
        <v>1</v>
      </c>
      <c r="T7" s="466"/>
      <c r="U7" s="587"/>
      <c r="V7" s="209" t="s">
        <v>753</v>
      </c>
      <c r="W7" s="11" t="s">
        <v>33</v>
      </c>
      <c r="X7" s="11" t="s">
        <v>1180</v>
      </c>
      <c r="Y7" s="11" t="s">
        <v>1181</v>
      </c>
      <c r="Z7" s="236" t="s">
        <v>754</v>
      </c>
      <c r="AA7" s="236" t="s">
        <v>755</v>
      </c>
      <c r="AF7" s="11" t="s">
        <v>756</v>
      </c>
    </row>
    <row r="8" spans="1:35" s="11" customFormat="1">
      <c r="A8" s="209" t="s">
        <v>757</v>
      </c>
      <c r="B8" s="12">
        <v>0.102954639943221</v>
      </c>
      <c r="C8" s="12" t="s">
        <v>28</v>
      </c>
      <c r="D8" s="13">
        <v>1.1891084909439</v>
      </c>
      <c r="E8" s="11">
        <v>0.105</v>
      </c>
      <c r="F8" s="11">
        <v>1.3</v>
      </c>
      <c r="G8" s="11">
        <v>35.310869752462303</v>
      </c>
      <c r="H8" s="11">
        <v>-120.662832660712</v>
      </c>
      <c r="J8" s="322"/>
      <c r="K8" s="11" t="s">
        <v>627</v>
      </c>
      <c r="M8" s="11" t="s">
        <v>30</v>
      </c>
      <c r="N8" s="11" t="s">
        <v>628</v>
      </c>
      <c r="O8" s="129">
        <v>10</v>
      </c>
      <c r="P8" s="435">
        <v>1</v>
      </c>
      <c r="Q8" s="348">
        <v>1</v>
      </c>
      <c r="R8" s="79">
        <v>7</v>
      </c>
      <c r="S8" s="466">
        <v>1</v>
      </c>
      <c r="T8" s="466"/>
      <c r="U8" s="587"/>
      <c r="V8" s="209" t="s">
        <v>758</v>
      </c>
      <c r="W8" s="11" t="s">
        <v>33</v>
      </c>
      <c r="X8" s="11" t="s">
        <v>1180</v>
      </c>
      <c r="Y8" s="11" t="s">
        <v>1181</v>
      </c>
      <c r="Z8" s="236" t="s">
        <v>759</v>
      </c>
      <c r="AA8" s="236" t="s">
        <v>760</v>
      </c>
      <c r="AF8" s="11" t="s">
        <v>761</v>
      </c>
    </row>
    <row r="9" spans="1:35" s="222" customFormat="1">
      <c r="A9" s="219" t="s">
        <v>762</v>
      </c>
      <c r="B9" s="220">
        <v>0.17142462468964201</v>
      </c>
      <c r="C9" s="220" t="s">
        <v>28</v>
      </c>
      <c r="D9" s="221">
        <v>10.6524505615234</v>
      </c>
      <c r="E9" s="222">
        <v>0.16699999999999901</v>
      </c>
      <c r="F9" s="222">
        <v>10</v>
      </c>
      <c r="G9" s="222">
        <v>35.310863256487302</v>
      </c>
      <c r="H9" s="222">
        <v>-120.66291170205901</v>
      </c>
      <c r="I9" s="222">
        <v>35.310887884666599</v>
      </c>
      <c r="J9" s="323">
        <v>-120.6628417555</v>
      </c>
      <c r="K9" s="222" t="s">
        <v>627</v>
      </c>
      <c r="M9" s="222" t="s">
        <v>30</v>
      </c>
      <c r="N9" s="222" t="s">
        <v>628</v>
      </c>
      <c r="O9" s="223">
        <v>11</v>
      </c>
      <c r="P9" s="436">
        <v>2</v>
      </c>
      <c r="Q9" s="224">
        <v>1</v>
      </c>
      <c r="R9" s="225">
        <v>1</v>
      </c>
      <c r="S9" s="467">
        <v>1</v>
      </c>
      <c r="T9" s="497" t="s">
        <v>1179</v>
      </c>
      <c r="U9" s="588"/>
      <c r="V9" s="219" t="s">
        <v>763</v>
      </c>
      <c r="W9" s="222" t="s">
        <v>33</v>
      </c>
      <c r="X9" s="222" t="s">
        <v>1182</v>
      </c>
      <c r="Y9" s="230" t="s">
        <v>1183</v>
      </c>
      <c r="Z9" s="226" t="s">
        <v>765</v>
      </c>
      <c r="AA9" s="226" t="s">
        <v>766</v>
      </c>
      <c r="AF9" s="222" t="s">
        <v>767</v>
      </c>
    </row>
    <row r="10" spans="1:35" s="230" customFormat="1">
      <c r="A10" s="227" t="s">
        <v>768</v>
      </c>
      <c r="B10" s="228">
        <v>0.32065579972712399</v>
      </c>
      <c r="C10" s="228" t="s">
        <v>28</v>
      </c>
      <c r="D10" s="229">
        <v>13.2140302658081</v>
      </c>
      <c r="E10" s="230">
        <v>0.32799999999999901</v>
      </c>
      <c r="F10" s="230">
        <v>13.7</v>
      </c>
      <c r="G10" s="230">
        <v>35.310843433286301</v>
      </c>
      <c r="H10" s="230">
        <v>-120.662809023745</v>
      </c>
      <c r="I10" s="230">
        <v>35.310842635666603</v>
      </c>
      <c r="J10" s="324">
        <v>-120.662807986666</v>
      </c>
      <c r="K10" s="230" t="s">
        <v>627</v>
      </c>
      <c r="M10" s="230" t="s">
        <v>30</v>
      </c>
      <c r="N10" s="230" t="s">
        <v>628</v>
      </c>
      <c r="O10" s="231">
        <v>11</v>
      </c>
      <c r="P10" s="437">
        <v>2</v>
      </c>
      <c r="Q10" s="232">
        <v>2</v>
      </c>
      <c r="R10" s="233">
        <v>1</v>
      </c>
      <c r="S10" s="468">
        <v>1</v>
      </c>
      <c r="T10" s="497" t="s">
        <v>1179</v>
      </c>
      <c r="U10" s="589"/>
      <c r="V10" s="227" t="s">
        <v>769</v>
      </c>
      <c r="W10" s="230" t="s">
        <v>33</v>
      </c>
      <c r="X10" s="230" t="s">
        <v>1182</v>
      </c>
      <c r="Y10" s="230" t="s">
        <v>1183</v>
      </c>
      <c r="Z10" s="234" t="s">
        <v>770</v>
      </c>
      <c r="AA10" s="234" t="s">
        <v>771</v>
      </c>
      <c r="AF10" s="230" t="s">
        <v>772</v>
      </c>
    </row>
    <row r="11" spans="1:35" s="15" customFormat="1">
      <c r="A11" s="187" t="s">
        <v>773</v>
      </c>
      <c r="B11" s="16">
        <v>0.55698177056860898</v>
      </c>
      <c r="C11" s="16" t="s">
        <v>28</v>
      </c>
      <c r="D11" s="17">
        <v>10.594742774963301</v>
      </c>
      <c r="E11" s="15">
        <v>0.65</v>
      </c>
      <c r="F11" s="15">
        <v>11.5</v>
      </c>
      <c r="G11" s="15">
        <v>35.310787023077999</v>
      </c>
      <c r="H11" s="15">
        <v>-120.662858728431</v>
      </c>
      <c r="I11" s="15">
        <v>35.310759011999998</v>
      </c>
      <c r="J11" s="325">
        <v>-120.66280720366601</v>
      </c>
      <c r="K11" s="15" t="s">
        <v>627</v>
      </c>
      <c r="M11" s="15" t="s">
        <v>30</v>
      </c>
      <c r="N11" s="15" t="s">
        <v>628</v>
      </c>
      <c r="O11" s="119">
        <v>12</v>
      </c>
      <c r="P11" s="438">
        <v>3</v>
      </c>
      <c r="Q11" s="349">
        <v>1</v>
      </c>
      <c r="R11" s="80">
        <v>2</v>
      </c>
      <c r="S11" s="469">
        <v>1</v>
      </c>
      <c r="T11" s="497" t="s">
        <v>1179</v>
      </c>
      <c r="U11" s="665"/>
      <c r="V11" s="187" t="s">
        <v>775</v>
      </c>
      <c r="W11" s="15" t="s">
        <v>33</v>
      </c>
      <c r="X11" s="15" t="s">
        <v>1184</v>
      </c>
      <c r="Y11" s="15" t="s">
        <v>1185</v>
      </c>
      <c r="Z11" s="235" t="s">
        <v>777</v>
      </c>
      <c r="AA11" s="235" t="s">
        <v>778</v>
      </c>
      <c r="AF11" s="15" t="s">
        <v>779</v>
      </c>
    </row>
    <row r="12" spans="1:35" s="15" customFormat="1">
      <c r="A12" s="187" t="s">
        <v>780</v>
      </c>
      <c r="B12" s="16">
        <v>0.59010244901912001</v>
      </c>
      <c r="C12" s="16" t="s">
        <v>28</v>
      </c>
      <c r="D12" s="17">
        <v>13.1925754547119</v>
      </c>
      <c r="E12" s="15">
        <v>0.73</v>
      </c>
      <c r="F12" s="15">
        <v>13.3</v>
      </c>
      <c r="G12" s="15">
        <v>35.310800015027901</v>
      </c>
      <c r="H12" s="15">
        <v>-120.66284154553</v>
      </c>
      <c r="J12" s="325"/>
      <c r="K12" s="15" t="s">
        <v>627</v>
      </c>
      <c r="M12" s="15" t="s">
        <v>30</v>
      </c>
      <c r="N12" s="15" t="s">
        <v>628</v>
      </c>
      <c r="O12" s="119">
        <v>12</v>
      </c>
      <c r="P12" s="438">
        <v>3</v>
      </c>
      <c r="Q12" s="350">
        <v>1</v>
      </c>
      <c r="R12" s="80">
        <v>1</v>
      </c>
      <c r="S12" s="469">
        <v>1</v>
      </c>
      <c r="T12" s="498" t="s">
        <v>1179</v>
      </c>
      <c r="U12" s="666"/>
      <c r="V12" s="187" t="s">
        <v>781</v>
      </c>
      <c r="W12" s="15" t="s">
        <v>33</v>
      </c>
      <c r="Y12" s="15" t="s">
        <v>1185</v>
      </c>
      <c r="Z12" s="235" t="s">
        <v>782</v>
      </c>
      <c r="AA12" s="235" t="s">
        <v>783</v>
      </c>
      <c r="AF12" s="15" t="s">
        <v>784</v>
      </c>
    </row>
    <row r="13" spans="1:35" s="186" customFormat="1">
      <c r="A13" s="237" t="s">
        <v>785</v>
      </c>
      <c r="B13" s="238">
        <v>8.4026724883578E-2</v>
      </c>
      <c r="C13" s="238" t="s">
        <v>28</v>
      </c>
      <c r="D13" s="239">
        <v>14.3659677505493</v>
      </c>
      <c r="E13" s="240">
        <v>0.35699999999999998</v>
      </c>
      <c r="F13" s="240">
        <v>13.9</v>
      </c>
      <c r="G13" s="240">
        <v>35.310842008362798</v>
      </c>
      <c r="H13" s="240">
        <v>-120.662645828091</v>
      </c>
      <c r="I13" s="240">
        <v>35.310784815333299</v>
      </c>
      <c r="J13" s="326">
        <v>-120.6626562175</v>
      </c>
      <c r="K13" s="240" t="s">
        <v>627</v>
      </c>
      <c r="L13" s="240"/>
      <c r="M13" s="240" t="s">
        <v>30</v>
      </c>
      <c r="N13" s="240" t="s">
        <v>628</v>
      </c>
      <c r="O13" s="241">
        <v>13</v>
      </c>
      <c r="P13" s="439">
        <v>4</v>
      </c>
      <c r="Q13" s="242">
        <v>1</v>
      </c>
      <c r="R13" s="243">
        <v>1</v>
      </c>
      <c r="S13" s="470">
        <v>1</v>
      </c>
      <c r="T13" s="497" t="s">
        <v>1179</v>
      </c>
      <c r="U13" s="588"/>
      <c r="V13" s="237" t="s">
        <v>786</v>
      </c>
      <c r="W13" s="240" t="s">
        <v>33</v>
      </c>
      <c r="X13" s="240" t="s">
        <v>787</v>
      </c>
      <c r="Y13" s="240" t="s">
        <v>1186</v>
      </c>
      <c r="Z13" s="244" t="s">
        <v>788</v>
      </c>
      <c r="AA13" s="244" t="s">
        <v>789</v>
      </c>
      <c r="AB13" s="240"/>
      <c r="AC13" s="240"/>
      <c r="AD13" s="240"/>
      <c r="AE13" s="240"/>
      <c r="AF13" s="240" t="s">
        <v>790</v>
      </c>
      <c r="AG13" s="240"/>
      <c r="AH13" s="240"/>
      <c r="AI13" s="240"/>
    </row>
    <row r="14" spans="1:35" s="178" customFormat="1">
      <c r="A14" s="196" t="s">
        <v>791</v>
      </c>
      <c r="B14" s="197">
        <v>0.32580039488486101</v>
      </c>
      <c r="C14" s="197" t="s">
        <v>28</v>
      </c>
      <c r="D14" s="199">
        <v>11.0961189270019</v>
      </c>
      <c r="E14" s="198">
        <v>0.33100000000000002</v>
      </c>
      <c r="F14" s="198">
        <v>10.5</v>
      </c>
      <c r="G14" s="198">
        <v>35.310909734140402</v>
      </c>
      <c r="H14" s="198">
        <v>-120.662649432309</v>
      </c>
      <c r="I14" s="198">
        <v>35.310875580833297</v>
      </c>
      <c r="J14" s="327">
        <v>-120.662705122666</v>
      </c>
      <c r="K14" s="198" t="s">
        <v>627</v>
      </c>
      <c r="L14" s="198"/>
      <c r="M14" s="198" t="s">
        <v>30</v>
      </c>
      <c r="N14" s="198" t="s">
        <v>628</v>
      </c>
      <c r="O14" s="200">
        <v>1</v>
      </c>
      <c r="P14" s="440">
        <v>5</v>
      </c>
      <c r="Q14" s="201">
        <v>1</v>
      </c>
      <c r="R14" s="245">
        <v>1</v>
      </c>
      <c r="S14" s="471">
        <v>1</v>
      </c>
      <c r="T14" s="497" t="s">
        <v>1179</v>
      </c>
      <c r="U14" s="589"/>
      <c r="V14" s="196" t="s">
        <v>792</v>
      </c>
      <c r="W14" s="198" t="s">
        <v>33</v>
      </c>
      <c r="X14" s="198" t="s">
        <v>34</v>
      </c>
      <c r="Y14" s="198" t="s">
        <v>1187</v>
      </c>
      <c r="Z14" s="246" t="s">
        <v>793</v>
      </c>
      <c r="AA14" s="246" t="s">
        <v>794</v>
      </c>
      <c r="AB14" s="198"/>
      <c r="AC14" s="198"/>
      <c r="AD14" s="198"/>
      <c r="AE14" s="198"/>
      <c r="AF14" s="198" t="s">
        <v>795</v>
      </c>
      <c r="AG14" s="198"/>
      <c r="AH14" s="198"/>
      <c r="AI14" s="198"/>
    </row>
    <row r="15" spans="1:35" s="175" customFormat="1">
      <c r="A15" s="395" t="s">
        <v>1188</v>
      </c>
      <c r="B15" s="395">
        <v>0.95415399999999995</v>
      </c>
      <c r="C15" s="212" t="s">
        <v>28</v>
      </c>
      <c r="D15" s="395">
        <v>20.15184</v>
      </c>
      <c r="E15" s="213">
        <v>0.98</v>
      </c>
      <c r="F15" s="213">
        <v>19.5</v>
      </c>
      <c r="G15" s="395">
        <v>35.310899999999997</v>
      </c>
      <c r="H15" s="395">
        <v>-120.663</v>
      </c>
      <c r="I15" s="213">
        <v>35.310901698999999</v>
      </c>
      <c r="J15" s="328">
        <v>-120.66269116883301</v>
      </c>
      <c r="K15" s="395" t="s">
        <v>627</v>
      </c>
      <c r="L15" s="395"/>
      <c r="M15" s="395" t="s">
        <v>30</v>
      </c>
      <c r="N15" s="395" t="s">
        <v>1189</v>
      </c>
      <c r="O15" s="215">
        <v>1</v>
      </c>
      <c r="P15" s="435">
        <v>5</v>
      </c>
      <c r="Q15" s="355">
        <v>2</v>
      </c>
      <c r="R15" s="293">
        <v>1</v>
      </c>
      <c r="S15" s="472">
        <v>1</v>
      </c>
      <c r="T15" s="499" t="s">
        <v>1179</v>
      </c>
      <c r="U15" s="590"/>
      <c r="V15" s="211" t="s">
        <v>798</v>
      </c>
      <c r="W15" s="213" t="s">
        <v>33</v>
      </c>
      <c r="X15" s="213" t="s">
        <v>34</v>
      </c>
      <c r="Y15" s="198" t="s">
        <v>1187</v>
      </c>
      <c r="Z15" s="396" t="s">
        <v>1190</v>
      </c>
      <c r="AA15" s="396" t="s">
        <v>1191</v>
      </c>
      <c r="AB15" s="395"/>
      <c r="AC15" s="395"/>
      <c r="AD15" s="395"/>
      <c r="AE15" s="395" t="s">
        <v>1192</v>
      </c>
      <c r="AF15" s="213" t="s">
        <v>801</v>
      </c>
      <c r="AG15" s="213"/>
      <c r="AH15" s="213"/>
      <c r="AI15" s="213"/>
    </row>
    <row r="16" spans="1:35" s="22" customFormat="1">
      <c r="A16" s="370" t="s">
        <v>1193</v>
      </c>
      <c r="B16" s="370">
        <v>0.17343800000000001</v>
      </c>
      <c r="C16" s="370" t="s">
        <v>28</v>
      </c>
      <c r="D16" s="370">
        <v>5.4205170000000003</v>
      </c>
      <c r="E16" s="370">
        <v>0.20100000000000001</v>
      </c>
      <c r="F16" s="370">
        <v>5.2</v>
      </c>
      <c r="G16" s="370">
        <v>35.310670000000002</v>
      </c>
      <c r="H16" s="370">
        <v>-120.663</v>
      </c>
      <c r="I16" s="22">
        <v>35.310724374499998</v>
      </c>
      <c r="J16" s="329">
        <v>-120.66285821233301</v>
      </c>
      <c r="K16" s="370" t="s">
        <v>627</v>
      </c>
      <c r="L16" s="370"/>
      <c r="M16" s="370" t="s">
        <v>30</v>
      </c>
      <c r="N16" s="370" t="s">
        <v>1189</v>
      </c>
      <c r="O16" s="370"/>
      <c r="P16" s="441">
        <v>6</v>
      </c>
      <c r="Q16" s="142">
        <v>1</v>
      </c>
      <c r="R16" s="82">
        <v>1</v>
      </c>
      <c r="S16" s="473">
        <v>1</v>
      </c>
      <c r="T16" s="500"/>
      <c r="U16" s="591"/>
      <c r="V16" s="374" t="s">
        <v>1194</v>
      </c>
      <c r="W16" s="370" t="s">
        <v>33</v>
      </c>
      <c r="X16" s="370" t="s">
        <v>1195</v>
      </c>
      <c r="Y16" s="305" t="s">
        <v>1196</v>
      </c>
      <c r="Z16" s="160" t="s">
        <v>1197</v>
      </c>
      <c r="AA16" s="160" t="s">
        <v>1198</v>
      </c>
      <c r="AB16" s="160"/>
      <c r="AC16" s="370"/>
      <c r="AD16" s="370"/>
      <c r="AE16" s="370"/>
      <c r="AF16" s="370" t="s">
        <v>1199</v>
      </c>
    </row>
    <row r="17" spans="1:33" s="22" customFormat="1">
      <c r="A17" s="305" t="s">
        <v>1200</v>
      </c>
      <c r="B17" s="305">
        <v>0.19756099999999999</v>
      </c>
      <c r="C17" s="305" t="s">
        <v>28</v>
      </c>
      <c r="D17" s="305">
        <v>1.2558549999999999</v>
      </c>
      <c r="E17" s="305">
        <v>0.157</v>
      </c>
      <c r="F17" s="305">
        <v>1.3</v>
      </c>
      <c r="G17" s="305">
        <v>35.310740000000003</v>
      </c>
      <c r="H17" s="305">
        <v>-120.663</v>
      </c>
      <c r="J17" s="329"/>
      <c r="K17" s="305" t="s">
        <v>627</v>
      </c>
      <c r="L17" s="305"/>
      <c r="M17" s="305" t="s">
        <v>30</v>
      </c>
      <c r="N17" s="305" t="s">
        <v>628</v>
      </c>
      <c r="O17" s="141"/>
      <c r="P17" s="441">
        <v>6</v>
      </c>
      <c r="Q17" s="142">
        <v>1</v>
      </c>
      <c r="R17" s="82">
        <v>2</v>
      </c>
      <c r="S17" s="473">
        <v>1</v>
      </c>
      <c r="T17" s="473"/>
      <c r="U17" s="587"/>
      <c r="V17" s="374" t="s">
        <v>1201</v>
      </c>
      <c r="W17" s="305" t="s">
        <v>33</v>
      </c>
      <c r="X17" s="305" t="s">
        <v>1202</v>
      </c>
      <c r="Y17" s="305" t="s">
        <v>1196</v>
      </c>
      <c r="Z17" s="160" t="s">
        <v>1203</v>
      </c>
      <c r="AA17" s="160" t="s">
        <v>1204</v>
      </c>
      <c r="AB17" s="305"/>
      <c r="AC17" s="305"/>
      <c r="AD17" s="305"/>
      <c r="AE17" s="305" t="s">
        <v>1205</v>
      </c>
      <c r="AF17" s="305"/>
      <c r="AG17" s="305"/>
    </row>
    <row r="18" spans="1:33" s="22" customFormat="1">
      <c r="A18" s="305" t="s">
        <v>1206</v>
      </c>
      <c r="B18" s="305">
        <v>0.284856</v>
      </c>
      <c r="C18" s="305" t="s">
        <v>28</v>
      </c>
      <c r="D18" s="305">
        <v>1.30881</v>
      </c>
      <c r="E18" s="305">
        <v>0.186</v>
      </c>
      <c r="F18" s="305">
        <v>1.3</v>
      </c>
      <c r="G18" s="305">
        <v>35.310740000000003</v>
      </c>
      <c r="H18" s="305">
        <v>-120.663</v>
      </c>
      <c r="J18" s="329"/>
      <c r="K18" s="305" t="s">
        <v>627</v>
      </c>
      <c r="L18" s="305"/>
      <c r="M18" s="305" t="s">
        <v>30</v>
      </c>
      <c r="N18" s="305" t="s">
        <v>628</v>
      </c>
      <c r="O18" s="141"/>
      <c r="P18" s="441">
        <v>6</v>
      </c>
      <c r="Q18" s="142">
        <v>1</v>
      </c>
      <c r="R18" s="82">
        <v>3</v>
      </c>
      <c r="S18" s="473">
        <v>1</v>
      </c>
      <c r="T18" s="473"/>
      <c r="U18" s="587"/>
      <c r="V18" s="374" t="s">
        <v>1207</v>
      </c>
      <c r="W18" s="305" t="s">
        <v>33</v>
      </c>
      <c r="X18" s="305" t="s">
        <v>1202</v>
      </c>
      <c r="Y18" s="305" t="s">
        <v>1196</v>
      </c>
      <c r="Z18" s="160" t="s">
        <v>1208</v>
      </c>
      <c r="AA18" s="305" t="s">
        <v>1209</v>
      </c>
      <c r="AB18" s="305"/>
      <c r="AC18" s="305"/>
      <c r="AD18" s="305"/>
      <c r="AE18" s="305" t="s">
        <v>1210</v>
      </c>
      <c r="AF18" s="305"/>
      <c r="AG18" s="305"/>
    </row>
    <row r="19" spans="1:33" s="22" customFormat="1">
      <c r="A19" s="305" t="s">
        <v>1211</v>
      </c>
      <c r="B19" s="305">
        <v>0.114286</v>
      </c>
      <c r="C19" s="305" t="s">
        <v>28</v>
      </c>
      <c r="D19" s="305">
        <v>2.0032169999999998</v>
      </c>
      <c r="E19" s="305">
        <v>0.11600000000000001</v>
      </c>
      <c r="F19" s="305">
        <v>1.3</v>
      </c>
      <c r="G19" s="305">
        <v>35.310740000000003</v>
      </c>
      <c r="H19" s="305">
        <v>-120.663</v>
      </c>
      <c r="J19" s="329"/>
      <c r="K19" s="305" t="s">
        <v>627</v>
      </c>
      <c r="L19" s="305"/>
      <c r="M19" s="305" t="s">
        <v>30</v>
      </c>
      <c r="N19" s="305" t="s">
        <v>628</v>
      </c>
      <c r="O19" s="141"/>
      <c r="P19" s="441">
        <v>6</v>
      </c>
      <c r="Q19" s="142">
        <v>1</v>
      </c>
      <c r="R19" s="82">
        <v>4</v>
      </c>
      <c r="S19" s="473">
        <v>1</v>
      </c>
      <c r="T19" s="473"/>
      <c r="U19" s="587"/>
      <c r="V19" s="374" t="s">
        <v>1212</v>
      </c>
      <c r="W19" s="305" t="s">
        <v>33</v>
      </c>
      <c r="X19" s="305" t="s">
        <v>1202</v>
      </c>
      <c r="Y19" s="305" t="s">
        <v>1196</v>
      </c>
      <c r="Z19" s="160" t="s">
        <v>1213</v>
      </c>
      <c r="AA19" s="305" t="s">
        <v>1214</v>
      </c>
      <c r="AB19" s="305"/>
      <c r="AC19" s="305"/>
      <c r="AD19" s="305"/>
      <c r="AE19" s="305" t="s">
        <v>1215</v>
      </c>
      <c r="AF19" s="305"/>
      <c r="AG19" s="305"/>
    </row>
    <row r="20" spans="1:33" s="295" customFormat="1">
      <c r="A20" s="294" t="s">
        <v>1216</v>
      </c>
      <c r="B20" s="294">
        <v>0.17032</v>
      </c>
      <c r="C20" s="294" t="s">
        <v>28</v>
      </c>
      <c r="D20" s="294">
        <v>1.2595419999999999</v>
      </c>
      <c r="E20" s="294">
        <v>0.14649999999999999</v>
      </c>
      <c r="F20" s="294">
        <v>1.3</v>
      </c>
      <c r="G20" s="294">
        <v>35.31073</v>
      </c>
      <c r="H20" s="294">
        <v>-120.663</v>
      </c>
      <c r="J20" s="330"/>
      <c r="K20" s="294" t="s">
        <v>627</v>
      </c>
      <c r="L20" s="294"/>
      <c r="M20" s="294" t="s">
        <v>30</v>
      </c>
      <c r="N20" s="294" t="s">
        <v>628</v>
      </c>
      <c r="O20" s="296"/>
      <c r="P20" s="442">
        <v>6</v>
      </c>
      <c r="Q20" s="297">
        <v>1</v>
      </c>
      <c r="R20" s="298">
        <v>5</v>
      </c>
      <c r="S20" s="474">
        <v>1</v>
      </c>
      <c r="T20" s="474"/>
      <c r="U20" s="590"/>
      <c r="V20" s="375" t="s">
        <v>1217</v>
      </c>
      <c r="W20" s="294" t="s">
        <v>33</v>
      </c>
      <c r="X20" s="294" t="s">
        <v>1202</v>
      </c>
      <c r="Y20" s="294" t="s">
        <v>1196</v>
      </c>
      <c r="Z20" s="306" t="s">
        <v>1218</v>
      </c>
      <c r="AA20" s="294" t="s">
        <v>1219</v>
      </c>
      <c r="AB20" s="294"/>
      <c r="AC20" s="294"/>
      <c r="AD20" s="294"/>
      <c r="AE20" s="294" t="s">
        <v>1220</v>
      </c>
      <c r="AF20" s="294"/>
      <c r="AG20" s="294"/>
    </row>
    <row r="21" spans="1:33" s="191" customFormat="1">
      <c r="A21" s="299" t="s">
        <v>1221</v>
      </c>
      <c r="B21" s="299">
        <v>7.5853000000000004E-2</v>
      </c>
      <c r="C21" s="299" t="s">
        <v>28</v>
      </c>
      <c r="D21" s="299">
        <v>9.5770389999999992</v>
      </c>
      <c r="E21" s="299">
        <v>6.2E-2</v>
      </c>
      <c r="F21" s="299">
        <v>8.1999999999999993</v>
      </c>
      <c r="G21" s="299">
        <v>35.310890000000001</v>
      </c>
      <c r="H21" s="299">
        <v>-120.663</v>
      </c>
      <c r="I21" s="191">
        <v>35.310847838666596</v>
      </c>
      <c r="J21" s="331">
        <v>-120.66289277533301</v>
      </c>
      <c r="K21" s="299" t="s">
        <v>627</v>
      </c>
      <c r="L21" s="299"/>
      <c r="M21" s="299" t="s">
        <v>30</v>
      </c>
      <c r="N21" s="299" t="s">
        <v>628</v>
      </c>
      <c r="O21" s="193"/>
      <c r="P21" s="443">
        <v>7</v>
      </c>
      <c r="Q21" s="194">
        <v>1</v>
      </c>
      <c r="R21" s="300">
        <v>1</v>
      </c>
      <c r="S21" s="475">
        <v>1</v>
      </c>
      <c r="T21" s="475"/>
      <c r="U21" s="590"/>
      <c r="V21" s="376" t="s">
        <v>1222</v>
      </c>
      <c r="W21" s="299" t="s">
        <v>33</v>
      </c>
      <c r="X21" s="299" t="s">
        <v>1223</v>
      </c>
      <c r="Y21" s="299" t="s">
        <v>1224</v>
      </c>
      <c r="Z21" s="195" t="s">
        <v>1225</v>
      </c>
      <c r="AA21" s="195" t="s">
        <v>1226</v>
      </c>
      <c r="AB21" s="299"/>
      <c r="AC21" s="299"/>
      <c r="AD21" s="299"/>
      <c r="AE21" s="299" t="s">
        <v>1227</v>
      </c>
      <c r="AF21" s="299"/>
      <c r="AG21" s="299"/>
    </row>
    <row r="22" spans="1:33" s="11" customFormat="1">
      <c r="A22" s="304" t="s">
        <v>1228</v>
      </c>
      <c r="B22" s="304">
        <v>0.106418</v>
      </c>
      <c r="C22" s="304" t="s">
        <v>28</v>
      </c>
      <c r="D22" s="304">
        <v>8.8925149999999995</v>
      </c>
      <c r="E22" s="304">
        <v>0.114</v>
      </c>
      <c r="F22" s="304">
        <v>8.1999999999999993</v>
      </c>
      <c r="G22" s="304">
        <v>35.310899999999997</v>
      </c>
      <c r="H22" s="304">
        <v>-120.663</v>
      </c>
      <c r="I22" s="11">
        <v>35.310877452500002</v>
      </c>
      <c r="J22" s="322">
        <v>-120.66286504866601</v>
      </c>
      <c r="K22" s="304" t="s">
        <v>627</v>
      </c>
      <c r="L22" s="304"/>
      <c r="M22" s="304" t="s">
        <v>30</v>
      </c>
      <c r="N22" s="304" t="s">
        <v>628</v>
      </c>
      <c r="O22" s="129"/>
      <c r="P22" s="434">
        <v>1</v>
      </c>
      <c r="Q22" s="112">
        <v>2</v>
      </c>
      <c r="R22" s="79">
        <v>1</v>
      </c>
      <c r="S22" s="466">
        <v>1</v>
      </c>
      <c r="T22" s="466"/>
      <c r="U22" s="587"/>
      <c r="V22" s="377" t="s">
        <v>1229</v>
      </c>
      <c r="W22" s="304" t="s">
        <v>33</v>
      </c>
      <c r="X22" s="304" t="s">
        <v>1180</v>
      </c>
      <c r="Y22" s="11" t="s">
        <v>1181</v>
      </c>
      <c r="Z22" s="304" t="s">
        <v>1230</v>
      </c>
      <c r="AA22" s="304" t="s">
        <v>1231</v>
      </c>
      <c r="AB22" s="304"/>
      <c r="AC22" s="304"/>
      <c r="AD22" s="304"/>
      <c r="AE22" s="304" t="s">
        <v>1232</v>
      </c>
      <c r="AF22" s="304"/>
      <c r="AG22" s="304"/>
    </row>
    <row r="23" spans="1:33" s="11" customFormat="1">
      <c r="A23" s="304" t="s">
        <v>1233</v>
      </c>
      <c r="B23" s="304">
        <v>8.7108000000000005E-2</v>
      </c>
      <c r="C23" s="304" t="s">
        <v>28</v>
      </c>
      <c r="D23" s="304">
        <v>1.2775989999999999</v>
      </c>
      <c r="E23" s="304">
        <v>9.5500000000000002E-2</v>
      </c>
      <c r="F23" s="304">
        <v>1.3</v>
      </c>
      <c r="G23" s="304">
        <v>35.310899999999997</v>
      </c>
      <c r="H23" s="304">
        <v>-120.663</v>
      </c>
      <c r="J23" s="322"/>
      <c r="K23" s="304" t="s">
        <v>627</v>
      </c>
      <c r="L23" s="304"/>
      <c r="M23" s="304" t="s">
        <v>30</v>
      </c>
      <c r="N23" s="304" t="s">
        <v>628</v>
      </c>
      <c r="O23" s="129"/>
      <c r="P23" s="434">
        <v>1</v>
      </c>
      <c r="Q23" s="112">
        <v>2</v>
      </c>
      <c r="R23" s="79">
        <v>2</v>
      </c>
      <c r="S23" s="466">
        <v>1</v>
      </c>
      <c r="T23" s="466"/>
      <c r="U23" s="587"/>
      <c r="V23" s="377" t="s">
        <v>872</v>
      </c>
      <c r="W23" s="304" t="s">
        <v>33</v>
      </c>
      <c r="X23" s="304" t="s">
        <v>1180</v>
      </c>
      <c r="Y23" s="11" t="s">
        <v>1181</v>
      </c>
      <c r="Z23" s="304" t="s">
        <v>1234</v>
      </c>
      <c r="AA23" s="304" t="s">
        <v>1235</v>
      </c>
      <c r="AB23" s="304"/>
      <c r="AC23" s="304"/>
      <c r="AD23" s="304"/>
      <c r="AE23" s="304" t="s">
        <v>1236</v>
      </c>
      <c r="AF23" s="304"/>
      <c r="AG23" s="304"/>
    </row>
    <row r="24" spans="1:33" s="213" customFormat="1">
      <c r="A24" s="301" t="s">
        <v>1237</v>
      </c>
      <c r="B24" s="301">
        <v>5.2253000000000001E-2</v>
      </c>
      <c r="C24" s="301" t="s">
        <v>28</v>
      </c>
      <c r="D24" s="301">
        <v>1.289766</v>
      </c>
      <c r="E24" s="301">
        <v>5.5E-2</v>
      </c>
      <c r="F24" s="301">
        <v>1.3</v>
      </c>
      <c r="G24" s="301">
        <v>35.31091</v>
      </c>
      <c r="H24" s="301">
        <v>-120.663</v>
      </c>
      <c r="J24" s="328"/>
      <c r="K24" s="301" t="s">
        <v>627</v>
      </c>
      <c r="L24" s="301"/>
      <c r="M24" s="301" t="s">
        <v>30</v>
      </c>
      <c r="N24" s="301" t="s">
        <v>628</v>
      </c>
      <c r="O24" s="215"/>
      <c r="P24" s="435">
        <v>1</v>
      </c>
      <c r="Q24" s="216">
        <v>2</v>
      </c>
      <c r="R24" s="293">
        <v>3</v>
      </c>
      <c r="S24" s="472">
        <v>1</v>
      </c>
      <c r="T24" s="472"/>
      <c r="U24" s="590"/>
      <c r="V24" s="378" t="s">
        <v>877</v>
      </c>
      <c r="W24" s="301" t="s">
        <v>33</v>
      </c>
      <c r="X24" s="304" t="s">
        <v>1180</v>
      </c>
      <c r="Y24" s="11" t="s">
        <v>1181</v>
      </c>
      <c r="Z24" s="301" t="s">
        <v>1238</v>
      </c>
      <c r="AA24" s="301" t="s">
        <v>1239</v>
      </c>
      <c r="AB24" s="301"/>
      <c r="AC24" s="301"/>
      <c r="AD24" s="301"/>
      <c r="AE24" s="301" t="s">
        <v>1240</v>
      </c>
      <c r="AF24" s="301"/>
      <c r="AG24" s="301"/>
    </row>
    <row r="25" spans="1:33" s="263" customFormat="1">
      <c r="A25" s="302" t="s">
        <v>1241</v>
      </c>
      <c r="B25" s="302">
        <v>9.8658999999999997E-2</v>
      </c>
      <c r="C25" s="302" t="s">
        <v>28</v>
      </c>
      <c r="D25" s="302">
        <v>4.456283</v>
      </c>
      <c r="E25" s="302">
        <v>0.10050000000000001</v>
      </c>
      <c r="F25" s="302">
        <v>4.0999999999999996</v>
      </c>
      <c r="G25" s="302">
        <v>35.310920000000003</v>
      </c>
      <c r="H25" s="302">
        <v>-120.663</v>
      </c>
      <c r="I25" s="263">
        <v>35.310911343833297</v>
      </c>
      <c r="J25" s="332">
        <v>-120.662843397166</v>
      </c>
      <c r="K25" s="302" t="s">
        <v>627</v>
      </c>
      <c r="L25" s="302"/>
      <c r="M25" s="302" t="s">
        <v>30</v>
      </c>
      <c r="N25" s="302" t="s">
        <v>628</v>
      </c>
      <c r="O25" s="279"/>
      <c r="P25" s="444">
        <v>8</v>
      </c>
      <c r="Q25" s="280">
        <v>1</v>
      </c>
      <c r="R25" s="266">
        <v>1</v>
      </c>
      <c r="S25" s="476">
        <v>1</v>
      </c>
      <c r="T25" s="476"/>
      <c r="U25" s="590"/>
      <c r="V25" s="379" t="s">
        <v>1242</v>
      </c>
      <c r="W25" s="302" t="s">
        <v>33</v>
      </c>
      <c r="X25" s="302" t="s">
        <v>1243</v>
      </c>
      <c r="Y25" s="302" t="s">
        <v>1244</v>
      </c>
      <c r="Z25" s="281" t="s">
        <v>1245</v>
      </c>
      <c r="AA25" s="281" t="s">
        <v>1246</v>
      </c>
      <c r="AB25" s="302"/>
      <c r="AC25" s="302"/>
      <c r="AD25" s="302"/>
      <c r="AE25" s="302" t="s">
        <v>1247</v>
      </c>
      <c r="AF25" s="302"/>
      <c r="AG25" s="302"/>
    </row>
    <row r="26" spans="1:33" s="263" customFormat="1">
      <c r="A26" s="302" t="s">
        <v>1248</v>
      </c>
      <c r="B26" s="302">
        <v>3.2521000000000001E-2</v>
      </c>
      <c r="C26" s="302" t="s">
        <v>28</v>
      </c>
      <c r="D26" s="302">
        <v>4.1664709999999996</v>
      </c>
      <c r="E26" s="302">
        <v>9.5000000000000001E-2</v>
      </c>
      <c r="F26" s="302">
        <v>4.2</v>
      </c>
      <c r="G26" s="302">
        <v>35.310920000000003</v>
      </c>
      <c r="H26" s="302">
        <v>-120.663</v>
      </c>
      <c r="I26" s="263">
        <v>35.310882687333297</v>
      </c>
      <c r="J26" s="332">
        <v>-120.66280590633301</v>
      </c>
      <c r="K26" s="302" t="s">
        <v>627</v>
      </c>
      <c r="L26" s="302"/>
      <c r="M26" s="302" t="s">
        <v>30</v>
      </c>
      <c r="N26" s="302" t="s">
        <v>628</v>
      </c>
      <c r="O26" s="279"/>
      <c r="P26" s="444">
        <v>8</v>
      </c>
      <c r="Q26" s="280">
        <v>2</v>
      </c>
      <c r="R26" s="266">
        <v>1</v>
      </c>
      <c r="S26" s="476">
        <v>1</v>
      </c>
      <c r="T26" s="476"/>
      <c r="U26" s="590"/>
      <c r="V26" s="379" t="s">
        <v>1249</v>
      </c>
      <c r="W26" s="302" t="s">
        <v>33</v>
      </c>
      <c r="X26" s="302" t="s">
        <v>1243</v>
      </c>
      <c r="Y26" s="302" t="s">
        <v>1244</v>
      </c>
      <c r="Z26" s="281" t="s">
        <v>1250</v>
      </c>
      <c r="AA26" s="281" t="s">
        <v>1251</v>
      </c>
      <c r="AB26" s="302"/>
      <c r="AC26" s="302"/>
      <c r="AD26" s="302"/>
      <c r="AE26" s="302" t="s">
        <v>1252</v>
      </c>
      <c r="AF26" s="302"/>
      <c r="AG26" s="302"/>
    </row>
    <row r="27" spans="1:33" s="15" customFormat="1">
      <c r="A27" s="303" t="s">
        <v>1253</v>
      </c>
      <c r="B27" s="303">
        <v>0.18351600000000001</v>
      </c>
      <c r="C27" s="303" t="s">
        <v>28</v>
      </c>
      <c r="D27" s="303">
        <v>12.53917</v>
      </c>
      <c r="E27" s="303">
        <v>0.19500000000000001</v>
      </c>
      <c r="F27" s="303">
        <v>11.3</v>
      </c>
      <c r="G27" s="303">
        <v>35.310899999999997</v>
      </c>
      <c r="H27" s="303">
        <v>-120.663</v>
      </c>
      <c r="I27" s="15">
        <v>35.310863974333301</v>
      </c>
      <c r="J27" s="325">
        <v>-120.662805228666</v>
      </c>
      <c r="K27" s="303" t="s">
        <v>627</v>
      </c>
      <c r="L27" s="303"/>
      <c r="M27" s="303" t="s">
        <v>30</v>
      </c>
      <c r="N27" s="303" t="s">
        <v>628</v>
      </c>
      <c r="O27" s="119"/>
      <c r="P27" s="438">
        <v>9</v>
      </c>
      <c r="Q27" s="118">
        <v>1</v>
      </c>
      <c r="R27" s="80">
        <v>1</v>
      </c>
      <c r="S27" s="469">
        <v>1</v>
      </c>
      <c r="T27" s="469"/>
      <c r="U27" s="587"/>
      <c r="V27" s="380" t="s">
        <v>1254</v>
      </c>
      <c r="W27" s="303" t="s">
        <v>33</v>
      </c>
      <c r="X27" s="303" t="s">
        <v>1255</v>
      </c>
      <c r="Y27" s="303" t="s">
        <v>1256</v>
      </c>
      <c r="Z27" s="45" t="s">
        <v>1257</v>
      </c>
      <c r="AA27" s="45" t="s">
        <v>1258</v>
      </c>
      <c r="AB27" s="303"/>
      <c r="AC27" s="303"/>
      <c r="AD27" s="303"/>
      <c r="AE27" s="303" t="s">
        <v>1259</v>
      </c>
      <c r="AF27" s="303"/>
      <c r="AG27" s="303"/>
    </row>
    <row r="28" spans="1:33" s="191" customFormat="1">
      <c r="A28" s="299" t="s">
        <v>1260</v>
      </c>
      <c r="B28" s="299">
        <v>7.936E-2</v>
      </c>
      <c r="C28" s="299" t="s">
        <v>28</v>
      </c>
      <c r="D28" s="299">
        <v>1.255023</v>
      </c>
      <c r="E28" s="299">
        <v>8.4000000000000005E-2</v>
      </c>
      <c r="F28" s="299">
        <v>1.3</v>
      </c>
      <c r="G28" s="299">
        <v>35.31091</v>
      </c>
      <c r="H28" s="299">
        <v>-120.663</v>
      </c>
      <c r="J28" s="331"/>
      <c r="K28" s="299" t="s">
        <v>627</v>
      </c>
      <c r="L28" s="299"/>
      <c r="M28" s="299" t="s">
        <v>30</v>
      </c>
      <c r="N28" s="299" t="s">
        <v>628</v>
      </c>
      <c r="O28" s="193"/>
      <c r="P28" s="443">
        <v>9</v>
      </c>
      <c r="Q28" s="194">
        <v>1</v>
      </c>
      <c r="R28" s="300">
        <v>2</v>
      </c>
      <c r="S28" s="475">
        <v>1</v>
      </c>
      <c r="T28" s="475"/>
      <c r="U28" s="590"/>
      <c r="V28" s="376" t="s">
        <v>1261</v>
      </c>
      <c r="W28" s="299" t="s">
        <v>33</v>
      </c>
      <c r="X28" s="303" t="s">
        <v>1255</v>
      </c>
      <c r="Y28" s="303" t="s">
        <v>1256</v>
      </c>
      <c r="Z28" s="195" t="s">
        <v>1262</v>
      </c>
      <c r="AA28" s="195" t="s">
        <v>1263</v>
      </c>
      <c r="AB28" s="299"/>
      <c r="AC28" s="299"/>
      <c r="AD28" s="299"/>
      <c r="AE28" s="299" t="s">
        <v>1264</v>
      </c>
      <c r="AF28" s="299"/>
      <c r="AG28" s="299"/>
    </row>
    <row r="29" spans="1:33" s="310" customFormat="1" ht="43.5">
      <c r="A29" s="352" t="s">
        <v>1265</v>
      </c>
      <c r="B29" s="352">
        <v>0.17761199999999999</v>
      </c>
      <c r="C29" s="352" t="s">
        <v>28</v>
      </c>
      <c r="D29" s="352">
        <v>8.4869979999999998</v>
      </c>
      <c r="E29" s="352">
        <v>0.14899999999999999</v>
      </c>
      <c r="F29" s="352">
        <v>8.3000000000000007</v>
      </c>
      <c r="G29" s="352">
        <v>35.310879999999997</v>
      </c>
      <c r="H29" s="352">
        <v>-120.663</v>
      </c>
      <c r="I29" s="310">
        <v>35.310831281833302</v>
      </c>
      <c r="J29" s="341">
        <v>-120.662780629</v>
      </c>
      <c r="K29" s="352" t="s">
        <v>627</v>
      </c>
      <c r="L29" s="352"/>
      <c r="M29" s="352" t="s">
        <v>30</v>
      </c>
      <c r="N29" s="352" t="s">
        <v>628</v>
      </c>
      <c r="O29" s="313"/>
      <c r="P29" s="445">
        <v>2</v>
      </c>
      <c r="Q29" s="314">
        <v>3</v>
      </c>
      <c r="R29" s="353">
        <v>1</v>
      </c>
      <c r="S29" s="477">
        <v>1</v>
      </c>
      <c r="T29" s="477"/>
      <c r="U29" s="590"/>
      <c r="V29" s="381" t="s">
        <v>1266</v>
      </c>
      <c r="W29" s="352" t="s">
        <v>33</v>
      </c>
      <c r="X29" s="352" t="s">
        <v>1182</v>
      </c>
      <c r="Y29" s="352" t="s">
        <v>1183</v>
      </c>
      <c r="Z29" s="352" t="s">
        <v>1267</v>
      </c>
      <c r="AA29" s="352" t="s">
        <v>1268</v>
      </c>
      <c r="AB29" s="352"/>
      <c r="AC29" s="352"/>
      <c r="AD29" s="352"/>
      <c r="AE29" s="352" t="s">
        <v>1269</v>
      </c>
      <c r="AF29" s="352"/>
      <c r="AG29" s="352"/>
    </row>
    <row r="30" spans="1:33" s="191" customFormat="1">
      <c r="A30" s="299" t="s">
        <v>1270</v>
      </c>
      <c r="B30" s="299">
        <v>8.6301000000000003E-2</v>
      </c>
      <c r="C30" s="299" t="s">
        <v>28</v>
      </c>
      <c r="D30" s="299">
        <v>6.6151340000000003</v>
      </c>
      <c r="E30" s="299">
        <v>0.104</v>
      </c>
      <c r="F30" s="299">
        <v>6.2</v>
      </c>
      <c r="G30" s="299">
        <v>35.310890000000001</v>
      </c>
      <c r="H30" s="299">
        <v>-120.663</v>
      </c>
      <c r="I30" s="191">
        <v>35.310860167499897</v>
      </c>
      <c r="J30" s="331">
        <v>-120.662708725833</v>
      </c>
      <c r="K30" s="299" t="s">
        <v>627</v>
      </c>
      <c r="L30" s="299"/>
      <c r="M30" s="299" t="s">
        <v>30</v>
      </c>
      <c r="N30" s="299" t="s">
        <v>628</v>
      </c>
      <c r="O30" s="193"/>
      <c r="P30" s="443">
        <v>10</v>
      </c>
      <c r="Q30" s="194">
        <v>1</v>
      </c>
      <c r="R30" s="300">
        <v>1</v>
      </c>
      <c r="S30" s="475">
        <v>1</v>
      </c>
      <c r="T30" s="475"/>
      <c r="U30" s="590"/>
      <c r="V30" s="376" t="s">
        <v>1271</v>
      </c>
      <c r="W30" s="299" t="s">
        <v>33</v>
      </c>
      <c r="X30" s="299" t="s">
        <v>1272</v>
      </c>
      <c r="Y30" s="299" t="s">
        <v>1273</v>
      </c>
      <c r="Z30" s="195" t="s">
        <v>1274</v>
      </c>
      <c r="AA30" s="195" t="s">
        <v>1275</v>
      </c>
      <c r="AB30" s="299"/>
      <c r="AC30" s="299"/>
      <c r="AD30" s="299"/>
      <c r="AE30" s="299" t="s">
        <v>1276</v>
      </c>
      <c r="AF30" s="299"/>
      <c r="AG30" s="299"/>
    </row>
    <row r="31" spans="1:33" s="213" customFormat="1">
      <c r="A31" s="301" t="s">
        <v>1277</v>
      </c>
      <c r="B31" s="301">
        <v>0.31379400000000002</v>
      </c>
      <c r="C31" s="301" t="s">
        <v>28</v>
      </c>
      <c r="D31" s="301">
        <v>10.370570000000001</v>
      </c>
      <c r="E31" s="301">
        <v>0.33700000000000002</v>
      </c>
      <c r="F31" s="301">
        <v>10.5</v>
      </c>
      <c r="G31" s="301">
        <v>35.310920000000003</v>
      </c>
      <c r="H31" s="301">
        <v>-120.663</v>
      </c>
      <c r="I31" s="213">
        <v>35.310886460666602</v>
      </c>
      <c r="J31" s="328">
        <v>-120.66272878883299</v>
      </c>
      <c r="K31" s="301" t="s">
        <v>627</v>
      </c>
      <c r="L31" s="301"/>
      <c r="M31" s="301" t="s">
        <v>30</v>
      </c>
      <c r="N31" s="301" t="s">
        <v>628</v>
      </c>
      <c r="O31" s="215"/>
      <c r="P31" s="435">
        <v>5</v>
      </c>
      <c r="Q31" s="216">
        <v>3</v>
      </c>
      <c r="R31" s="293">
        <v>1</v>
      </c>
      <c r="S31" s="472">
        <v>1</v>
      </c>
      <c r="T31" s="472"/>
      <c r="U31" s="590"/>
      <c r="V31" s="378" t="s">
        <v>1278</v>
      </c>
      <c r="W31" s="301" t="s">
        <v>33</v>
      </c>
      <c r="X31" s="301" t="s">
        <v>34</v>
      </c>
      <c r="Y31" s="198" t="s">
        <v>1187</v>
      </c>
      <c r="Z31" s="301" t="s">
        <v>1279</v>
      </c>
      <c r="AA31" s="301" t="s">
        <v>1280</v>
      </c>
      <c r="AB31" s="301"/>
      <c r="AC31" s="301"/>
      <c r="AD31" s="301"/>
      <c r="AE31" s="301" t="s">
        <v>1281</v>
      </c>
      <c r="AF31" s="301"/>
      <c r="AG31" s="301"/>
    </row>
    <row r="32" spans="1:33" s="213" customFormat="1">
      <c r="A32" s="301" t="s">
        <v>1282</v>
      </c>
      <c r="B32" s="301">
        <v>0.26653300000000002</v>
      </c>
      <c r="C32" s="301" t="s">
        <v>28</v>
      </c>
      <c r="D32" s="301">
        <v>10.902290000000001</v>
      </c>
      <c r="E32" s="301">
        <v>0.31900000000000001</v>
      </c>
      <c r="F32" s="301">
        <v>9.6</v>
      </c>
      <c r="G32" s="301">
        <v>35.310920000000003</v>
      </c>
      <c r="H32" s="301">
        <v>-120.663</v>
      </c>
      <c r="I32" s="213">
        <v>35.310906306833303</v>
      </c>
      <c r="J32" s="328">
        <v>-120.662729606333</v>
      </c>
      <c r="K32" s="301" t="s">
        <v>627</v>
      </c>
      <c r="L32" s="301"/>
      <c r="M32" s="301" t="s">
        <v>30</v>
      </c>
      <c r="N32" s="301" t="s">
        <v>628</v>
      </c>
      <c r="O32" s="215"/>
      <c r="P32" s="435">
        <v>5</v>
      </c>
      <c r="Q32" s="216">
        <v>4</v>
      </c>
      <c r="R32" s="293">
        <v>1</v>
      </c>
      <c r="S32" s="472">
        <v>1</v>
      </c>
      <c r="T32" s="472"/>
      <c r="U32" s="590"/>
      <c r="V32" s="378" t="s">
        <v>1283</v>
      </c>
      <c r="W32" s="301" t="s">
        <v>33</v>
      </c>
      <c r="X32" s="301" t="s">
        <v>34</v>
      </c>
      <c r="Y32" s="204" t="s">
        <v>1187</v>
      </c>
      <c r="Z32" s="301" t="s">
        <v>1284</v>
      </c>
      <c r="AA32" s="301" t="s">
        <v>1285</v>
      </c>
      <c r="AB32" s="301"/>
      <c r="AC32" s="301"/>
      <c r="AD32" s="301"/>
      <c r="AE32" s="301" t="s">
        <v>1286</v>
      </c>
      <c r="AF32" s="301"/>
      <c r="AG32" s="301"/>
    </row>
    <row r="33" spans="1:35" s="11" customFormat="1">
      <c r="A33" s="304" t="s">
        <v>1287</v>
      </c>
      <c r="B33" s="304">
        <v>0.52017199999999997</v>
      </c>
      <c r="C33" s="304" t="s">
        <v>28</v>
      </c>
      <c r="D33" s="304">
        <v>8.0154589999999999</v>
      </c>
      <c r="E33" s="304">
        <v>0.27400000000000002</v>
      </c>
      <c r="F33" s="304">
        <v>7.7</v>
      </c>
      <c r="G33" s="304">
        <v>35.310949999999998</v>
      </c>
      <c r="H33" s="304">
        <v>-120.663</v>
      </c>
      <c r="I33" s="11">
        <v>35.310918650333299</v>
      </c>
      <c r="J33" s="322">
        <v>-120.66274785149901</v>
      </c>
      <c r="K33" s="304" t="s">
        <v>627</v>
      </c>
      <c r="L33" s="304"/>
      <c r="M33" s="304" t="s">
        <v>30</v>
      </c>
      <c r="N33" s="304" t="s">
        <v>628</v>
      </c>
      <c r="O33" s="129"/>
      <c r="P33" s="434">
        <v>5</v>
      </c>
      <c r="Q33" s="112">
        <v>5</v>
      </c>
      <c r="R33" s="79">
        <v>1</v>
      </c>
      <c r="S33" s="466">
        <v>1</v>
      </c>
      <c r="T33" s="466"/>
      <c r="U33" s="587"/>
      <c r="V33" s="377" t="s">
        <v>1288</v>
      </c>
      <c r="W33" s="304" t="s">
        <v>33</v>
      </c>
      <c r="X33" s="304" t="s">
        <v>34</v>
      </c>
      <c r="Y33" s="204" t="s">
        <v>1187</v>
      </c>
      <c r="Z33" s="304" t="s">
        <v>1289</v>
      </c>
      <c r="AA33" s="304" t="s">
        <v>1290</v>
      </c>
      <c r="AB33" s="304"/>
      <c r="AC33" s="304"/>
      <c r="AD33" s="304"/>
      <c r="AE33" s="304" t="s">
        <v>1291</v>
      </c>
      <c r="AF33" s="304"/>
      <c r="AG33" s="304"/>
    </row>
    <row r="34" spans="1:35" s="411" customFormat="1" ht="29.1">
      <c r="A34" s="410"/>
      <c r="B34" s="410"/>
      <c r="C34" s="410"/>
      <c r="D34" s="410"/>
      <c r="E34" s="410"/>
      <c r="F34" s="410"/>
      <c r="G34" s="410"/>
      <c r="H34" s="410"/>
      <c r="I34" s="411">
        <v>35.310858160333296</v>
      </c>
      <c r="J34" s="425">
        <v>-120.66292000716599</v>
      </c>
      <c r="K34" s="410"/>
      <c r="L34" s="410"/>
      <c r="M34" s="410"/>
      <c r="N34" s="410"/>
      <c r="O34" s="412"/>
      <c r="P34" s="415">
        <v>11</v>
      </c>
      <c r="Q34" s="413">
        <v>1</v>
      </c>
      <c r="R34" s="463">
        <v>1</v>
      </c>
      <c r="S34" s="478">
        <v>1</v>
      </c>
      <c r="T34" s="478"/>
      <c r="U34" s="592" t="s">
        <v>1292</v>
      </c>
      <c r="V34" s="570"/>
      <c r="W34" s="410"/>
      <c r="X34" s="410" t="s">
        <v>1293</v>
      </c>
      <c r="Y34" s="410" t="s">
        <v>1294</v>
      </c>
      <c r="Z34" s="414" t="s">
        <v>1295</v>
      </c>
      <c r="AA34" s="414"/>
      <c r="AB34" s="410"/>
      <c r="AC34" s="410"/>
      <c r="AD34" s="410"/>
      <c r="AE34" s="410"/>
      <c r="AF34" s="410"/>
      <c r="AG34" s="410"/>
    </row>
    <row r="35" spans="1:35">
      <c r="A35" s="11" t="s">
        <v>825</v>
      </c>
      <c r="B35" s="12">
        <v>0.50263159058756701</v>
      </c>
      <c r="C35" s="11" t="s">
        <v>28</v>
      </c>
      <c r="D35" s="13">
        <v>16.0622043609619</v>
      </c>
      <c r="E35" s="11">
        <v>0.54</v>
      </c>
      <c r="F35" s="11">
        <v>15</v>
      </c>
      <c r="G35" s="11">
        <v>35.310549342423002</v>
      </c>
      <c r="H35" s="11">
        <v>-120.662418321736</v>
      </c>
      <c r="I35" s="11">
        <v>35.310524559499903</v>
      </c>
      <c r="J35" s="322">
        <v>-120.66243586749999</v>
      </c>
      <c r="K35" s="11" t="s">
        <v>627</v>
      </c>
      <c r="L35" s="11"/>
      <c r="M35" s="11" t="s">
        <v>30</v>
      </c>
      <c r="N35" s="11" t="s">
        <v>628</v>
      </c>
      <c r="O35" s="129">
        <v>1</v>
      </c>
      <c r="P35" s="434">
        <v>5</v>
      </c>
      <c r="Q35" s="112">
        <v>6</v>
      </c>
      <c r="R35" s="129">
        <v>1</v>
      </c>
      <c r="S35" s="466">
        <v>2</v>
      </c>
      <c r="T35" s="501"/>
      <c r="U35" s="587"/>
      <c r="V35" s="209"/>
      <c r="W35" s="11" t="s">
        <v>33</v>
      </c>
      <c r="X35" s="11" t="s">
        <v>34</v>
      </c>
      <c r="Y35" s="213" t="s">
        <v>1187</v>
      </c>
      <c r="Z35" s="47" t="s">
        <v>826</v>
      </c>
      <c r="AA35" s="47" t="s">
        <v>827</v>
      </c>
      <c r="AB35" s="11"/>
      <c r="AC35" s="11"/>
      <c r="AD35" s="11"/>
      <c r="AE35" s="11"/>
      <c r="AF35" s="11" t="s">
        <v>828</v>
      </c>
      <c r="AG35" s="11"/>
      <c r="AH35" s="11"/>
      <c r="AI35" s="11"/>
    </row>
    <row r="36" spans="1:35" s="186" customFormat="1">
      <c r="A36" s="202" t="s">
        <v>829</v>
      </c>
      <c r="B36" s="203">
        <v>0.39947534756974001</v>
      </c>
      <c r="C36" s="204" t="s">
        <v>28</v>
      </c>
      <c r="D36" s="205">
        <v>14.0765838623046</v>
      </c>
      <c r="E36" s="204">
        <v>0.41099999999999998</v>
      </c>
      <c r="F36" s="204">
        <v>13.7</v>
      </c>
      <c r="G36" s="204">
        <v>35.3105520221944</v>
      </c>
      <c r="H36" s="204">
        <v>-120.662456400178</v>
      </c>
      <c r="I36" s="204">
        <v>35.310491718666597</v>
      </c>
      <c r="J36" s="333">
        <v>-120.662480213333</v>
      </c>
      <c r="K36" s="204" t="s">
        <v>627</v>
      </c>
      <c r="L36" s="204"/>
      <c r="M36" s="204" t="s">
        <v>30</v>
      </c>
      <c r="N36" s="204" t="s">
        <v>628</v>
      </c>
      <c r="O36" s="206">
        <v>1</v>
      </c>
      <c r="P36" s="433">
        <v>5</v>
      </c>
      <c r="Q36" s="207">
        <v>7</v>
      </c>
      <c r="R36" s="206">
        <v>1</v>
      </c>
      <c r="S36" s="465">
        <v>2</v>
      </c>
      <c r="T36" s="502"/>
      <c r="U36" s="588"/>
      <c r="V36" s="202"/>
      <c r="W36" s="204" t="s">
        <v>33</v>
      </c>
      <c r="X36" s="204" t="s">
        <v>34</v>
      </c>
      <c r="Y36" s="198" t="s">
        <v>1187</v>
      </c>
      <c r="Z36" s="208" t="s">
        <v>830</v>
      </c>
      <c r="AA36" s="208" t="s">
        <v>827</v>
      </c>
      <c r="AB36" s="204"/>
      <c r="AC36" s="204"/>
      <c r="AD36" s="204"/>
      <c r="AE36" s="204"/>
      <c r="AF36" s="204" t="s">
        <v>831</v>
      </c>
      <c r="AG36" s="204"/>
      <c r="AH36" s="204"/>
      <c r="AI36" s="204"/>
    </row>
    <row r="37" spans="1:35" s="186" customFormat="1">
      <c r="A37" s="202" t="s">
        <v>832</v>
      </c>
      <c r="B37" s="203">
        <v>0.290196681076764</v>
      </c>
      <c r="C37" s="204" t="s">
        <v>28</v>
      </c>
      <c r="D37" s="205">
        <v>12.2070198059082</v>
      </c>
      <c r="E37" s="204">
        <v>0.318</v>
      </c>
      <c r="F37" s="204">
        <v>12.2</v>
      </c>
      <c r="G37" s="204">
        <v>35.310490260448397</v>
      </c>
      <c r="H37" s="204">
        <v>-120.66250133256899</v>
      </c>
      <c r="I37" s="204">
        <v>35.3104776511666</v>
      </c>
      <c r="J37" s="333">
        <v>-120.6625456595</v>
      </c>
      <c r="K37" s="204" t="s">
        <v>627</v>
      </c>
      <c r="L37" s="204"/>
      <c r="M37" s="204" t="s">
        <v>30</v>
      </c>
      <c r="N37" s="204" t="s">
        <v>628</v>
      </c>
      <c r="O37" s="206">
        <v>1</v>
      </c>
      <c r="P37" s="433">
        <v>12</v>
      </c>
      <c r="Q37" s="207">
        <v>1</v>
      </c>
      <c r="R37" s="206">
        <v>1</v>
      </c>
      <c r="S37" s="465">
        <v>2</v>
      </c>
      <c r="T37" s="502"/>
      <c r="U37" s="588"/>
      <c r="V37" s="202"/>
      <c r="W37" s="204" t="s">
        <v>33</v>
      </c>
      <c r="X37" s="204" t="s">
        <v>1296</v>
      </c>
      <c r="Y37" s="204" t="s">
        <v>1297</v>
      </c>
      <c r="Z37" s="208" t="s">
        <v>833</v>
      </c>
      <c r="AA37" s="208" t="s">
        <v>834</v>
      </c>
      <c r="AB37" s="204"/>
      <c r="AC37" s="204"/>
      <c r="AD37" s="204"/>
      <c r="AE37" s="204"/>
      <c r="AF37" s="204" t="s">
        <v>835</v>
      </c>
      <c r="AG37" s="204"/>
      <c r="AH37" s="204"/>
      <c r="AI37" s="204"/>
    </row>
    <row r="38" spans="1:35" s="186" customFormat="1">
      <c r="A38" s="251" t="s">
        <v>836</v>
      </c>
      <c r="B38" s="252">
        <v>0.57481053796556703</v>
      </c>
      <c r="C38" s="253" t="s">
        <v>28</v>
      </c>
      <c r="D38" s="254">
        <v>4.4393973350524902</v>
      </c>
      <c r="E38" s="253">
        <v>0.57799999999999996</v>
      </c>
      <c r="F38" s="253">
        <v>4.3</v>
      </c>
      <c r="G38" s="253">
        <v>35.310597981824003</v>
      </c>
      <c r="H38" s="253">
        <v>-120.662500306027</v>
      </c>
      <c r="I38" s="253">
        <v>35.310610638666603</v>
      </c>
      <c r="J38" s="334">
        <v>-120.662501605</v>
      </c>
      <c r="K38" s="253" t="s">
        <v>627</v>
      </c>
      <c r="L38" s="253"/>
      <c r="M38" s="253" t="s">
        <v>30</v>
      </c>
      <c r="N38" s="253" t="s">
        <v>628</v>
      </c>
      <c r="O38" s="255">
        <v>14</v>
      </c>
      <c r="P38" s="446">
        <v>13</v>
      </c>
      <c r="Q38" s="256">
        <v>1</v>
      </c>
      <c r="R38" s="255">
        <v>1</v>
      </c>
      <c r="S38" s="479">
        <v>2</v>
      </c>
      <c r="T38" s="502"/>
      <c r="U38" s="588"/>
      <c r="V38" s="251"/>
      <c r="W38" s="253" t="s">
        <v>33</v>
      </c>
      <c r="X38" s="253" t="s">
        <v>1298</v>
      </c>
      <c r="Y38" s="253" t="s">
        <v>1299</v>
      </c>
      <c r="Z38" s="257" t="s">
        <v>838</v>
      </c>
      <c r="AA38" s="257" t="s">
        <v>839</v>
      </c>
      <c r="AB38" s="253"/>
      <c r="AC38" s="253"/>
      <c r="AD38" s="253"/>
      <c r="AE38" s="253"/>
      <c r="AF38" s="253" t="s">
        <v>840</v>
      </c>
      <c r="AG38" s="253"/>
      <c r="AH38" s="253"/>
      <c r="AI38" s="253"/>
    </row>
    <row r="39" spans="1:35" s="186" customFormat="1">
      <c r="A39" s="251" t="s">
        <v>841</v>
      </c>
      <c r="B39" s="252">
        <v>0.359674810764049</v>
      </c>
      <c r="C39" s="253" t="s">
        <v>28</v>
      </c>
      <c r="D39" s="254">
        <v>24.813697814941399</v>
      </c>
      <c r="E39" s="253">
        <v>0.46899999999999997</v>
      </c>
      <c r="F39" s="253">
        <v>23.7</v>
      </c>
      <c r="G39" s="253">
        <v>35.310638747246202</v>
      </c>
      <c r="H39" s="253">
        <v>-120.662471149214</v>
      </c>
      <c r="I39" s="253">
        <v>35.310649165000001</v>
      </c>
      <c r="J39" s="334">
        <v>-120.662465557166</v>
      </c>
      <c r="K39" s="253" t="s">
        <v>627</v>
      </c>
      <c r="L39" s="253"/>
      <c r="M39" s="253" t="s">
        <v>30</v>
      </c>
      <c r="N39" s="253" t="s">
        <v>628</v>
      </c>
      <c r="O39" s="255">
        <v>15</v>
      </c>
      <c r="P39" s="446">
        <v>14</v>
      </c>
      <c r="Q39" s="256">
        <v>1</v>
      </c>
      <c r="R39" s="255">
        <v>1</v>
      </c>
      <c r="S39" s="479">
        <v>2</v>
      </c>
      <c r="T39" s="502"/>
      <c r="U39" s="588"/>
      <c r="V39" s="251" t="s">
        <v>842</v>
      </c>
      <c r="W39" s="253" t="s">
        <v>33</v>
      </c>
      <c r="X39" s="253" t="s">
        <v>1300</v>
      </c>
      <c r="Y39" s="253" t="s">
        <v>1301</v>
      </c>
      <c r="Z39" s="257" t="s">
        <v>844</v>
      </c>
      <c r="AA39" s="257" t="s">
        <v>845</v>
      </c>
      <c r="AB39" s="253"/>
      <c r="AC39" s="253"/>
      <c r="AD39" s="253"/>
      <c r="AE39" s="253"/>
      <c r="AF39" s="253" t="s">
        <v>846</v>
      </c>
      <c r="AG39" s="253"/>
      <c r="AH39" s="253"/>
      <c r="AI39" s="253"/>
    </row>
    <row r="40" spans="1:35" s="186" customFormat="1" ht="43.5">
      <c r="A40" s="251" t="s">
        <v>847</v>
      </c>
      <c r="B40" s="252">
        <v>0.21480227515469399</v>
      </c>
      <c r="C40" s="253" t="s">
        <v>28</v>
      </c>
      <c r="D40" s="254">
        <v>6.5767874717712402</v>
      </c>
      <c r="E40" s="218"/>
      <c r="F40" s="253">
        <v>6.5</v>
      </c>
      <c r="G40" s="253">
        <v>35.310654667556001</v>
      </c>
      <c r="H40" s="253">
        <v>-120.66243412140599</v>
      </c>
      <c r="I40" s="253">
        <v>35.310668515833299</v>
      </c>
      <c r="J40" s="334">
        <v>-120.66241204000001</v>
      </c>
      <c r="K40" s="253" t="s">
        <v>627</v>
      </c>
      <c r="L40" s="253"/>
      <c r="M40" s="253" t="s">
        <v>30</v>
      </c>
      <c r="N40" s="253" t="s">
        <v>628</v>
      </c>
      <c r="O40" s="290">
        <v>16</v>
      </c>
      <c r="P40" s="446">
        <v>15</v>
      </c>
      <c r="Q40" s="397">
        <v>1</v>
      </c>
      <c r="R40" s="398">
        <v>1</v>
      </c>
      <c r="S40" s="446">
        <v>2</v>
      </c>
      <c r="T40" s="503"/>
      <c r="U40" s="593" t="s">
        <v>1302</v>
      </c>
      <c r="V40" s="399" t="s">
        <v>849</v>
      </c>
      <c r="W40" s="253" t="s">
        <v>33</v>
      </c>
      <c r="X40" s="253" t="s">
        <v>1303</v>
      </c>
      <c r="Y40" s="253" t="s">
        <v>1304</v>
      </c>
      <c r="Z40" s="257" t="s">
        <v>850</v>
      </c>
      <c r="AA40" s="257" t="s">
        <v>851</v>
      </c>
      <c r="AB40" s="253"/>
      <c r="AC40" s="253"/>
      <c r="AD40" s="253"/>
      <c r="AE40" s="253"/>
      <c r="AF40" s="253" t="s">
        <v>852</v>
      </c>
      <c r="AG40" s="253"/>
      <c r="AH40" s="253"/>
      <c r="AI40" s="253"/>
    </row>
    <row r="41" spans="1:35" s="178" customFormat="1">
      <c r="A41" s="248" t="s">
        <v>853</v>
      </c>
      <c r="B41" s="247">
        <v>0.43879488173376602</v>
      </c>
      <c r="C41" s="248" t="s">
        <v>28</v>
      </c>
      <c r="D41" s="249">
        <v>7.6719403266906703</v>
      </c>
      <c r="E41" s="248">
        <v>0.48199999999999998</v>
      </c>
      <c r="F41" s="248">
        <v>7.8</v>
      </c>
      <c r="G41" s="248">
        <v>35.310620516849298</v>
      </c>
      <c r="H41" s="248">
        <v>-120.662404765817</v>
      </c>
      <c r="I41" s="248">
        <v>35.310645937333298</v>
      </c>
      <c r="J41" s="426">
        <v>-120.662416472</v>
      </c>
      <c r="K41" s="248" t="s">
        <v>627</v>
      </c>
      <c r="L41" s="248"/>
      <c r="M41" s="248" t="s">
        <v>30</v>
      </c>
      <c r="N41" s="248" t="s">
        <v>628</v>
      </c>
      <c r="O41" s="400">
        <v>17</v>
      </c>
      <c r="P41" s="447">
        <v>13</v>
      </c>
      <c r="Q41" s="401">
        <v>2</v>
      </c>
      <c r="R41" s="400">
        <v>1</v>
      </c>
      <c r="S41" s="480">
        <v>2</v>
      </c>
      <c r="T41" s="504"/>
      <c r="U41" s="589"/>
      <c r="V41" s="571" t="s">
        <v>854</v>
      </c>
      <c r="W41" s="248" t="s">
        <v>33</v>
      </c>
      <c r="X41" s="248" t="s">
        <v>1298</v>
      </c>
      <c r="Y41" s="248" t="s">
        <v>1299</v>
      </c>
      <c r="Z41" s="250" t="s">
        <v>855</v>
      </c>
      <c r="AA41" s="250" t="s">
        <v>856</v>
      </c>
      <c r="AB41" s="248"/>
      <c r="AC41" s="248"/>
      <c r="AD41" s="248"/>
      <c r="AE41" s="248"/>
      <c r="AF41" s="248" t="s">
        <v>857</v>
      </c>
      <c r="AG41" s="248"/>
      <c r="AH41" s="248"/>
      <c r="AI41" s="248"/>
    </row>
    <row r="42" spans="1:35" s="178" customFormat="1">
      <c r="A42" s="248"/>
      <c r="B42" s="402"/>
      <c r="C42" s="176"/>
      <c r="D42" s="403"/>
      <c r="E42" s="176"/>
      <c r="F42" s="176"/>
      <c r="G42" s="248"/>
      <c r="H42" s="248"/>
      <c r="I42" s="248">
        <v>35.3105958306666</v>
      </c>
      <c r="J42" s="426">
        <v>-120.66238956416601</v>
      </c>
      <c r="K42" s="248"/>
      <c r="L42" s="248"/>
      <c r="M42" s="248"/>
      <c r="N42" s="248"/>
      <c r="O42" s="400"/>
      <c r="P42" s="447">
        <v>16</v>
      </c>
      <c r="Q42" s="401">
        <v>4</v>
      </c>
      <c r="R42" s="177">
        <v>1</v>
      </c>
      <c r="S42" s="480">
        <v>2</v>
      </c>
      <c r="T42" s="504"/>
      <c r="U42" s="589" t="s">
        <v>1305</v>
      </c>
      <c r="V42" s="571" t="s">
        <v>1306</v>
      </c>
      <c r="W42" s="248"/>
      <c r="X42" s="248" t="s">
        <v>1307</v>
      </c>
      <c r="Y42" s="248" t="s">
        <v>1308</v>
      </c>
      <c r="Z42" s="250"/>
      <c r="AA42" s="250"/>
      <c r="AB42" s="248"/>
      <c r="AC42" s="248"/>
      <c r="AD42" s="248"/>
      <c r="AE42" s="248"/>
      <c r="AF42" s="248"/>
      <c r="AG42" s="248"/>
      <c r="AH42" s="248"/>
      <c r="AI42" s="248"/>
    </row>
    <row r="43" spans="1:35" s="351" customFormat="1">
      <c r="A43" s="11" t="s">
        <v>86</v>
      </c>
      <c r="B43" s="404"/>
      <c r="C43" s="317"/>
      <c r="D43" s="13">
        <v>6.6830124855041504</v>
      </c>
      <c r="E43" s="317"/>
      <c r="F43" s="11">
        <v>6.2</v>
      </c>
      <c r="G43" s="11">
        <v>35.309605694372202</v>
      </c>
      <c r="H43" s="11">
        <v>-120.662935538413</v>
      </c>
      <c r="I43" s="351">
        <v>35.310509805499997</v>
      </c>
      <c r="J43" s="427">
        <v>-120.66240564399899</v>
      </c>
      <c r="O43" s="407"/>
      <c r="P43" s="448">
        <v>5</v>
      </c>
      <c r="Q43" s="408">
        <v>8</v>
      </c>
      <c r="R43" s="407">
        <v>1</v>
      </c>
      <c r="S43" s="481">
        <v>2</v>
      </c>
      <c r="T43" s="481"/>
      <c r="U43" s="592" t="s">
        <v>1309</v>
      </c>
      <c r="V43" s="572" t="s">
        <v>1310</v>
      </c>
      <c r="X43" s="351" t="s">
        <v>1311</v>
      </c>
      <c r="Y43" s="351" t="s">
        <v>1187</v>
      </c>
      <c r="Z43" s="409"/>
      <c r="AA43" s="409"/>
    </row>
    <row r="44" spans="1:35">
      <c r="A44" s="15" t="s">
        <v>858</v>
      </c>
      <c r="B44" s="16">
        <v>0.52420286499511304</v>
      </c>
      <c r="C44" s="15" t="s">
        <v>28</v>
      </c>
      <c r="D44" s="17">
        <v>13.056458473205501</v>
      </c>
      <c r="E44" s="15">
        <v>0.55600000000000005</v>
      </c>
      <c r="F44" s="15">
        <v>13.1</v>
      </c>
      <c r="G44" s="15">
        <v>35.310369127547297</v>
      </c>
      <c r="H44" s="15">
        <v>-120.66213500250601</v>
      </c>
      <c r="I44" s="15">
        <v>35.310361651000001</v>
      </c>
      <c r="J44" s="325">
        <v>-120.662135952333</v>
      </c>
      <c r="K44" s="15" t="s">
        <v>627</v>
      </c>
      <c r="L44" s="15"/>
      <c r="M44" s="15" t="s">
        <v>30</v>
      </c>
      <c r="N44" s="15" t="s">
        <v>628</v>
      </c>
      <c r="O44" s="119">
        <v>2</v>
      </c>
      <c r="P44" s="438">
        <v>17</v>
      </c>
      <c r="Q44" s="118">
        <v>1</v>
      </c>
      <c r="R44" s="119">
        <v>1</v>
      </c>
      <c r="S44" s="469">
        <v>3</v>
      </c>
      <c r="T44" s="501"/>
      <c r="U44" s="587"/>
      <c r="V44" s="187"/>
      <c r="W44" s="15" t="s">
        <v>33</v>
      </c>
      <c r="X44" s="15" t="s">
        <v>64</v>
      </c>
      <c r="Y44" s="191" t="s">
        <v>1312</v>
      </c>
      <c r="Z44" s="45" t="s">
        <v>860</v>
      </c>
      <c r="AA44" s="45" t="s">
        <v>861</v>
      </c>
      <c r="AB44" s="15"/>
      <c r="AC44" s="15"/>
      <c r="AD44" s="15"/>
      <c r="AE44" s="15"/>
      <c r="AF44" s="15" t="s">
        <v>862</v>
      </c>
      <c r="AG44" s="15"/>
      <c r="AH44" s="15"/>
      <c r="AI44" s="15"/>
    </row>
    <row r="45" spans="1:35" s="186" customFormat="1">
      <c r="A45" s="179" t="s">
        <v>863</v>
      </c>
      <c r="B45" s="180">
        <v>0.448922766648643</v>
      </c>
      <c r="C45" s="181" t="s">
        <v>28</v>
      </c>
      <c r="D45" s="182">
        <v>15.740143775939901</v>
      </c>
      <c r="E45" s="181">
        <v>0.437</v>
      </c>
      <c r="F45" s="181">
        <v>15.2</v>
      </c>
      <c r="G45" s="181">
        <v>35.310417349719003</v>
      </c>
      <c r="H45" s="181">
        <v>-120.662165965452</v>
      </c>
      <c r="I45" s="259">
        <v>35.3104037931666</v>
      </c>
      <c r="J45" s="335">
        <v>-120.66213380916599</v>
      </c>
      <c r="K45" s="181" t="s">
        <v>627</v>
      </c>
      <c r="L45" s="181"/>
      <c r="M45" s="181" t="s">
        <v>30</v>
      </c>
      <c r="N45" s="181" t="s">
        <v>628</v>
      </c>
      <c r="O45" s="183">
        <v>2</v>
      </c>
      <c r="P45" s="449">
        <v>17</v>
      </c>
      <c r="Q45" s="184">
        <v>2</v>
      </c>
      <c r="R45" s="183">
        <v>1</v>
      </c>
      <c r="S45" s="482">
        <v>3</v>
      </c>
      <c r="T45" s="502"/>
      <c r="U45" s="588"/>
      <c r="V45" s="179"/>
      <c r="W45" s="181" t="s">
        <v>33</v>
      </c>
      <c r="X45" s="181" t="s">
        <v>64</v>
      </c>
      <c r="Y45" s="191" t="s">
        <v>1312</v>
      </c>
      <c r="Z45" s="185" t="s">
        <v>864</v>
      </c>
      <c r="AA45" s="185" t="s">
        <v>865</v>
      </c>
      <c r="AB45" s="181"/>
      <c r="AC45" s="181"/>
      <c r="AD45" s="181"/>
      <c r="AE45" s="181"/>
      <c r="AF45" s="181" t="s">
        <v>866</v>
      </c>
      <c r="AG45" s="181"/>
      <c r="AH45" s="181"/>
      <c r="AI45" s="181"/>
    </row>
    <row r="46" spans="1:35" s="186" customFormat="1">
      <c r="A46" s="179" t="s">
        <v>867</v>
      </c>
      <c r="B46" s="180">
        <v>0.237053202033498</v>
      </c>
      <c r="C46" s="181" t="s">
        <v>28</v>
      </c>
      <c r="D46" s="182">
        <v>13.365461349487299</v>
      </c>
      <c r="E46" s="181">
        <v>0.25600000000000001</v>
      </c>
      <c r="F46" s="181">
        <v>13.5</v>
      </c>
      <c r="G46" s="181">
        <v>35.310442539512103</v>
      </c>
      <c r="H46" s="181">
        <v>-120.662231142653</v>
      </c>
      <c r="I46" s="15">
        <v>35.310383231166597</v>
      </c>
      <c r="J46" s="325">
        <v>-120.662249157666</v>
      </c>
      <c r="K46" s="181" t="s">
        <v>627</v>
      </c>
      <c r="L46" s="181"/>
      <c r="M46" s="181" t="s">
        <v>30</v>
      </c>
      <c r="N46" s="181" t="s">
        <v>628</v>
      </c>
      <c r="O46" s="183">
        <v>2</v>
      </c>
      <c r="P46" s="449">
        <v>17</v>
      </c>
      <c r="Q46" s="184">
        <v>3</v>
      </c>
      <c r="R46" s="183">
        <v>1</v>
      </c>
      <c r="S46" s="482">
        <v>3</v>
      </c>
      <c r="T46" s="502"/>
      <c r="U46" s="588"/>
      <c r="V46" s="179"/>
      <c r="W46" s="181" t="s">
        <v>33</v>
      </c>
      <c r="X46" s="181" t="s">
        <v>64</v>
      </c>
      <c r="Y46" s="15" t="s">
        <v>1312</v>
      </c>
      <c r="Z46" s="185" t="s">
        <v>868</v>
      </c>
      <c r="AA46" s="185" t="s">
        <v>869</v>
      </c>
      <c r="AB46" s="181"/>
      <c r="AC46" s="181"/>
      <c r="AD46" s="181"/>
      <c r="AE46" s="181"/>
      <c r="AF46" s="181" t="s">
        <v>870</v>
      </c>
      <c r="AG46" s="181"/>
      <c r="AH46" s="181"/>
      <c r="AI46" s="181"/>
    </row>
    <row r="47" spans="1:35">
      <c r="A47" s="187" t="s">
        <v>871</v>
      </c>
      <c r="B47" s="16">
        <v>0.31533926873587798</v>
      </c>
      <c r="C47" s="15" t="s">
        <v>28</v>
      </c>
      <c r="D47" s="17">
        <v>1.2902867794036801</v>
      </c>
      <c r="E47" s="15">
        <v>0.34200000000000003</v>
      </c>
      <c r="F47" s="15">
        <v>1.3</v>
      </c>
      <c r="G47" s="15">
        <v>35.310385095267897</v>
      </c>
      <c r="H47" s="15">
        <v>-120.662206280592</v>
      </c>
      <c r="I47" s="15"/>
      <c r="J47" s="325"/>
      <c r="K47" s="15" t="s">
        <v>627</v>
      </c>
      <c r="L47" s="15"/>
      <c r="M47" s="15" t="s">
        <v>30</v>
      </c>
      <c r="N47" s="15" t="s">
        <v>628</v>
      </c>
      <c r="O47" s="119">
        <v>2</v>
      </c>
      <c r="P47" s="438">
        <v>17</v>
      </c>
      <c r="Q47" s="118">
        <v>3</v>
      </c>
      <c r="R47" s="119">
        <v>2</v>
      </c>
      <c r="S47" s="469">
        <v>3</v>
      </c>
      <c r="T47" s="501"/>
      <c r="U47" s="587"/>
      <c r="V47" s="187" t="s">
        <v>872</v>
      </c>
      <c r="W47" s="15" t="s">
        <v>33</v>
      </c>
      <c r="X47" s="15" t="s">
        <v>64</v>
      </c>
      <c r="Y47" s="15" t="s">
        <v>1312</v>
      </c>
      <c r="Z47" s="188" t="s">
        <v>873</v>
      </c>
      <c r="AA47" s="188" t="s">
        <v>874</v>
      </c>
      <c r="AB47" s="15"/>
      <c r="AC47" s="15"/>
      <c r="AD47" s="15"/>
      <c r="AE47" s="15"/>
      <c r="AF47" s="15" t="s">
        <v>875</v>
      </c>
      <c r="AG47" s="15"/>
      <c r="AH47" s="15"/>
      <c r="AI47" s="15"/>
    </row>
    <row r="48" spans="1:35">
      <c r="A48" s="187" t="s">
        <v>876</v>
      </c>
      <c r="B48" s="16">
        <v>0.31939936782789702</v>
      </c>
      <c r="C48" s="15" t="s">
        <v>28</v>
      </c>
      <c r="D48" s="17">
        <v>1.2957787513732899</v>
      </c>
      <c r="E48" s="15">
        <v>0.34399999999999997</v>
      </c>
      <c r="F48" s="15">
        <v>1.3</v>
      </c>
      <c r="G48" s="15">
        <v>35.310390535074802</v>
      </c>
      <c r="H48" s="15">
        <v>-120.662214686632</v>
      </c>
      <c r="I48" s="15"/>
      <c r="J48" s="325"/>
      <c r="K48" s="15" t="s">
        <v>627</v>
      </c>
      <c r="L48" s="15"/>
      <c r="M48" s="15" t="s">
        <v>30</v>
      </c>
      <c r="N48" s="15" t="s">
        <v>628</v>
      </c>
      <c r="O48" s="119">
        <v>2</v>
      </c>
      <c r="P48" s="438">
        <v>17</v>
      </c>
      <c r="Q48" s="118">
        <v>3</v>
      </c>
      <c r="R48" s="119">
        <v>3</v>
      </c>
      <c r="S48" s="469">
        <v>3</v>
      </c>
      <c r="T48" s="501"/>
      <c r="U48" s="587"/>
      <c r="V48" s="187" t="s">
        <v>877</v>
      </c>
      <c r="W48" s="15" t="s">
        <v>33</v>
      </c>
      <c r="X48" s="15" t="s">
        <v>64</v>
      </c>
      <c r="Y48" s="15" t="s">
        <v>1312</v>
      </c>
      <c r="Z48" s="188" t="s">
        <v>878</v>
      </c>
      <c r="AA48" s="188" t="s">
        <v>879</v>
      </c>
      <c r="AB48" s="15"/>
      <c r="AC48" s="15"/>
      <c r="AD48" s="15"/>
      <c r="AE48" s="15"/>
      <c r="AF48" s="15" t="s">
        <v>880</v>
      </c>
      <c r="AG48" s="15"/>
      <c r="AH48" s="15"/>
      <c r="AI48" s="15"/>
    </row>
    <row r="49" spans="1:35" s="175" customFormat="1">
      <c r="A49" s="189" t="s">
        <v>881</v>
      </c>
      <c r="B49" s="190">
        <v>0.33941513459433398</v>
      </c>
      <c r="C49" s="191" t="s">
        <v>28</v>
      </c>
      <c r="D49" s="192">
        <v>1.2895096540451001</v>
      </c>
      <c r="E49" s="191">
        <v>0.32700000000000001</v>
      </c>
      <c r="F49" s="191">
        <v>1.3</v>
      </c>
      <c r="G49" s="191">
        <v>35.310410009794602</v>
      </c>
      <c r="H49" s="191">
        <v>-120.662238941463</v>
      </c>
      <c r="I49" s="191"/>
      <c r="J49" s="331"/>
      <c r="K49" s="191" t="s">
        <v>627</v>
      </c>
      <c r="L49" s="191"/>
      <c r="M49" s="191" t="s">
        <v>30</v>
      </c>
      <c r="N49" s="191" t="s">
        <v>628</v>
      </c>
      <c r="O49" s="193">
        <v>2</v>
      </c>
      <c r="P49" s="438">
        <v>17</v>
      </c>
      <c r="Q49" s="194">
        <v>3</v>
      </c>
      <c r="R49" s="193">
        <v>4</v>
      </c>
      <c r="S49" s="475">
        <v>3</v>
      </c>
      <c r="T49" s="505"/>
      <c r="U49" s="590"/>
      <c r="V49" s="189"/>
      <c r="W49" s="191" t="s">
        <v>33</v>
      </c>
      <c r="X49" s="191" t="s">
        <v>64</v>
      </c>
      <c r="Y49" s="191" t="s">
        <v>1312</v>
      </c>
      <c r="Z49" s="195" t="s">
        <v>882</v>
      </c>
      <c r="AA49" s="195" t="s">
        <v>883</v>
      </c>
      <c r="AB49" s="191"/>
      <c r="AC49" s="191"/>
      <c r="AD49" s="191"/>
      <c r="AE49" s="191"/>
      <c r="AF49" s="191" t="s">
        <v>884</v>
      </c>
      <c r="AG49" s="191"/>
      <c r="AH49" s="191"/>
      <c r="AI49" s="191"/>
    </row>
    <row r="50" spans="1:35" s="25" customFormat="1">
      <c r="A50" s="371" t="s">
        <v>1313</v>
      </c>
      <c r="B50" s="371">
        <v>5.9983000000000002E-2</v>
      </c>
      <c r="C50" s="371" t="s">
        <v>28</v>
      </c>
      <c r="D50" s="371">
        <v>4.8240850000000002</v>
      </c>
      <c r="E50" s="371">
        <v>6.2E-2</v>
      </c>
      <c r="F50" s="371">
        <v>5.0999999999999996</v>
      </c>
      <c r="G50" s="371">
        <v>35.310479999999998</v>
      </c>
      <c r="H50" s="371">
        <v>-120.66200000000001</v>
      </c>
      <c r="I50" s="25">
        <v>35.310490161999901</v>
      </c>
      <c r="J50" s="336">
        <v>-120.662246199666</v>
      </c>
      <c r="K50" s="371" t="s">
        <v>627</v>
      </c>
      <c r="L50" s="371"/>
      <c r="M50" s="371" t="s">
        <v>30</v>
      </c>
      <c r="N50" s="371" t="s">
        <v>1314</v>
      </c>
      <c r="O50" s="371"/>
      <c r="P50" s="450">
        <v>18</v>
      </c>
      <c r="Q50" s="393">
        <v>1</v>
      </c>
      <c r="R50" s="393">
        <v>1</v>
      </c>
      <c r="S50" s="450">
        <v>3</v>
      </c>
      <c r="T50" s="506"/>
      <c r="U50" s="591"/>
      <c r="V50" s="573">
        <v>1.1000000000000001</v>
      </c>
      <c r="W50" s="371" t="s">
        <v>33</v>
      </c>
      <c r="X50" s="371" t="s">
        <v>887</v>
      </c>
      <c r="Y50" s="25" t="s">
        <v>1315</v>
      </c>
      <c r="Z50" s="159" t="s">
        <v>1316</v>
      </c>
      <c r="AA50" s="159" t="s">
        <v>1317</v>
      </c>
      <c r="AB50" s="159"/>
      <c r="AC50" s="371"/>
      <c r="AD50" s="371"/>
      <c r="AE50" s="371"/>
      <c r="AF50" s="371" t="s">
        <v>1318</v>
      </c>
    </row>
    <row r="51" spans="1:35" s="25" customFormat="1">
      <c r="A51" s="371" t="s">
        <v>1319</v>
      </c>
      <c r="B51" s="371">
        <v>5.2263999999999998E-2</v>
      </c>
      <c r="C51" s="371" t="s">
        <v>28</v>
      </c>
      <c r="D51" s="371">
        <v>1.2595499999999999</v>
      </c>
      <c r="E51" s="371">
        <v>0.06</v>
      </c>
      <c r="F51" s="371">
        <v>1.3</v>
      </c>
      <c r="G51" s="371">
        <v>35.310540000000003</v>
      </c>
      <c r="H51" s="371">
        <v>-120.66200000000001</v>
      </c>
      <c r="J51" s="336"/>
      <c r="K51" s="371" t="s">
        <v>627</v>
      </c>
      <c r="L51" s="371"/>
      <c r="M51" s="371" t="s">
        <v>30</v>
      </c>
      <c r="N51" s="371" t="s">
        <v>1314</v>
      </c>
      <c r="O51" s="371"/>
      <c r="P51" s="450">
        <v>18</v>
      </c>
      <c r="Q51" s="393">
        <v>1</v>
      </c>
      <c r="R51" s="393">
        <v>2</v>
      </c>
      <c r="S51" s="450">
        <v>3</v>
      </c>
      <c r="T51" s="506"/>
      <c r="U51" s="591"/>
      <c r="V51" s="573">
        <v>1.2</v>
      </c>
      <c r="W51" s="371" t="s">
        <v>33</v>
      </c>
      <c r="X51" s="371" t="s">
        <v>887</v>
      </c>
      <c r="Y51" s="25" t="s">
        <v>1315</v>
      </c>
      <c r="Z51" s="159" t="s">
        <v>1320</v>
      </c>
      <c r="AA51" s="159" t="s">
        <v>1317</v>
      </c>
      <c r="AB51" s="159"/>
      <c r="AC51" s="371"/>
      <c r="AD51" s="371"/>
      <c r="AE51" s="371"/>
      <c r="AF51" s="371" t="s">
        <v>1321</v>
      </c>
    </row>
    <row r="52" spans="1:35" s="25" customFormat="1">
      <c r="A52" s="371" t="s">
        <v>1322</v>
      </c>
      <c r="B52" s="371">
        <v>7.4727000000000002E-2</v>
      </c>
      <c r="C52" s="371" t="s">
        <v>28</v>
      </c>
      <c r="D52" s="371">
        <v>1.212739</v>
      </c>
      <c r="E52" s="371">
        <v>7.3999999999999996E-2</v>
      </c>
      <c r="F52" s="371">
        <v>1.3</v>
      </c>
      <c r="G52" s="371">
        <v>35.310540000000003</v>
      </c>
      <c r="H52" s="371">
        <v>-120.66200000000001</v>
      </c>
      <c r="J52" s="336"/>
      <c r="K52" s="371" t="s">
        <v>627</v>
      </c>
      <c r="L52" s="371"/>
      <c r="M52" s="371" t="s">
        <v>30</v>
      </c>
      <c r="N52" s="371" t="s">
        <v>1314</v>
      </c>
      <c r="O52" s="371"/>
      <c r="P52" s="450">
        <v>18</v>
      </c>
      <c r="Q52" s="393">
        <v>1</v>
      </c>
      <c r="R52" s="393">
        <v>3</v>
      </c>
      <c r="S52" s="450">
        <v>3</v>
      </c>
      <c r="T52" s="506"/>
      <c r="U52" s="591"/>
      <c r="V52" s="573">
        <v>1.3</v>
      </c>
      <c r="W52" s="371" t="s">
        <v>33</v>
      </c>
      <c r="X52" s="371" t="s">
        <v>887</v>
      </c>
      <c r="Y52" s="25" t="s">
        <v>1315</v>
      </c>
      <c r="Z52" s="159" t="s">
        <v>1323</v>
      </c>
      <c r="AA52" s="159" t="s">
        <v>1324</v>
      </c>
      <c r="AB52" s="159"/>
      <c r="AC52" s="371"/>
      <c r="AD52" s="371"/>
      <c r="AE52" s="371"/>
      <c r="AF52" s="371" t="s">
        <v>1325</v>
      </c>
    </row>
    <row r="53" spans="1:35" s="25" customFormat="1">
      <c r="A53" s="371" t="s">
        <v>1326</v>
      </c>
      <c r="B53" s="371">
        <v>7.4418999999999999E-2</v>
      </c>
      <c r="C53" s="371" t="s">
        <v>28</v>
      </c>
      <c r="D53" s="371">
        <v>1.153708</v>
      </c>
      <c r="E53" s="371">
        <v>7.4999999999999997E-2</v>
      </c>
      <c r="F53" s="371">
        <v>1.3</v>
      </c>
      <c r="G53" s="371">
        <v>35.31053</v>
      </c>
      <c r="H53" s="371">
        <v>-120.66200000000001</v>
      </c>
      <c r="J53" s="336"/>
      <c r="K53" s="371" t="s">
        <v>627</v>
      </c>
      <c r="L53" s="371"/>
      <c r="M53" s="371" t="s">
        <v>30</v>
      </c>
      <c r="N53" s="371" t="s">
        <v>1314</v>
      </c>
      <c r="O53" s="371"/>
      <c r="P53" s="450">
        <v>18</v>
      </c>
      <c r="Q53" s="393">
        <v>1</v>
      </c>
      <c r="R53" s="393">
        <v>4</v>
      </c>
      <c r="S53" s="450">
        <v>3</v>
      </c>
      <c r="T53" s="506"/>
      <c r="U53" s="591"/>
      <c r="V53" s="573">
        <v>1.4</v>
      </c>
      <c r="W53" s="371" t="s">
        <v>33</v>
      </c>
      <c r="X53" s="371" t="s">
        <v>887</v>
      </c>
      <c r="Y53" s="25" t="s">
        <v>1315</v>
      </c>
      <c r="Z53" s="159" t="s">
        <v>1327</v>
      </c>
      <c r="AA53" s="159" t="s">
        <v>1328</v>
      </c>
      <c r="AB53" s="159"/>
      <c r="AC53" s="371"/>
      <c r="AD53" s="371"/>
      <c r="AE53" s="371"/>
      <c r="AF53" s="371" t="s">
        <v>1329</v>
      </c>
    </row>
    <row r="54" spans="1:35" s="25" customFormat="1">
      <c r="A54" s="371" t="s">
        <v>1330</v>
      </c>
      <c r="B54" s="371">
        <v>0.118288</v>
      </c>
      <c r="C54" s="371" t="s">
        <v>28</v>
      </c>
      <c r="D54" s="371">
        <v>1.330964</v>
      </c>
      <c r="E54" s="371">
        <v>0.104</v>
      </c>
      <c r="F54" s="371">
        <v>1.3</v>
      </c>
      <c r="G54" s="371">
        <v>35.310519999999997</v>
      </c>
      <c r="H54" s="371">
        <v>-120.66200000000001</v>
      </c>
      <c r="J54" s="336"/>
      <c r="K54" s="371" t="s">
        <v>627</v>
      </c>
      <c r="L54" s="371"/>
      <c r="M54" s="371" t="s">
        <v>30</v>
      </c>
      <c r="N54" s="371" t="s">
        <v>1314</v>
      </c>
      <c r="O54" s="371"/>
      <c r="P54" s="450">
        <v>18</v>
      </c>
      <c r="Q54" s="393">
        <v>1</v>
      </c>
      <c r="R54" s="393">
        <v>5</v>
      </c>
      <c r="S54" s="450">
        <v>3</v>
      </c>
      <c r="T54" s="506"/>
      <c r="U54" s="591"/>
      <c r="V54" s="573">
        <v>1.5</v>
      </c>
      <c r="W54" s="371" t="s">
        <v>33</v>
      </c>
      <c r="X54" s="371" t="s">
        <v>887</v>
      </c>
      <c r="Y54" s="25" t="s">
        <v>1315</v>
      </c>
      <c r="Z54" s="159" t="s">
        <v>1331</v>
      </c>
      <c r="AA54" s="159" t="s">
        <v>1332</v>
      </c>
      <c r="AB54" s="159"/>
      <c r="AC54" s="371"/>
      <c r="AD54" s="371"/>
      <c r="AE54" s="371"/>
      <c r="AF54" s="371" t="s">
        <v>1333</v>
      </c>
    </row>
    <row r="55" spans="1:35" s="25" customFormat="1">
      <c r="A55" s="371" t="s">
        <v>1334</v>
      </c>
      <c r="B55" s="371">
        <v>5.6007000000000001E-2</v>
      </c>
      <c r="C55" s="371" t="s">
        <v>28</v>
      </c>
      <c r="D55" s="371">
        <v>1.068953</v>
      </c>
      <c r="E55" s="371">
        <v>5.2999999999999999E-2</v>
      </c>
      <c r="F55" s="371">
        <v>1.3</v>
      </c>
      <c r="G55" s="371">
        <v>35.310519999999997</v>
      </c>
      <c r="H55" s="371">
        <v>-120.66200000000001</v>
      </c>
      <c r="J55" s="336"/>
      <c r="K55" s="371" t="s">
        <v>627</v>
      </c>
      <c r="L55" s="371"/>
      <c r="M55" s="371" t="s">
        <v>30</v>
      </c>
      <c r="N55" s="371" t="s">
        <v>1314</v>
      </c>
      <c r="O55" s="371"/>
      <c r="P55" s="450">
        <v>18</v>
      </c>
      <c r="Q55" s="393">
        <v>1</v>
      </c>
      <c r="R55" s="393">
        <v>6</v>
      </c>
      <c r="S55" s="450">
        <v>3</v>
      </c>
      <c r="T55" s="506"/>
      <c r="U55" s="591"/>
      <c r="V55" s="573">
        <v>1.6</v>
      </c>
      <c r="W55" s="371" t="s">
        <v>33</v>
      </c>
      <c r="X55" s="371" t="s">
        <v>887</v>
      </c>
      <c r="Y55" s="25" t="s">
        <v>1315</v>
      </c>
      <c r="Z55" s="159" t="s">
        <v>1335</v>
      </c>
      <c r="AA55" s="159" t="s">
        <v>1336</v>
      </c>
      <c r="AB55" s="159"/>
      <c r="AC55" s="371"/>
      <c r="AD55" s="371"/>
      <c r="AE55" s="371"/>
      <c r="AF55" s="371" t="s">
        <v>1337</v>
      </c>
    </row>
    <row r="56" spans="1:35" s="25" customFormat="1">
      <c r="A56" s="371" t="s">
        <v>1338</v>
      </c>
      <c r="B56" s="371">
        <v>6.2365999999999998E-2</v>
      </c>
      <c r="C56" s="371" t="s">
        <v>28</v>
      </c>
      <c r="D56" s="371">
        <v>1.329682</v>
      </c>
      <c r="E56" s="371">
        <v>6.6000000000000003E-2</v>
      </c>
      <c r="F56" s="371">
        <v>1.31</v>
      </c>
      <c r="G56" s="371">
        <v>35.310499999999998</v>
      </c>
      <c r="H56" s="371">
        <v>-120.66200000000001</v>
      </c>
      <c r="J56" s="336"/>
      <c r="K56" s="371" t="s">
        <v>627</v>
      </c>
      <c r="L56" s="371"/>
      <c r="M56" s="371" t="s">
        <v>30</v>
      </c>
      <c r="N56" s="371" t="s">
        <v>1314</v>
      </c>
      <c r="O56" s="371"/>
      <c r="P56" s="450">
        <v>18</v>
      </c>
      <c r="Q56" s="393">
        <v>1</v>
      </c>
      <c r="R56" s="393">
        <v>7</v>
      </c>
      <c r="S56" s="450">
        <v>3</v>
      </c>
      <c r="T56" s="506"/>
      <c r="U56" s="591"/>
      <c r="V56" s="573">
        <v>1.7</v>
      </c>
      <c r="W56" s="371" t="s">
        <v>33</v>
      </c>
      <c r="X56" s="371" t="s">
        <v>887</v>
      </c>
      <c r="Y56" s="25" t="s">
        <v>1315</v>
      </c>
      <c r="Z56" s="159" t="s">
        <v>1339</v>
      </c>
      <c r="AA56" s="159" t="s">
        <v>1340</v>
      </c>
      <c r="AB56" s="159"/>
      <c r="AC56" s="371"/>
      <c r="AD56" s="371"/>
      <c r="AE56" s="371"/>
      <c r="AF56" s="371" t="s">
        <v>1341</v>
      </c>
    </row>
    <row r="57" spans="1:35" s="25" customFormat="1">
      <c r="A57" s="371" t="s">
        <v>1342</v>
      </c>
      <c r="B57" s="371">
        <v>5.8263000000000002E-2</v>
      </c>
      <c r="C57" s="371" t="s">
        <v>28</v>
      </c>
      <c r="D57" s="371">
        <v>1.234084</v>
      </c>
      <c r="E57" s="371">
        <v>6.2E-2</v>
      </c>
      <c r="F57" s="371">
        <v>1.3</v>
      </c>
      <c r="G57" s="371">
        <v>35.310519999999997</v>
      </c>
      <c r="H57" s="371">
        <v>-120.66200000000001</v>
      </c>
      <c r="J57" s="336"/>
      <c r="K57" s="371" t="s">
        <v>627</v>
      </c>
      <c r="L57" s="371"/>
      <c r="M57" s="371" t="s">
        <v>30</v>
      </c>
      <c r="N57" s="371" t="s">
        <v>1314</v>
      </c>
      <c r="O57" s="371"/>
      <c r="P57" s="450">
        <v>18</v>
      </c>
      <c r="Q57" s="393">
        <v>1</v>
      </c>
      <c r="R57" s="393">
        <v>8</v>
      </c>
      <c r="S57" s="450">
        <v>3</v>
      </c>
      <c r="T57" s="506"/>
      <c r="U57" s="591"/>
      <c r="V57" s="573">
        <v>1.8</v>
      </c>
      <c r="W57" s="371" t="s">
        <v>33</v>
      </c>
      <c r="X57" s="371" t="s">
        <v>887</v>
      </c>
      <c r="Y57" s="25" t="s">
        <v>1315</v>
      </c>
      <c r="Z57" s="159" t="s">
        <v>1343</v>
      </c>
      <c r="AA57" s="159" t="s">
        <v>1344</v>
      </c>
      <c r="AB57" s="159"/>
      <c r="AC57" s="371"/>
      <c r="AD57" s="371"/>
      <c r="AE57" s="371"/>
      <c r="AF57" s="371" t="s">
        <v>1345</v>
      </c>
    </row>
    <row r="58" spans="1:35" s="25" customFormat="1">
      <c r="A58" s="371" t="s">
        <v>1346</v>
      </c>
      <c r="B58" s="371">
        <v>8.1809000000000007E-2</v>
      </c>
      <c r="C58" s="371" t="s">
        <v>28</v>
      </c>
      <c r="D58" s="371">
        <v>0.69397399999999998</v>
      </c>
      <c r="E58" s="371">
        <v>8.5999999999999993E-2</v>
      </c>
      <c r="F58" s="371">
        <v>1.3</v>
      </c>
      <c r="G58" s="371">
        <v>35.310519999999997</v>
      </c>
      <c r="H58" s="371">
        <v>-120.66200000000001</v>
      </c>
      <c r="J58" s="336"/>
      <c r="K58" s="371" t="s">
        <v>627</v>
      </c>
      <c r="L58" s="371"/>
      <c r="M58" s="371" t="s">
        <v>30</v>
      </c>
      <c r="N58" s="371" t="s">
        <v>1314</v>
      </c>
      <c r="O58" s="371"/>
      <c r="P58" s="450">
        <v>18</v>
      </c>
      <c r="Q58" s="393">
        <v>1</v>
      </c>
      <c r="R58" s="393">
        <v>9</v>
      </c>
      <c r="S58" s="450">
        <v>3</v>
      </c>
      <c r="T58" s="506"/>
      <c r="U58" s="591"/>
      <c r="V58" s="573">
        <v>1.9</v>
      </c>
      <c r="W58" s="371" t="s">
        <v>33</v>
      </c>
      <c r="X58" s="371" t="s">
        <v>887</v>
      </c>
      <c r="Y58" s="25" t="s">
        <v>1315</v>
      </c>
      <c r="Z58" s="159" t="s">
        <v>1347</v>
      </c>
      <c r="AA58" s="159" t="s">
        <v>1348</v>
      </c>
      <c r="AB58" s="159"/>
      <c r="AC58" s="371"/>
      <c r="AD58" s="371"/>
      <c r="AE58" s="371"/>
      <c r="AF58" s="371" t="s">
        <v>1349</v>
      </c>
    </row>
    <row r="59" spans="1:35" s="25" customFormat="1">
      <c r="A59" s="371" t="s">
        <v>1350</v>
      </c>
      <c r="B59" s="371">
        <v>5.5920999999999998E-2</v>
      </c>
      <c r="C59" s="371" t="s">
        <v>28</v>
      </c>
      <c r="D59" s="371">
        <v>0.68886999999999998</v>
      </c>
      <c r="E59" s="371">
        <v>0.03</v>
      </c>
      <c r="F59" s="371">
        <v>1.3</v>
      </c>
      <c r="G59" s="371">
        <v>35.310499999999998</v>
      </c>
      <c r="H59" s="371">
        <v>-120.66200000000001</v>
      </c>
      <c r="J59" s="336"/>
      <c r="K59" s="371" t="s">
        <v>627</v>
      </c>
      <c r="L59" s="371"/>
      <c r="M59" s="371" t="s">
        <v>30</v>
      </c>
      <c r="N59" s="371" t="s">
        <v>1314</v>
      </c>
      <c r="O59" s="371"/>
      <c r="P59" s="450">
        <v>18</v>
      </c>
      <c r="Q59" s="393">
        <v>1</v>
      </c>
      <c r="R59" s="393">
        <v>10</v>
      </c>
      <c r="S59" s="450">
        <v>3</v>
      </c>
      <c r="T59" s="506"/>
      <c r="U59" s="591"/>
      <c r="V59" s="573">
        <v>1.1000000000000001</v>
      </c>
      <c r="W59" s="371" t="s">
        <v>33</v>
      </c>
      <c r="X59" s="371" t="s">
        <v>887</v>
      </c>
      <c r="Y59" s="25" t="s">
        <v>1315</v>
      </c>
      <c r="Z59" s="159" t="s">
        <v>1351</v>
      </c>
      <c r="AA59" s="159" t="s">
        <v>1352</v>
      </c>
      <c r="AB59" s="159"/>
      <c r="AC59" s="371"/>
      <c r="AD59" s="371"/>
      <c r="AE59" s="371"/>
      <c r="AF59" s="371" t="s">
        <v>1353</v>
      </c>
    </row>
    <row r="60" spans="1:35" s="25" customFormat="1">
      <c r="A60" s="371" t="s">
        <v>1354</v>
      </c>
      <c r="B60" s="371">
        <v>5.5369000000000002E-2</v>
      </c>
      <c r="C60" s="371" t="s">
        <v>28</v>
      </c>
      <c r="D60" s="371">
        <v>0.65460600000000002</v>
      </c>
      <c r="E60" s="371">
        <v>4.2999999999999997E-2</v>
      </c>
      <c r="F60" s="371">
        <v>1.3</v>
      </c>
      <c r="G60" s="371">
        <v>35.310499999999998</v>
      </c>
      <c r="H60" s="371">
        <v>-120.66200000000001</v>
      </c>
      <c r="J60" s="336"/>
      <c r="K60" s="371" t="s">
        <v>627</v>
      </c>
      <c r="L60" s="371"/>
      <c r="M60" s="371" t="s">
        <v>30</v>
      </c>
      <c r="N60" s="371" t="s">
        <v>1314</v>
      </c>
      <c r="O60" s="371"/>
      <c r="P60" s="450">
        <v>18</v>
      </c>
      <c r="Q60" s="393">
        <v>1</v>
      </c>
      <c r="R60" s="393">
        <v>11</v>
      </c>
      <c r="S60" s="450">
        <v>3</v>
      </c>
      <c r="T60" s="506"/>
      <c r="U60" s="591"/>
      <c r="V60" s="573">
        <v>1.1100000000000001</v>
      </c>
      <c r="W60" s="371" t="s">
        <v>33</v>
      </c>
      <c r="X60" s="371" t="s">
        <v>887</v>
      </c>
      <c r="Y60" s="25" t="s">
        <v>1315</v>
      </c>
      <c r="Z60" s="159" t="s">
        <v>1355</v>
      </c>
      <c r="AA60" s="159" t="s">
        <v>1356</v>
      </c>
      <c r="AB60" s="159"/>
      <c r="AC60" s="371"/>
      <c r="AD60" s="371"/>
      <c r="AE60" s="371"/>
      <c r="AF60" s="371" t="s">
        <v>1357</v>
      </c>
    </row>
    <row r="61" spans="1:35" s="25" customFormat="1">
      <c r="A61" s="371" t="s">
        <v>1358</v>
      </c>
      <c r="B61" s="371">
        <v>7.6773999999999995E-2</v>
      </c>
      <c r="C61" s="371" t="s">
        <v>28</v>
      </c>
      <c r="D61" s="371">
        <v>0.76464100000000002</v>
      </c>
      <c r="E61" s="371">
        <v>9.8000000000000004E-2</v>
      </c>
      <c r="F61" s="371">
        <v>1.3</v>
      </c>
      <c r="G61" s="371">
        <v>35.310490000000001</v>
      </c>
      <c r="H61" s="371">
        <v>-120.66200000000001</v>
      </c>
      <c r="J61" s="336"/>
      <c r="K61" s="371" t="s">
        <v>627</v>
      </c>
      <c r="L61" s="371"/>
      <c r="M61" s="371" t="s">
        <v>30</v>
      </c>
      <c r="N61" s="371" t="s">
        <v>1314</v>
      </c>
      <c r="O61" s="371"/>
      <c r="P61" s="450">
        <v>18</v>
      </c>
      <c r="Q61" s="393">
        <v>1</v>
      </c>
      <c r="R61" s="393">
        <v>12</v>
      </c>
      <c r="S61" s="450">
        <v>3</v>
      </c>
      <c r="T61" s="506"/>
      <c r="U61" s="591"/>
      <c r="V61" s="573"/>
      <c r="W61" s="371" t="s">
        <v>33</v>
      </c>
      <c r="X61" s="371" t="s">
        <v>887</v>
      </c>
      <c r="Y61" s="25" t="s">
        <v>1315</v>
      </c>
      <c r="Z61" s="159" t="s">
        <v>1359</v>
      </c>
      <c r="AA61" s="159" t="s">
        <v>1360</v>
      </c>
      <c r="AB61" s="159"/>
      <c r="AC61" s="371"/>
      <c r="AD61" s="371"/>
      <c r="AE61" s="371"/>
      <c r="AF61" s="371" t="s">
        <v>1361</v>
      </c>
    </row>
    <row r="62" spans="1:35" s="25" customFormat="1">
      <c r="A62" s="371" t="s">
        <v>1362</v>
      </c>
      <c r="B62" s="371">
        <v>8.6984000000000006E-2</v>
      </c>
      <c r="C62" s="371" t="s">
        <v>28</v>
      </c>
      <c r="D62" s="371">
        <v>0.90568000000000004</v>
      </c>
      <c r="E62" s="371">
        <v>9.5000000000000001E-2</v>
      </c>
      <c r="F62" s="371">
        <v>1.3</v>
      </c>
      <c r="G62" s="371">
        <v>35.310490000000001</v>
      </c>
      <c r="H62" s="371">
        <v>-120.66200000000001</v>
      </c>
      <c r="J62" s="336"/>
      <c r="K62" s="371" t="s">
        <v>627</v>
      </c>
      <c r="L62" s="371"/>
      <c r="M62" s="371" t="s">
        <v>30</v>
      </c>
      <c r="N62" s="371" t="s">
        <v>1314</v>
      </c>
      <c r="O62" s="371"/>
      <c r="P62" s="450">
        <v>18</v>
      </c>
      <c r="Q62" s="393">
        <v>1</v>
      </c>
      <c r="R62" s="393">
        <v>13</v>
      </c>
      <c r="S62" s="450">
        <v>3</v>
      </c>
      <c r="T62" s="506"/>
      <c r="U62" s="591"/>
      <c r="V62" s="573"/>
      <c r="W62" s="371" t="s">
        <v>33</v>
      </c>
      <c r="X62" s="371" t="s">
        <v>887</v>
      </c>
      <c r="Y62" s="25" t="s">
        <v>1315</v>
      </c>
      <c r="Z62" s="159" t="s">
        <v>1359</v>
      </c>
      <c r="AA62" s="159" t="s">
        <v>1363</v>
      </c>
      <c r="AB62" s="159"/>
      <c r="AC62" s="371"/>
      <c r="AD62" s="371"/>
      <c r="AE62" s="371"/>
      <c r="AF62" s="371" t="s">
        <v>1364</v>
      </c>
    </row>
    <row r="63" spans="1:35" s="25" customFormat="1">
      <c r="A63" s="371" t="s">
        <v>1365</v>
      </c>
      <c r="B63" s="371">
        <v>5.3434000000000002E-2</v>
      </c>
      <c r="C63" s="371" t="s">
        <v>28</v>
      </c>
      <c r="D63" s="371">
        <v>0.69837499999999997</v>
      </c>
      <c r="E63" s="371">
        <v>3.6999999999999998E-2</v>
      </c>
      <c r="F63" s="371">
        <v>1.3</v>
      </c>
      <c r="G63" s="371">
        <v>35.310470000000002</v>
      </c>
      <c r="H63" s="371">
        <v>-120.66200000000001</v>
      </c>
      <c r="J63" s="336"/>
      <c r="K63" s="371" t="s">
        <v>627</v>
      </c>
      <c r="L63" s="371"/>
      <c r="M63" s="371" t="s">
        <v>30</v>
      </c>
      <c r="N63" s="371" t="s">
        <v>1314</v>
      </c>
      <c r="O63" s="371"/>
      <c r="P63" s="450">
        <v>18</v>
      </c>
      <c r="Q63" s="393">
        <v>1</v>
      </c>
      <c r="R63" s="393">
        <v>14</v>
      </c>
      <c r="S63" s="450">
        <v>3</v>
      </c>
      <c r="T63" s="506"/>
      <c r="U63" s="591"/>
      <c r="V63" s="573"/>
      <c r="W63" s="371" t="s">
        <v>33</v>
      </c>
      <c r="X63" s="371" t="s">
        <v>887</v>
      </c>
      <c r="Y63" s="25" t="s">
        <v>1315</v>
      </c>
      <c r="Z63" s="159" t="s">
        <v>1366</v>
      </c>
      <c r="AA63" s="159" t="s">
        <v>1367</v>
      </c>
      <c r="AB63" s="159"/>
      <c r="AC63" s="371"/>
      <c r="AD63" s="371"/>
      <c r="AE63" s="371"/>
      <c r="AF63" s="371" t="s">
        <v>1368</v>
      </c>
    </row>
    <row r="64" spans="1:35" s="25" customFormat="1">
      <c r="A64" s="371" t="s">
        <v>1369</v>
      </c>
      <c r="B64" s="371">
        <v>5.7357999999999999E-2</v>
      </c>
      <c r="C64" s="371" t="s">
        <v>28</v>
      </c>
      <c r="D64" s="371">
        <v>0.68385200000000002</v>
      </c>
      <c r="E64" s="371">
        <v>4.2999999999999997E-2</v>
      </c>
      <c r="F64" s="371">
        <v>1.3</v>
      </c>
      <c r="G64" s="371">
        <v>35.310479999999998</v>
      </c>
      <c r="H64" s="371">
        <v>-120.66200000000001</v>
      </c>
      <c r="J64" s="336"/>
      <c r="K64" s="371" t="s">
        <v>627</v>
      </c>
      <c r="L64" s="371"/>
      <c r="M64" s="371" t="s">
        <v>30</v>
      </c>
      <c r="N64" s="371" t="s">
        <v>1314</v>
      </c>
      <c r="O64" s="371"/>
      <c r="P64" s="450">
        <v>18</v>
      </c>
      <c r="Q64" s="393">
        <v>1</v>
      </c>
      <c r="R64" s="393">
        <v>15</v>
      </c>
      <c r="S64" s="450">
        <v>3</v>
      </c>
      <c r="T64" s="506"/>
      <c r="U64" s="591"/>
      <c r="V64" s="573"/>
      <c r="W64" s="371" t="s">
        <v>33</v>
      </c>
      <c r="X64" s="371" t="s">
        <v>887</v>
      </c>
      <c r="Y64" s="25" t="s">
        <v>1315</v>
      </c>
      <c r="Z64" s="159" t="s">
        <v>1370</v>
      </c>
      <c r="AA64" s="159" t="s">
        <v>1371</v>
      </c>
      <c r="AB64" s="159"/>
      <c r="AC64" s="371"/>
      <c r="AD64" s="371"/>
      <c r="AE64" s="371"/>
      <c r="AF64" s="371" t="s">
        <v>1372</v>
      </c>
    </row>
    <row r="65" spans="1:35" s="25" customFormat="1">
      <c r="A65" s="371" t="s">
        <v>1373</v>
      </c>
      <c r="B65" s="371">
        <v>5.5171999999999999E-2</v>
      </c>
      <c r="C65" s="371" t="s">
        <v>28</v>
      </c>
      <c r="D65" s="371">
        <v>0.79547000000000001</v>
      </c>
      <c r="E65" s="371">
        <v>3.1E-2</v>
      </c>
      <c r="F65" s="371">
        <v>1.3</v>
      </c>
      <c r="G65" s="371">
        <v>35.310519999999997</v>
      </c>
      <c r="H65" s="371">
        <v>-120.66200000000001</v>
      </c>
      <c r="J65" s="336"/>
      <c r="K65" s="371" t="s">
        <v>627</v>
      </c>
      <c r="L65" s="371"/>
      <c r="M65" s="371" t="s">
        <v>30</v>
      </c>
      <c r="N65" s="371" t="s">
        <v>1314</v>
      </c>
      <c r="O65" s="371"/>
      <c r="P65" s="450">
        <v>18</v>
      </c>
      <c r="Q65" s="393">
        <v>1</v>
      </c>
      <c r="R65" s="393">
        <v>16</v>
      </c>
      <c r="S65" s="450">
        <v>3</v>
      </c>
      <c r="T65" s="506"/>
      <c r="U65" s="591"/>
      <c r="V65" s="573"/>
      <c r="W65" s="371" t="s">
        <v>33</v>
      </c>
      <c r="X65" s="371" t="s">
        <v>887</v>
      </c>
      <c r="Y65" s="25" t="s">
        <v>1315</v>
      </c>
      <c r="Z65" s="159" t="s">
        <v>1374</v>
      </c>
      <c r="AA65" s="159" t="s">
        <v>1375</v>
      </c>
      <c r="AB65" s="159"/>
      <c r="AC65" s="371"/>
      <c r="AD65" s="371"/>
      <c r="AE65" s="371"/>
      <c r="AF65" s="371" t="s">
        <v>1376</v>
      </c>
    </row>
    <row r="66" spans="1:35" s="25" customFormat="1">
      <c r="A66" s="371" t="s">
        <v>1377</v>
      </c>
      <c r="B66" s="371">
        <v>7.3094999999999993E-2</v>
      </c>
      <c r="C66" s="371" t="s">
        <v>28</v>
      </c>
      <c r="D66" s="371">
        <v>0.92736799999999997</v>
      </c>
      <c r="E66" s="371">
        <v>7.4999999999999997E-2</v>
      </c>
      <c r="F66" s="371">
        <v>1.3</v>
      </c>
      <c r="G66" s="371">
        <v>35.310510000000001</v>
      </c>
      <c r="H66" s="371">
        <v>-120.66200000000001</v>
      </c>
      <c r="J66" s="336"/>
      <c r="K66" s="371" t="s">
        <v>627</v>
      </c>
      <c r="L66" s="371"/>
      <c r="M66" s="371" t="s">
        <v>30</v>
      </c>
      <c r="N66" s="371" t="s">
        <v>1314</v>
      </c>
      <c r="O66" s="371"/>
      <c r="P66" s="450">
        <v>18</v>
      </c>
      <c r="Q66" s="393">
        <v>1</v>
      </c>
      <c r="R66" s="393">
        <v>17</v>
      </c>
      <c r="S66" s="450">
        <v>3</v>
      </c>
      <c r="T66" s="506"/>
      <c r="U66" s="591"/>
      <c r="V66" s="573"/>
      <c r="W66" s="371" t="s">
        <v>33</v>
      </c>
      <c r="X66" s="371" t="s">
        <v>887</v>
      </c>
      <c r="Y66" s="25" t="s">
        <v>1315</v>
      </c>
      <c r="Z66" s="159" t="s">
        <v>1378</v>
      </c>
      <c r="AA66" s="159" t="s">
        <v>1379</v>
      </c>
      <c r="AB66" s="159"/>
      <c r="AC66" s="371"/>
      <c r="AD66" s="371"/>
      <c r="AE66" s="371"/>
      <c r="AF66" s="371" t="s">
        <v>1380</v>
      </c>
    </row>
    <row r="67" spans="1:35" s="25" customFormat="1">
      <c r="A67" s="371" t="s">
        <v>1381</v>
      </c>
      <c r="B67" s="371">
        <v>6.2426000000000002E-2</v>
      </c>
      <c r="C67" s="371" t="s">
        <v>28</v>
      </c>
      <c r="D67" s="371">
        <v>1.016775</v>
      </c>
      <c r="E67" s="371">
        <v>6.4000000000000001E-2</v>
      </c>
      <c r="F67" s="371">
        <v>1.3</v>
      </c>
      <c r="G67" s="371">
        <v>35.310490000000001</v>
      </c>
      <c r="H67" s="371">
        <v>-120.66200000000001</v>
      </c>
      <c r="J67" s="336"/>
      <c r="K67" s="371" t="s">
        <v>627</v>
      </c>
      <c r="L67" s="371"/>
      <c r="M67" s="371" t="s">
        <v>30</v>
      </c>
      <c r="N67" s="371" t="s">
        <v>1314</v>
      </c>
      <c r="O67" s="371"/>
      <c r="P67" s="450">
        <v>18</v>
      </c>
      <c r="Q67" s="393">
        <v>1</v>
      </c>
      <c r="R67" s="393">
        <v>18</v>
      </c>
      <c r="S67" s="450">
        <v>3</v>
      </c>
      <c r="T67" s="506"/>
      <c r="U67" s="591"/>
      <c r="V67" s="573"/>
      <c r="W67" s="371" t="s">
        <v>33</v>
      </c>
      <c r="X67" s="371" t="s">
        <v>887</v>
      </c>
      <c r="Y67" s="25" t="s">
        <v>1315</v>
      </c>
      <c r="Z67" s="159" t="s">
        <v>1382</v>
      </c>
      <c r="AA67" s="159" t="s">
        <v>1383</v>
      </c>
      <c r="AB67" s="159"/>
      <c r="AC67" s="371"/>
      <c r="AD67" s="371"/>
      <c r="AE67" s="371"/>
      <c r="AF67" s="371" t="s">
        <v>1384</v>
      </c>
    </row>
    <row r="68" spans="1:35" s="25" customFormat="1">
      <c r="A68" s="371" t="s">
        <v>1385</v>
      </c>
      <c r="B68" s="371">
        <v>7.9772999999999997E-2</v>
      </c>
      <c r="C68" s="371" t="s">
        <v>28</v>
      </c>
      <c r="D68" s="371">
        <v>0.90040900000000001</v>
      </c>
      <c r="E68" s="371">
        <v>7.2999999999999995E-2</v>
      </c>
      <c r="F68" s="371">
        <v>1.3</v>
      </c>
      <c r="G68" s="371">
        <v>35.310470000000002</v>
      </c>
      <c r="H68" s="371">
        <v>-120.66200000000001</v>
      </c>
      <c r="J68" s="336"/>
      <c r="K68" s="371" t="s">
        <v>627</v>
      </c>
      <c r="L68" s="371"/>
      <c r="M68" s="371" t="s">
        <v>30</v>
      </c>
      <c r="N68" s="371" t="s">
        <v>1314</v>
      </c>
      <c r="O68" s="371"/>
      <c r="P68" s="450">
        <v>18</v>
      </c>
      <c r="Q68" s="393">
        <v>1</v>
      </c>
      <c r="R68" s="393">
        <v>19</v>
      </c>
      <c r="S68" s="450">
        <v>3</v>
      </c>
      <c r="T68" s="506"/>
      <c r="U68" s="591"/>
      <c r="V68" s="573"/>
      <c r="W68" s="371" t="s">
        <v>33</v>
      </c>
      <c r="X68" s="371" t="s">
        <v>887</v>
      </c>
      <c r="Y68" s="25" t="s">
        <v>1315</v>
      </c>
      <c r="Z68" s="159" t="s">
        <v>1386</v>
      </c>
      <c r="AA68" s="159" t="s">
        <v>1387</v>
      </c>
      <c r="AB68" s="159"/>
      <c r="AC68" s="371"/>
      <c r="AD68" s="371"/>
      <c r="AE68" s="371"/>
      <c r="AF68" s="371" t="s">
        <v>1388</v>
      </c>
    </row>
    <row r="69" spans="1:35" s="284" customFormat="1">
      <c r="A69" s="372" t="s">
        <v>1389</v>
      </c>
      <c r="B69" s="372">
        <v>6.8231E-2</v>
      </c>
      <c r="C69" s="372" t="s">
        <v>28</v>
      </c>
      <c r="D69" s="372">
        <v>0.51964900000000003</v>
      </c>
      <c r="E69" s="372">
        <v>6.5000000000000002E-2</v>
      </c>
      <c r="F69" s="372">
        <v>1.3</v>
      </c>
      <c r="G69" s="372">
        <v>35.310510000000001</v>
      </c>
      <c r="H69" s="372">
        <v>-120.66200000000001</v>
      </c>
      <c r="J69" s="337"/>
      <c r="K69" s="372" t="s">
        <v>627</v>
      </c>
      <c r="L69" s="372"/>
      <c r="M69" s="372" t="s">
        <v>30</v>
      </c>
      <c r="N69" s="372" t="s">
        <v>1314</v>
      </c>
      <c r="O69" s="372"/>
      <c r="P69" s="450">
        <v>18</v>
      </c>
      <c r="Q69" s="394">
        <v>1</v>
      </c>
      <c r="R69" s="394">
        <v>20</v>
      </c>
      <c r="S69" s="483">
        <v>3</v>
      </c>
      <c r="T69" s="507"/>
      <c r="U69" s="594"/>
      <c r="V69" s="574"/>
      <c r="W69" s="372" t="s">
        <v>33</v>
      </c>
      <c r="X69" s="372" t="s">
        <v>887</v>
      </c>
      <c r="Y69" s="284" t="s">
        <v>1315</v>
      </c>
      <c r="Z69" s="289" t="s">
        <v>1390</v>
      </c>
      <c r="AA69" s="289" t="s">
        <v>1391</v>
      </c>
      <c r="AB69" s="289"/>
      <c r="AC69" s="372"/>
      <c r="AD69" s="372"/>
      <c r="AE69" s="372"/>
      <c r="AF69" s="372" t="s">
        <v>1392</v>
      </c>
    </row>
    <row r="70" spans="1:35">
      <c r="A70" s="22" t="s">
        <v>891</v>
      </c>
      <c r="B70" s="23">
        <v>0.40396196746897001</v>
      </c>
      <c r="C70" s="22" t="s">
        <v>28</v>
      </c>
      <c r="D70" s="24">
        <v>12.976625442504799</v>
      </c>
      <c r="E70" s="22">
        <v>0.42599999999999999</v>
      </c>
      <c r="F70" s="22">
        <v>12.4</v>
      </c>
      <c r="G70" s="22">
        <v>35.310381957813803</v>
      </c>
      <c r="H70" s="22">
        <v>-120.66199344976501</v>
      </c>
      <c r="I70" s="22">
        <v>35.3103802573333</v>
      </c>
      <c r="J70" s="329">
        <v>-120.662031673166</v>
      </c>
      <c r="K70" s="22" t="s">
        <v>627</v>
      </c>
      <c r="L70" s="22"/>
      <c r="M70" s="22" t="s">
        <v>30</v>
      </c>
      <c r="N70" s="22" t="s">
        <v>628</v>
      </c>
      <c r="O70" s="141">
        <v>4</v>
      </c>
      <c r="P70" s="441">
        <v>19</v>
      </c>
      <c r="Q70" s="142">
        <v>1</v>
      </c>
      <c r="R70" s="141">
        <v>1</v>
      </c>
      <c r="S70" s="473">
        <v>3</v>
      </c>
      <c r="T70" s="501"/>
      <c r="U70" s="587"/>
      <c r="V70" s="382"/>
      <c r="W70" s="22" t="s">
        <v>33</v>
      </c>
      <c r="X70" s="22" t="s">
        <v>71</v>
      </c>
      <c r="Y70" s="22" t="s">
        <v>1393</v>
      </c>
      <c r="Z70" s="160" t="s">
        <v>892</v>
      </c>
      <c r="AA70" s="160" t="s">
        <v>893</v>
      </c>
      <c r="AB70" s="22"/>
      <c r="AC70" s="22"/>
      <c r="AD70" s="22"/>
      <c r="AE70" s="22"/>
      <c r="AF70" s="22" t="s">
        <v>894</v>
      </c>
      <c r="AG70" s="22"/>
      <c r="AH70" s="22"/>
      <c r="AI70" s="22"/>
    </row>
    <row r="71" spans="1:35">
      <c r="A71" s="22" t="s">
        <v>895</v>
      </c>
      <c r="B71" s="23">
        <v>0.147823812458834</v>
      </c>
      <c r="C71" s="22" t="s">
        <v>28</v>
      </c>
      <c r="D71" s="24">
        <v>1.28171122074127</v>
      </c>
      <c r="E71" s="22">
        <v>0.17799999999999999</v>
      </c>
      <c r="F71" s="22">
        <v>1.3</v>
      </c>
      <c r="G71" s="22">
        <v>35.310401781800799</v>
      </c>
      <c r="H71" s="22">
        <v>-120.66201610534701</v>
      </c>
      <c r="I71" s="22"/>
      <c r="J71" s="329"/>
      <c r="K71" s="22" t="s">
        <v>627</v>
      </c>
      <c r="L71" s="22"/>
      <c r="M71" s="22" t="s">
        <v>30</v>
      </c>
      <c r="N71" s="22" t="s">
        <v>628</v>
      </c>
      <c r="O71" s="141">
        <v>4</v>
      </c>
      <c r="P71" s="441">
        <v>19</v>
      </c>
      <c r="Q71" s="142">
        <v>1</v>
      </c>
      <c r="R71" s="141">
        <v>2</v>
      </c>
      <c r="S71" s="473">
        <v>3</v>
      </c>
      <c r="T71" s="501"/>
      <c r="U71" s="587"/>
      <c r="V71" s="382"/>
      <c r="W71" s="22" t="s">
        <v>33</v>
      </c>
      <c r="X71" s="22" t="s">
        <v>71</v>
      </c>
      <c r="Y71" s="22" t="s">
        <v>1393</v>
      </c>
      <c r="Z71" s="160" t="s">
        <v>896</v>
      </c>
      <c r="AA71" s="160" t="s">
        <v>897</v>
      </c>
      <c r="AB71" s="22"/>
      <c r="AC71" s="22"/>
      <c r="AD71" s="22"/>
      <c r="AE71" s="22"/>
      <c r="AF71" s="22" t="s">
        <v>898</v>
      </c>
      <c r="AG71" s="22"/>
      <c r="AH71" s="22"/>
      <c r="AI71" s="22"/>
    </row>
    <row r="72" spans="1:35" s="175" customFormat="1">
      <c r="A72" s="295" t="s">
        <v>899</v>
      </c>
      <c r="B72" s="416">
        <v>0.203557256658499</v>
      </c>
      <c r="C72" s="295" t="s">
        <v>28</v>
      </c>
      <c r="D72" s="417">
        <v>1.3093278408050499</v>
      </c>
      <c r="E72" s="295">
        <v>0.25</v>
      </c>
      <c r="F72" s="295">
        <v>1.3</v>
      </c>
      <c r="G72" s="295">
        <v>35.3103931154794</v>
      </c>
      <c r="H72" s="295">
        <v>-120.662020292271</v>
      </c>
      <c r="I72" s="295"/>
      <c r="J72" s="330"/>
      <c r="K72" s="295" t="s">
        <v>627</v>
      </c>
      <c r="L72" s="295"/>
      <c r="M72" s="295" t="s">
        <v>30</v>
      </c>
      <c r="N72" s="295" t="s">
        <v>628</v>
      </c>
      <c r="O72" s="296">
        <v>4</v>
      </c>
      <c r="P72" s="442">
        <v>19</v>
      </c>
      <c r="Q72" s="297">
        <v>1</v>
      </c>
      <c r="R72" s="296">
        <v>3</v>
      </c>
      <c r="S72" s="474">
        <v>3</v>
      </c>
      <c r="T72" s="505"/>
      <c r="U72" s="590"/>
      <c r="V72" s="575"/>
      <c r="W72" s="295" t="s">
        <v>33</v>
      </c>
      <c r="X72" s="295" t="s">
        <v>71</v>
      </c>
      <c r="Y72" s="295" t="s">
        <v>1393</v>
      </c>
      <c r="Z72" s="306" t="s">
        <v>900</v>
      </c>
      <c r="AA72" s="306" t="s">
        <v>901</v>
      </c>
      <c r="AB72" s="295"/>
      <c r="AC72" s="295"/>
      <c r="AD72" s="295"/>
      <c r="AE72" s="295"/>
      <c r="AF72" s="295" t="s">
        <v>902</v>
      </c>
      <c r="AG72" s="295"/>
      <c r="AH72" s="295"/>
      <c r="AI72" s="295"/>
    </row>
    <row r="73" spans="1:35" s="351" customFormat="1" ht="29.1">
      <c r="B73" s="405"/>
      <c r="D73" s="406"/>
      <c r="F73" s="351">
        <v>4.2</v>
      </c>
      <c r="I73" s="351" t="s">
        <v>1394</v>
      </c>
      <c r="J73" s="427" t="s">
        <v>1395</v>
      </c>
      <c r="O73" s="407"/>
      <c r="P73" s="448">
        <v>20</v>
      </c>
      <c r="Q73" s="408">
        <v>1</v>
      </c>
      <c r="R73" s="407">
        <v>1</v>
      </c>
      <c r="S73" s="481">
        <v>3</v>
      </c>
      <c r="T73" s="481"/>
      <c r="U73" s="592" t="s">
        <v>1396</v>
      </c>
      <c r="V73" s="572"/>
      <c r="X73" s="351" t="s">
        <v>1397</v>
      </c>
      <c r="Y73" s="351" t="s">
        <v>1398</v>
      </c>
      <c r="Z73" s="409"/>
      <c r="AA73" s="409"/>
    </row>
    <row r="74" spans="1:35">
      <c r="A74" s="19" t="s">
        <v>356</v>
      </c>
      <c r="B74" s="20">
        <v>0.221186151251417</v>
      </c>
      <c r="C74" s="19" t="s">
        <v>28</v>
      </c>
      <c r="D74" s="21">
        <v>11.3740901947021</v>
      </c>
      <c r="E74" s="19">
        <v>0.252</v>
      </c>
      <c r="F74" s="19">
        <v>10.7</v>
      </c>
      <c r="G74" s="19">
        <v>35.309492013185597</v>
      </c>
      <c r="H74" s="19">
        <v>-120.662629281432</v>
      </c>
      <c r="I74" s="19">
        <v>35.310191597500001</v>
      </c>
      <c r="J74" s="338">
        <v>-120.66294271999899</v>
      </c>
      <c r="K74" s="19" t="s">
        <v>29</v>
      </c>
      <c r="L74" s="19">
        <v>1.1920037269592201</v>
      </c>
      <c r="M74" s="19" t="s">
        <v>30</v>
      </c>
      <c r="N74" s="19" t="s">
        <v>337</v>
      </c>
      <c r="O74" s="81"/>
      <c r="P74" s="451">
        <v>21</v>
      </c>
      <c r="Q74" s="104">
        <v>1</v>
      </c>
      <c r="R74" s="81">
        <v>1</v>
      </c>
      <c r="S74" s="484">
        <v>5</v>
      </c>
      <c r="T74" s="501" t="s">
        <v>1179</v>
      </c>
      <c r="U74" s="595"/>
      <c r="V74" s="383" t="s">
        <v>357</v>
      </c>
      <c r="W74" s="19" t="s">
        <v>33</v>
      </c>
      <c r="X74" s="19" t="s">
        <v>351</v>
      </c>
      <c r="Y74" s="19" t="s">
        <v>1399</v>
      </c>
      <c r="Z74" s="3" t="s">
        <v>358</v>
      </c>
      <c r="AA74" s="3" t="s">
        <v>359</v>
      </c>
      <c r="AB74" s="3" t="s">
        <v>360</v>
      </c>
      <c r="AC74">
        <v>0.22237318840579701</v>
      </c>
      <c r="AD74">
        <v>0.92293465137481601</v>
      </c>
      <c r="AE74">
        <v>0.19862989007389201</v>
      </c>
      <c r="AF74" t="s">
        <v>361</v>
      </c>
    </row>
    <row r="75" spans="1:35">
      <c r="A75" s="19" t="s">
        <v>362</v>
      </c>
      <c r="B75" s="20">
        <v>0.13553993788621399</v>
      </c>
      <c r="C75" s="19" t="s">
        <v>28</v>
      </c>
      <c r="D75" s="21">
        <v>1.2165282964706401</v>
      </c>
      <c r="E75" s="19">
        <v>0.14499999999999999</v>
      </c>
      <c r="F75" s="19">
        <v>1.3</v>
      </c>
      <c r="G75" s="19">
        <v>35.3032646099999</v>
      </c>
      <c r="H75" s="19">
        <v>-120.65733337</v>
      </c>
      <c r="I75" s="19"/>
      <c r="J75" s="338"/>
      <c r="K75" s="19" t="s">
        <v>29</v>
      </c>
      <c r="L75" s="19">
        <v>0.75327992439269997</v>
      </c>
      <c r="M75" s="19" t="s">
        <v>30</v>
      </c>
      <c r="N75" s="19" t="s">
        <v>337</v>
      </c>
      <c r="O75" s="81"/>
      <c r="P75" s="451">
        <v>21</v>
      </c>
      <c r="Q75" s="104">
        <v>1</v>
      </c>
      <c r="R75" s="81">
        <v>2</v>
      </c>
      <c r="S75" s="484">
        <v>5</v>
      </c>
      <c r="T75" s="496"/>
      <c r="U75" s="595"/>
      <c r="V75" s="383" t="s">
        <v>363</v>
      </c>
      <c r="W75" s="19" t="s">
        <v>33</v>
      </c>
      <c r="X75" s="19" t="s">
        <v>351</v>
      </c>
      <c r="Y75" s="19" t="s">
        <v>1399</v>
      </c>
      <c r="Z75" s="3" t="s">
        <v>364</v>
      </c>
      <c r="AA75" s="3" t="s">
        <v>365</v>
      </c>
      <c r="AB75" s="3" t="s">
        <v>366</v>
      </c>
      <c r="AC75">
        <v>0.24053030303030301</v>
      </c>
      <c r="AD75">
        <v>0.50408357381820601</v>
      </c>
      <c r="AE75">
        <v>0.12084945380250001</v>
      </c>
      <c r="AF75" t="s">
        <v>367</v>
      </c>
    </row>
    <row r="76" spans="1:35">
      <c r="A76" s="19" t="s">
        <v>368</v>
      </c>
      <c r="B76" s="20">
        <v>0.14918288691336501</v>
      </c>
      <c r="C76" s="19" t="s">
        <v>28</v>
      </c>
      <c r="D76" s="21">
        <v>1.1127357482910101</v>
      </c>
      <c r="E76" s="19">
        <v>0.157</v>
      </c>
      <c r="F76" s="19">
        <v>1.3</v>
      </c>
      <c r="G76" s="19">
        <v>35.303264706993701</v>
      </c>
      <c r="H76" s="19">
        <v>-120.657333442225</v>
      </c>
      <c r="I76" s="19"/>
      <c r="J76" s="338"/>
      <c r="K76" s="19" t="s">
        <v>29</v>
      </c>
      <c r="L76" s="19">
        <v>1.05742835998535</v>
      </c>
      <c r="M76" s="19" t="s">
        <v>30</v>
      </c>
      <c r="N76" s="19" t="s">
        <v>337</v>
      </c>
      <c r="O76" s="81"/>
      <c r="P76" s="451">
        <v>21</v>
      </c>
      <c r="Q76" s="104">
        <v>1</v>
      </c>
      <c r="R76" s="81">
        <v>3</v>
      </c>
      <c r="S76" s="484">
        <v>5</v>
      </c>
      <c r="T76" s="496"/>
      <c r="U76" s="595"/>
      <c r="V76" s="383" t="s">
        <v>369</v>
      </c>
      <c r="W76" s="19" t="s">
        <v>33</v>
      </c>
      <c r="X76" s="19" t="s">
        <v>351</v>
      </c>
      <c r="Y76" s="19" t="s">
        <v>1399</v>
      </c>
      <c r="Z76" s="3" t="s">
        <v>370</v>
      </c>
      <c r="AA76" s="3" t="s">
        <v>371</v>
      </c>
      <c r="AB76" s="3" t="s">
        <v>372</v>
      </c>
      <c r="AC76">
        <v>0.235369318181818</v>
      </c>
      <c r="AD76">
        <v>0.56262013316154402</v>
      </c>
      <c r="AE76">
        <v>0.13627783390395701</v>
      </c>
      <c r="AF76" t="s">
        <v>373</v>
      </c>
    </row>
    <row r="77" spans="1:35">
      <c r="A77" s="19" t="s">
        <v>374</v>
      </c>
      <c r="B77" s="20">
        <v>0.13908360518961099</v>
      </c>
      <c r="C77" s="19" t="s">
        <v>28</v>
      </c>
      <c r="D77" s="21">
        <v>1.3024827241897501</v>
      </c>
      <c r="E77" s="19">
        <v>0.158</v>
      </c>
      <c r="F77" s="19">
        <v>1.3</v>
      </c>
      <c r="G77" s="19">
        <v>35.3098768764699</v>
      </c>
      <c r="H77" s="19">
        <v>-120.66292651009999</v>
      </c>
      <c r="I77" s="19"/>
      <c r="J77" s="338"/>
      <c r="K77" s="19" t="s">
        <v>29</v>
      </c>
      <c r="L77" s="19">
        <v>1.01283490657806</v>
      </c>
      <c r="M77" s="19" t="s">
        <v>30</v>
      </c>
      <c r="N77" s="19" t="s">
        <v>337</v>
      </c>
      <c r="O77" s="81"/>
      <c r="P77" s="451">
        <v>21</v>
      </c>
      <c r="Q77" s="104">
        <v>1</v>
      </c>
      <c r="R77" s="81">
        <v>4</v>
      </c>
      <c r="S77" s="484">
        <v>5</v>
      </c>
      <c r="T77" s="496"/>
      <c r="U77" s="595"/>
      <c r="V77" s="383" t="s">
        <v>375</v>
      </c>
      <c r="W77" s="19" t="s">
        <v>33</v>
      </c>
      <c r="X77" s="19" t="s">
        <v>351</v>
      </c>
      <c r="Y77" s="19" t="s">
        <v>1399</v>
      </c>
      <c r="Z77" s="3" t="s">
        <v>376</v>
      </c>
      <c r="AA77" s="3" t="s">
        <v>377</v>
      </c>
      <c r="AB77" s="3" t="s">
        <v>378</v>
      </c>
      <c r="AC77">
        <v>0.24887305068226101</v>
      </c>
      <c r="AD77">
        <v>0.89075145125389099</v>
      </c>
      <c r="AE77">
        <v>0.125560876937726</v>
      </c>
      <c r="AF77" t="s">
        <v>379</v>
      </c>
    </row>
    <row r="78" spans="1:35">
      <c r="A78" s="19" t="s">
        <v>380</v>
      </c>
      <c r="B78" s="20">
        <v>7.4121627462758494E-2</v>
      </c>
      <c r="C78" s="19" t="s">
        <v>28</v>
      </c>
      <c r="D78" s="21">
        <v>13.93394947052</v>
      </c>
      <c r="E78" s="19">
        <v>6.7000000000000004E-2</v>
      </c>
      <c r="F78" s="19">
        <v>1.3</v>
      </c>
      <c r="G78" s="19">
        <v>35.3095311208533</v>
      </c>
      <c r="H78" s="19">
        <v>-120.662869171854</v>
      </c>
      <c r="I78" s="19"/>
      <c r="J78" s="338"/>
      <c r="K78" s="19" t="s">
        <v>29</v>
      </c>
      <c r="L78" s="19">
        <v>-0.79454213380813599</v>
      </c>
      <c r="M78" s="19" t="s">
        <v>30</v>
      </c>
      <c r="N78" s="19" t="s">
        <v>337</v>
      </c>
      <c r="O78" s="81"/>
      <c r="P78" s="451">
        <v>21</v>
      </c>
      <c r="Q78" s="104">
        <v>1</v>
      </c>
      <c r="R78" s="81">
        <v>5</v>
      </c>
      <c r="S78" s="484">
        <v>5</v>
      </c>
      <c r="T78" s="496"/>
      <c r="U78" s="595"/>
      <c r="V78" s="383" t="s">
        <v>381</v>
      </c>
      <c r="W78" s="19" t="s">
        <v>33</v>
      </c>
      <c r="X78" s="19" t="s">
        <v>351</v>
      </c>
      <c r="Y78" s="19" t="s">
        <v>1399</v>
      </c>
      <c r="Z78" s="3" t="s">
        <v>382</v>
      </c>
      <c r="AA78" s="3" t="s">
        <v>383</v>
      </c>
      <c r="AB78" s="3" t="s">
        <v>384</v>
      </c>
      <c r="AC78">
        <v>0.23707837301587301</v>
      </c>
      <c r="AD78">
        <v>0.27296152710914601</v>
      </c>
      <c r="AE78">
        <v>6.55480000290833E-2</v>
      </c>
      <c r="AF78" t="s">
        <v>385</v>
      </c>
    </row>
    <row r="79" spans="1:35">
      <c r="A79" s="19" t="s">
        <v>386</v>
      </c>
      <c r="B79" s="20">
        <v>0.117513367990065</v>
      </c>
      <c r="C79" s="19" t="s">
        <v>28</v>
      </c>
      <c r="D79" s="21">
        <v>1.3172624111175499</v>
      </c>
      <c r="E79" s="19">
        <v>0.13100000000000001</v>
      </c>
      <c r="F79" s="19">
        <v>1.3</v>
      </c>
      <c r="G79" s="19">
        <v>35.309622873601</v>
      </c>
      <c r="H79" s="19">
        <v>-120.66294823806</v>
      </c>
      <c r="I79" s="19"/>
      <c r="J79" s="338"/>
      <c r="K79" s="19" t="s">
        <v>29</v>
      </c>
      <c r="L79" s="19">
        <v>1.1626662015914899</v>
      </c>
      <c r="M79" s="19" t="s">
        <v>30</v>
      </c>
      <c r="N79" s="19" t="s">
        <v>337</v>
      </c>
      <c r="O79" s="81"/>
      <c r="P79" s="451">
        <v>21</v>
      </c>
      <c r="Q79" s="104">
        <v>1</v>
      </c>
      <c r="R79" s="81">
        <v>6</v>
      </c>
      <c r="S79" s="484">
        <v>5</v>
      </c>
      <c r="T79" s="496"/>
      <c r="U79" s="595"/>
      <c r="V79" s="383" t="s">
        <v>387</v>
      </c>
      <c r="W79" s="19" t="s">
        <v>33</v>
      </c>
      <c r="X79" s="19" t="s">
        <v>351</v>
      </c>
      <c r="Y79" s="19" t="s">
        <v>1399</v>
      </c>
      <c r="Z79" s="3" t="s">
        <v>388</v>
      </c>
      <c r="AA79" s="3" t="s">
        <v>389</v>
      </c>
      <c r="AB79" s="3" t="s">
        <v>390</v>
      </c>
      <c r="AC79">
        <v>0.23929398148148101</v>
      </c>
      <c r="AD79">
        <v>0.49815532565116799</v>
      </c>
      <c r="AE79">
        <v>0.116253005374996</v>
      </c>
      <c r="AF79" t="s">
        <v>391</v>
      </c>
    </row>
    <row r="80" spans="1:35">
      <c r="A80" s="19" t="s">
        <v>392</v>
      </c>
      <c r="B80" s="20">
        <v>0.15659395255515901</v>
      </c>
      <c r="C80" s="19" t="s">
        <v>28</v>
      </c>
      <c r="D80" s="21">
        <v>1.3075646162032999</v>
      </c>
      <c r="E80" s="19">
        <v>0.17399999999999999</v>
      </c>
      <c r="F80" s="19">
        <v>1.3</v>
      </c>
      <c r="G80" s="19">
        <v>35.3065509959374</v>
      </c>
      <c r="H80" s="19">
        <v>-120.659471695671</v>
      </c>
      <c r="I80" s="19"/>
      <c r="J80" s="338"/>
      <c r="K80" s="19" t="s">
        <v>29</v>
      </c>
      <c r="L80" s="19">
        <v>1.2949794530868499</v>
      </c>
      <c r="M80" s="19" t="s">
        <v>30</v>
      </c>
      <c r="N80" s="19" t="s">
        <v>337</v>
      </c>
      <c r="O80" s="81"/>
      <c r="P80" s="451">
        <v>21</v>
      </c>
      <c r="Q80" s="104">
        <v>1</v>
      </c>
      <c r="R80" s="81">
        <v>7</v>
      </c>
      <c r="S80" s="484">
        <v>5</v>
      </c>
      <c r="T80" s="496"/>
      <c r="U80" s="595"/>
      <c r="V80" s="383" t="s">
        <v>393</v>
      </c>
      <c r="W80" s="19" t="s">
        <v>33</v>
      </c>
      <c r="X80" s="19" t="s">
        <v>351</v>
      </c>
      <c r="Y80" s="19" t="s">
        <v>1399</v>
      </c>
      <c r="Z80" s="3" t="s">
        <v>394</v>
      </c>
      <c r="AA80" s="3" t="s">
        <v>395</v>
      </c>
      <c r="AB80" s="3" t="s">
        <v>396</v>
      </c>
      <c r="AC80">
        <v>0.242476851851851</v>
      </c>
      <c r="AD80">
        <v>0.67710343003272999</v>
      </c>
      <c r="AE80">
        <v>0.140455085609513</v>
      </c>
      <c r="AF80" t="s">
        <v>397</v>
      </c>
    </row>
    <row r="81" spans="1:51" s="175" customFormat="1">
      <c r="A81" s="263" t="s">
        <v>398</v>
      </c>
      <c r="B81" s="264">
        <v>0.109155022103293</v>
      </c>
      <c r="C81" s="263" t="s">
        <v>28</v>
      </c>
      <c r="D81" s="265">
        <v>0.54644340276718095</v>
      </c>
      <c r="E81" s="263">
        <v>0.12</v>
      </c>
      <c r="F81" s="263">
        <v>1.3</v>
      </c>
      <c r="G81" s="263">
        <v>35.307586147958503</v>
      </c>
      <c r="H81" s="263">
        <v>-120.660456831663</v>
      </c>
      <c r="I81" s="263"/>
      <c r="J81" s="332"/>
      <c r="K81" s="263" t="s">
        <v>29</v>
      </c>
      <c r="L81" s="263">
        <v>-3.88155889511108</v>
      </c>
      <c r="M81" s="263" t="s">
        <v>30</v>
      </c>
      <c r="N81" s="263" t="s">
        <v>337</v>
      </c>
      <c r="O81" s="266"/>
      <c r="P81" s="451">
        <v>21</v>
      </c>
      <c r="Q81" s="267">
        <v>1</v>
      </c>
      <c r="R81" s="266">
        <v>8</v>
      </c>
      <c r="S81" s="485">
        <v>5</v>
      </c>
      <c r="T81" s="508"/>
      <c r="U81" s="596"/>
      <c r="V81" s="384" t="s">
        <v>399</v>
      </c>
      <c r="W81" s="263" t="s">
        <v>33</v>
      </c>
      <c r="X81" s="263" t="s">
        <v>351</v>
      </c>
      <c r="Y81" s="263" t="s">
        <v>1399</v>
      </c>
      <c r="Z81" s="268" t="s">
        <v>400</v>
      </c>
      <c r="AA81" s="268" t="s">
        <v>401</v>
      </c>
      <c r="AB81" s="268" t="s">
        <v>402</v>
      </c>
      <c r="AC81" s="175">
        <v>0.24945023148148099</v>
      </c>
      <c r="AD81" s="175">
        <v>0.40148279070854098</v>
      </c>
      <c r="AE81" s="175">
        <v>9.7942508468147005E-2</v>
      </c>
      <c r="AF81" s="175" t="s">
        <v>403</v>
      </c>
    </row>
    <row r="82" spans="1:51">
      <c r="A82" s="19" t="s">
        <v>404</v>
      </c>
      <c r="B82" s="20">
        <v>0.32360393785874397</v>
      </c>
      <c r="C82" s="19" t="s">
        <v>28</v>
      </c>
      <c r="D82" s="21">
        <v>13.874636650085399</v>
      </c>
      <c r="E82" s="19">
        <v>0.35199999999999998</v>
      </c>
      <c r="F82" s="19">
        <v>13.2</v>
      </c>
      <c r="G82" s="19">
        <v>35.309666337867696</v>
      </c>
      <c r="H82" s="19">
        <v>-120.662903349498</v>
      </c>
      <c r="I82" s="19">
        <v>35.310182318499997</v>
      </c>
      <c r="J82" s="338">
        <v>-120.6628829175</v>
      </c>
      <c r="K82" s="19" t="s">
        <v>29</v>
      </c>
      <c r="L82" s="19">
        <v>1.3900855779647801</v>
      </c>
      <c r="M82" s="19" t="s">
        <v>30</v>
      </c>
      <c r="N82" s="19" t="s">
        <v>337</v>
      </c>
      <c r="O82" s="81"/>
      <c r="P82" s="451">
        <v>21</v>
      </c>
      <c r="Q82" s="81">
        <v>2</v>
      </c>
      <c r="R82" s="81">
        <v>1</v>
      </c>
      <c r="S82" s="484">
        <v>5</v>
      </c>
      <c r="T82" s="496" t="s">
        <v>1179</v>
      </c>
      <c r="U82" s="595"/>
      <c r="V82" s="383" t="s">
        <v>405</v>
      </c>
      <c r="W82" s="19" t="s">
        <v>33</v>
      </c>
      <c r="X82" s="19" t="s">
        <v>351</v>
      </c>
      <c r="Y82" s="19" t="s">
        <v>1399</v>
      </c>
      <c r="Z82" s="3" t="s">
        <v>406</v>
      </c>
      <c r="AA82" s="3" t="s">
        <v>407</v>
      </c>
      <c r="AB82" s="3" t="s">
        <v>408</v>
      </c>
      <c r="AC82">
        <v>0.24374999999999999</v>
      </c>
      <c r="AD82">
        <v>1.24966847896575</v>
      </c>
      <c r="AE82">
        <v>0.29195579660458498</v>
      </c>
      <c r="AF82" t="s">
        <v>409</v>
      </c>
    </row>
    <row r="83" spans="1:51" s="175" customFormat="1">
      <c r="A83" s="263" t="s">
        <v>410</v>
      </c>
      <c r="B83" s="264">
        <v>9.4102393941898094E-2</v>
      </c>
      <c r="C83" s="263" t="s">
        <v>28</v>
      </c>
      <c r="D83" s="265">
        <v>30.706323623657202</v>
      </c>
      <c r="E83" s="263">
        <v>0.14000000000000001</v>
      </c>
      <c r="F83" s="263">
        <v>1.3</v>
      </c>
      <c r="G83" s="263">
        <v>35.309523514945198</v>
      </c>
      <c r="H83" s="263">
        <v>-120.662654004484</v>
      </c>
      <c r="I83" s="263"/>
      <c r="J83" s="332"/>
      <c r="K83" s="263" t="s">
        <v>29</v>
      </c>
      <c r="L83" s="263">
        <v>5.3221473693847603</v>
      </c>
      <c r="M83" s="263" t="s">
        <v>30</v>
      </c>
      <c r="N83" s="263" t="s">
        <v>337</v>
      </c>
      <c r="O83" s="266"/>
      <c r="P83" s="451">
        <v>21</v>
      </c>
      <c r="Q83" s="266">
        <v>2</v>
      </c>
      <c r="R83" s="266">
        <v>2</v>
      </c>
      <c r="S83" s="485">
        <v>5</v>
      </c>
      <c r="T83" s="508"/>
      <c r="U83" s="596"/>
      <c r="V83" s="384" t="s">
        <v>411</v>
      </c>
      <c r="W83" s="263" t="s">
        <v>33</v>
      </c>
      <c r="X83" s="263" t="s">
        <v>351</v>
      </c>
      <c r="Y83" s="263" t="s">
        <v>1399</v>
      </c>
      <c r="Z83" s="268" t="s">
        <v>412</v>
      </c>
      <c r="AA83" s="268" t="s">
        <v>413</v>
      </c>
      <c r="AB83" s="268" t="s">
        <v>414</v>
      </c>
      <c r="AC83" s="175">
        <v>0.24877450980392099</v>
      </c>
      <c r="AD83" s="175">
        <v>0.41005316376686002</v>
      </c>
      <c r="AE83" s="175">
        <v>8.3791647989845605E-2</v>
      </c>
      <c r="AF83" s="175" t="s">
        <v>415</v>
      </c>
    </row>
    <row r="84" spans="1:51" s="262" customFormat="1">
      <c r="A84" s="19" t="s">
        <v>416</v>
      </c>
      <c r="B84" s="20">
        <v>0.27565844900199299</v>
      </c>
      <c r="C84" s="19" t="s">
        <v>28</v>
      </c>
      <c r="D84" s="21">
        <v>13.894880294799799</v>
      </c>
      <c r="E84" s="19">
        <v>0.28000000000000003</v>
      </c>
      <c r="F84" s="19">
        <v>13</v>
      </c>
      <c r="G84" s="19">
        <v>35.309474850523202</v>
      </c>
      <c r="H84" s="19">
        <v>-120.66243235619</v>
      </c>
      <c r="I84" s="19">
        <v>35.3102103111666</v>
      </c>
      <c r="J84" s="338">
        <v>-120.66289563266599</v>
      </c>
      <c r="K84" s="19" t="s">
        <v>29</v>
      </c>
      <c r="L84" s="19">
        <v>1.24861359596252</v>
      </c>
      <c r="M84" s="19" t="s">
        <v>30</v>
      </c>
      <c r="N84" s="19" t="s">
        <v>337</v>
      </c>
      <c r="O84" s="81"/>
      <c r="P84" s="451">
        <v>21</v>
      </c>
      <c r="Q84" s="81">
        <v>3</v>
      </c>
      <c r="R84" s="81">
        <v>1</v>
      </c>
      <c r="S84" s="484">
        <v>5</v>
      </c>
      <c r="T84" s="496" t="s">
        <v>1179</v>
      </c>
      <c r="U84" s="595"/>
      <c r="V84" s="383" t="s">
        <v>417</v>
      </c>
      <c r="W84" s="19" t="s">
        <v>33</v>
      </c>
      <c r="X84" s="19" t="s">
        <v>351</v>
      </c>
      <c r="Y84" s="19" t="s">
        <v>1399</v>
      </c>
      <c r="Z84" s="3" t="s">
        <v>418</v>
      </c>
      <c r="AA84" s="3" t="s">
        <v>419</v>
      </c>
      <c r="AB84" s="3" t="s">
        <v>420</v>
      </c>
      <c r="AC84">
        <v>0.23342803030303</v>
      </c>
      <c r="AD84">
        <v>1.0602986812591499</v>
      </c>
      <c r="AE84">
        <v>0.24898125502066301</v>
      </c>
      <c r="AF84" t="s">
        <v>421</v>
      </c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spans="1:51" s="270" customFormat="1">
      <c r="A85" s="263" t="s">
        <v>422</v>
      </c>
      <c r="B85" s="264">
        <v>0.115429212849173</v>
      </c>
      <c r="C85" s="263" t="s">
        <v>28</v>
      </c>
      <c r="D85" s="265">
        <v>1.7329024076461701</v>
      </c>
      <c r="E85" s="263">
        <v>0.11700000000000001</v>
      </c>
      <c r="F85" s="263">
        <v>1.3</v>
      </c>
      <c r="G85" s="263">
        <v>35.309458242985599</v>
      </c>
      <c r="H85" s="263">
        <v>-120.66276379094801</v>
      </c>
      <c r="I85" s="263"/>
      <c r="J85" s="332"/>
      <c r="K85" s="263" t="s">
        <v>29</v>
      </c>
      <c r="L85" s="263">
        <v>2.0917541980743399</v>
      </c>
      <c r="M85" s="263" t="s">
        <v>30</v>
      </c>
      <c r="N85" s="263" t="s">
        <v>337</v>
      </c>
      <c r="O85" s="266"/>
      <c r="P85" s="451">
        <v>21</v>
      </c>
      <c r="Q85" s="266">
        <v>3</v>
      </c>
      <c r="R85" s="266">
        <v>2</v>
      </c>
      <c r="S85" s="485">
        <v>5</v>
      </c>
      <c r="T85" s="508"/>
      <c r="U85" s="596"/>
      <c r="V85" s="384" t="s">
        <v>423</v>
      </c>
      <c r="W85" s="263" t="s">
        <v>33</v>
      </c>
      <c r="X85" s="263" t="s">
        <v>351</v>
      </c>
      <c r="Y85" s="19" t="s">
        <v>1399</v>
      </c>
      <c r="Z85" s="268" t="s">
        <v>424</v>
      </c>
      <c r="AA85" s="268" t="s">
        <v>425</v>
      </c>
      <c r="AB85" s="268" t="s">
        <v>426</v>
      </c>
      <c r="AC85" s="175">
        <v>0.241156220322886</v>
      </c>
      <c r="AD85" s="175">
        <v>0.46352927386760701</v>
      </c>
      <c r="AE85" s="175">
        <v>0.104119264937995</v>
      </c>
      <c r="AF85" s="175" t="s">
        <v>427</v>
      </c>
      <c r="AG85" s="175"/>
      <c r="AH85" s="175"/>
      <c r="AI85" s="175"/>
      <c r="AJ85" s="175"/>
      <c r="AK85" s="175"/>
      <c r="AL85" s="175"/>
      <c r="AM85" s="175"/>
      <c r="AN85" s="175"/>
      <c r="AO85" s="175"/>
      <c r="AP85" s="175"/>
      <c r="AQ85" s="175"/>
      <c r="AR85" s="175"/>
      <c r="AS85" s="175"/>
      <c r="AT85" s="175"/>
      <c r="AU85" s="175"/>
    </row>
    <row r="86" spans="1:51" s="270" customFormat="1">
      <c r="A86" s="263" t="s">
        <v>349</v>
      </c>
      <c r="B86" s="264">
        <v>0.30838308026487399</v>
      </c>
      <c r="C86" s="263" t="s">
        <v>28</v>
      </c>
      <c r="D86" s="265">
        <v>15.126721382141101</v>
      </c>
      <c r="E86" s="263">
        <v>0.32800000000000001</v>
      </c>
      <c r="F86" s="263">
        <v>15.3</v>
      </c>
      <c r="G86" s="263">
        <v>35.3092534257746</v>
      </c>
      <c r="H86" s="263">
        <v>-120.662325783158</v>
      </c>
      <c r="I86" s="263">
        <v>35.310240391333302</v>
      </c>
      <c r="J86" s="332">
        <v>-120.662943822166</v>
      </c>
      <c r="K86" s="263" t="s">
        <v>29</v>
      </c>
      <c r="L86" s="263">
        <v>1.2880781888961701</v>
      </c>
      <c r="M86" s="263" t="s">
        <v>30</v>
      </c>
      <c r="N86" s="263" t="s">
        <v>337</v>
      </c>
      <c r="O86" s="266"/>
      <c r="P86" s="451">
        <v>21</v>
      </c>
      <c r="Q86" s="266">
        <v>4</v>
      </c>
      <c r="R86" s="266">
        <v>1</v>
      </c>
      <c r="S86" s="485">
        <v>5</v>
      </c>
      <c r="T86" s="508" t="s">
        <v>1179</v>
      </c>
      <c r="U86" s="596"/>
      <c r="V86" s="384" t="s">
        <v>350</v>
      </c>
      <c r="W86" s="263" t="s">
        <v>33</v>
      </c>
      <c r="X86" s="263" t="s">
        <v>351</v>
      </c>
      <c r="Y86" s="263" t="s">
        <v>1399</v>
      </c>
      <c r="Z86" s="268" t="s">
        <v>352</v>
      </c>
      <c r="AA86" s="268" t="s">
        <v>353</v>
      </c>
      <c r="AB86" s="268" t="s">
        <v>354</v>
      </c>
      <c r="AC86" s="175">
        <v>0.24479166666666599</v>
      </c>
      <c r="AD86" s="175">
        <v>1.2148510217666599</v>
      </c>
      <c r="AE86" s="175">
        <v>0.27682170188322902</v>
      </c>
      <c r="AF86" s="175" t="s">
        <v>355</v>
      </c>
      <c r="AG86" s="175"/>
      <c r="AH86" s="175"/>
      <c r="AI86" s="175"/>
      <c r="AJ86" s="175"/>
      <c r="AK86" s="175"/>
      <c r="AL86" s="175"/>
      <c r="AM86" s="175"/>
      <c r="AN86" s="175"/>
      <c r="AO86" s="175"/>
      <c r="AP86" s="175"/>
      <c r="AQ86" s="175"/>
      <c r="AR86" s="175"/>
      <c r="AS86" s="175"/>
      <c r="AT86" s="175"/>
      <c r="AU86" s="175"/>
      <c r="AV86" s="175"/>
      <c r="AW86" s="175"/>
      <c r="AX86" s="175"/>
      <c r="AY86" s="175"/>
    </row>
    <row r="87" spans="1:51">
      <c r="A87" s="15" t="s">
        <v>108</v>
      </c>
      <c r="B87" s="16">
        <v>0.35948565592226001</v>
      </c>
      <c r="C87" s="15" t="s">
        <v>28</v>
      </c>
      <c r="D87" s="17">
        <v>12.241008758544901</v>
      </c>
      <c r="E87" s="15">
        <v>0.38700000000000001</v>
      </c>
      <c r="F87" s="15">
        <v>13.2</v>
      </c>
      <c r="G87" s="15">
        <v>35.310337157035796</v>
      </c>
      <c r="H87" s="15">
        <v>-120.662977190231</v>
      </c>
      <c r="I87" s="15">
        <v>35.3102840753333</v>
      </c>
      <c r="J87" s="325">
        <v>-120.662914203499</v>
      </c>
      <c r="K87" s="15" t="s">
        <v>29</v>
      </c>
      <c r="L87" s="15">
        <v>1.32882320880889</v>
      </c>
      <c r="M87" s="15" t="s">
        <v>30</v>
      </c>
      <c r="N87" s="15" t="s">
        <v>87</v>
      </c>
      <c r="O87" s="80"/>
      <c r="P87" s="452">
        <v>17</v>
      </c>
      <c r="Q87" s="80">
        <v>5</v>
      </c>
      <c r="R87" s="80">
        <v>1</v>
      </c>
      <c r="S87" s="486">
        <v>5</v>
      </c>
      <c r="T87" s="496" t="s">
        <v>1179</v>
      </c>
      <c r="U87" s="595"/>
      <c r="V87" s="187" t="s">
        <v>109</v>
      </c>
      <c r="W87" s="15" t="s">
        <v>33</v>
      </c>
      <c r="X87" s="15" t="s">
        <v>64</v>
      </c>
      <c r="Y87" s="15" t="s">
        <v>1312</v>
      </c>
      <c r="Z87" s="3" t="s">
        <v>110</v>
      </c>
      <c r="AA87" s="3" t="s">
        <v>111</v>
      </c>
      <c r="AB87" s="3" t="s">
        <v>112</v>
      </c>
      <c r="AC87">
        <v>0.23494336970899399</v>
      </c>
      <c r="AD87">
        <v>1.3611381649970999</v>
      </c>
      <c r="AE87">
        <v>0.322395944853269</v>
      </c>
      <c r="AF87" t="s">
        <v>113</v>
      </c>
      <c r="AI87">
        <f>SUM(AE85:AE86)</f>
        <v>0.38094096682122403</v>
      </c>
    </row>
    <row r="88" spans="1:51">
      <c r="A88" s="15" t="s">
        <v>114</v>
      </c>
      <c r="B88" s="16">
        <v>0.13822587807469999</v>
      </c>
      <c r="C88" s="15" t="s">
        <v>28</v>
      </c>
      <c r="D88" s="17">
        <v>0.90940701961517301</v>
      </c>
      <c r="E88" s="15">
        <v>0.14399999999999999</v>
      </c>
      <c r="F88" s="15">
        <v>0.95</v>
      </c>
      <c r="G88" s="15">
        <v>35.310288297596301</v>
      </c>
      <c r="H88" s="15">
        <v>-120.66290984854901</v>
      </c>
      <c r="I88" s="15"/>
      <c r="J88" s="325"/>
      <c r="K88" s="15" t="s">
        <v>29</v>
      </c>
      <c r="L88" s="15">
        <v>1.2248132228851301</v>
      </c>
      <c r="M88" s="15" t="s">
        <v>30</v>
      </c>
      <c r="N88" s="15" t="s">
        <v>87</v>
      </c>
      <c r="O88" s="80"/>
      <c r="P88" s="452">
        <v>17</v>
      </c>
      <c r="Q88" s="80">
        <v>5</v>
      </c>
      <c r="R88" s="80">
        <v>2</v>
      </c>
      <c r="S88" s="486">
        <v>5</v>
      </c>
      <c r="T88" s="496"/>
      <c r="U88" s="595"/>
      <c r="V88" s="187" t="s">
        <v>115</v>
      </c>
      <c r="W88" s="15" t="s">
        <v>33</v>
      </c>
      <c r="X88" s="15" t="s">
        <v>64</v>
      </c>
      <c r="Y88" s="15" t="s">
        <v>1312</v>
      </c>
      <c r="Z88" s="269" t="s">
        <v>116</v>
      </c>
      <c r="AA88" s="269" t="s">
        <v>117</v>
      </c>
      <c r="AB88" s="269" t="s">
        <v>118</v>
      </c>
      <c r="AC88">
        <v>0.23611111111111099</v>
      </c>
      <c r="AD88">
        <v>0.51099956035614003</v>
      </c>
      <c r="AE88">
        <v>0.124053590463027</v>
      </c>
      <c r="AF88" t="s">
        <v>119</v>
      </c>
    </row>
    <row r="89" spans="1:51" s="178" customFormat="1">
      <c r="A89" s="259" t="s">
        <v>120</v>
      </c>
      <c r="B89" s="258">
        <v>0.41157524853162902</v>
      </c>
      <c r="C89" s="259" t="s">
        <v>28</v>
      </c>
      <c r="D89" s="260">
        <v>13.9149875640869</v>
      </c>
      <c r="E89" s="259">
        <v>0.45</v>
      </c>
      <c r="F89" s="259">
        <v>14</v>
      </c>
      <c r="G89" s="259">
        <v>35.310339810457599</v>
      </c>
      <c r="H89" s="259">
        <v>-120.66298029923</v>
      </c>
      <c r="I89" s="259">
        <v>35.310306936166597</v>
      </c>
      <c r="J89" s="335">
        <v>-120.662913383833</v>
      </c>
      <c r="K89" s="259" t="s">
        <v>29</v>
      </c>
      <c r="L89" s="259">
        <v>1.0787875652313199</v>
      </c>
      <c r="M89" s="259" t="s">
        <v>30</v>
      </c>
      <c r="N89" s="259" t="s">
        <v>87</v>
      </c>
      <c r="O89" s="271"/>
      <c r="P89" s="453">
        <v>17</v>
      </c>
      <c r="Q89" s="271">
        <v>6</v>
      </c>
      <c r="R89" s="271">
        <v>1</v>
      </c>
      <c r="S89" s="487">
        <v>5</v>
      </c>
      <c r="T89" s="509" t="s">
        <v>1179</v>
      </c>
      <c r="U89" s="597"/>
      <c r="V89" s="385" t="s">
        <v>121</v>
      </c>
      <c r="W89" s="259" t="s">
        <v>33</v>
      </c>
      <c r="X89" s="259" t="s">
        <v>64</v>
      </c>
      <c r="Y89" s="15" t="s">
        <v>1312</v>
      </c>
      <c r="Z89" s="272" t="s">
        <v>122</v>
      </c>
      <c r="AA89" s="272" t="s">
        <v>123</v>
      </c>
      <c r="AB89" s="272" t="s">
        <v>124</v>
      </c>
      <c r="AC89" s="178">
        <v>0.234953703703703</v>
      </c>
      <c r="AD89" s="178">
        <v>1.5812417268753001</v>
      </c>
      <c r="AE89" s="178">
        <v>0.369725484861336</v>
      </c>
      <c r="AF89" s="178" t="s">
        <v>125</v>
      </c>
    </row>
    <row r="90" spans="1:51">
      <c r="A90" s="28" t="s">
        <v>903</v>
      </c>
      <c r="B90" s="29">
        <v>0.11365509998630099</v>
      </c>
      <c r="C90" s="28" t="s">
        <v>28</v>
      </c>
      <c r="D90" s="30">
        <v>3.3631234169006299</v>
      </c>
      <c r="E90" s="28">
        <v>0.13900000000000001</v>
      </c>
      <c r="F90" s="28">
        <v>3.1</v>
      </c>
      <c r="G90" s="28">
        <v>35.310144963038702</v>
      </c>
      <c r="H90" s="28">
        <v>-120.66304516213501</v>
      </c>
      <c r="I90" s="28">
        <v>35.310168501166601</v>
      </c>
      <c r="J90" s="339">
        <v>-120.663047942833</v>
      </c>
      <c r="K90" s="28" t="s">
        <v>627</v>
      </c>
      <c r="L90" s="28"/>
      <c r="M90" s="28" t="s">
        <v>30</v>
      </c>
      <c r="N90" s="28" t="s">
        <v>628</v>
      </c>
      <c r="O90" s="167">
        <v>19</v>
      </c>
      <c r="P90" s="454">
        <v>22</v>
      </c>
      <c r="Q90" s="168">
        <v>1</v>
      </c>
      <c r="R90" s="167">
        <v>1</v>
      </c>
      <c r="S90" s="488">
        <v>5</v>
      </c>
      <c r="T90" s="498" t="s">
        <v>1179</v>
      </c>
      <c r="U90" s="587"/>
      <c r="V90" s="386"/>
      <c r="W90" s="28" t="s">
        <v>33</v>
      </c>
      <c r="X90" s="28" t="s">
        <v>1400</v>
      </c>
      <c r="Y90" s="28" t="s">
        <v>1401</v>
      </c>
      <c r="Z90" s="169" t="s">
        <v>905</v>
      </c>
      <c r="AA90" s="169" t="s">
        <v>906</v>
      </c>
      <c r="AB90" s="28"/>
      <c r="AC90" s="28"/>
      <c r="AD90" s="28"/>
      <c r="AE90" s="28"/>
      <c r="AF90" s="28" t="s">
        <v>907</v>
      </c>
      <c r="AG90" s="28"/>
      <c r="AH90" s="28"/>
      <c r="AI90" s="28"/>
    </row>
    <row r="91" spans="1:51" s="178" customFormat="1">
      <c r="A91" s="227" t="s">
        <v>908</v>
      </c>
      <c r="B91" s="228">
        <v>0.69444430196134599</v>
      </c>
      <c r="C91" s="230" t="s">
        <v>28</v>
      </c>
      <c r="D91" s="229">
        <v>18.2246398925781</v>
      </c>
      <c r="E91" s="230">
        <v>0.73199999999999998</v>
      </c>
      <c r="F91" s="230">
        <v>17.899999999999999</v>
      </c>
      <c r="G91" s="230">
        <v>35.310211575156998</v>
      </c>
      <c r="H91" s="230">
        <v>-120.66304160199</v>
      </c>
      <c r="I91" s="230">
        <v>35.310208144500002</v>
      </c>
      <c r="J91" s="324">
        <v>-120.663036369666</v>
      </c>
      <c r="K91" s="230" t="s">
        <v>627</v>
      </c>
      <c r="L91" s="230"/>
      <c r="M91" s="230" t="s">
        <v>30</v>
      </c>
      <c r="N91" s="230" t="s">
        <v>628</v>
      </c>
      <c r="O91" s="231">
        <v>20</v>
      </c>
      <c r="P91" s="437">
        <v>23</v>
      </c>
      <c r="Q91" s="232">
        <v>1</v>
      </c>
      <c r="R91" s="231">
        <v>1</v>
      </c>
      <c r="S91" s="468">
        <v>5</v>
      </c>
      <c r="T91" s="504" t="s">
        <v>1179</v>
      </c>
      <c r="U91" s="589"/>
      <c r="V91" s="227"/>
      <c r="W91" s="230" t="s">
        <v>33</v>
      </c>
      <c r="X91" s="230" t="s">
        <v>909</v>
      </c>
      <c r="Y91" s="230" t="s">
        <v>1402</v>
      </c>
      <c r="Z91" s="261" t="s">
        <v>910</v>
      </c>
      <c r="AA91" s="261" t="s">
        <v>911</v>
      </c>
      <c r="AB91" s="230"/>
      <c r="AC91" s="230"/>
      <c r="AD91" s="230"/>
      <c r="AE91" s="230"/>
      <c r="AF91" s="230" t="s">
        <v>912</v>
      </c>
      <c r="AG91" s="230"/>
      <c r="AH91" s="230"/>
      <c r="AI91" s="230"/>
    </row>
    <row r="92" spans="1:51">
      <c r="A92" s="40" t="s">
        <v>913</v>
      </c>
      <c r="B92" s="41">
        <v>0.494396666037898</v>
      </c>
      <c r="C92" s="40" t="s">
        <v>28</v>
      </c>
      <c r="D92" s="42">
        <v>16.29150390625</v>
      </c>
      <c r="E92" s="40">
        <v>0.61699999999999999</v>
      </c>
      <c r="F92" s="40">
        <v>16.8</v>
      </c>
      <c r="G92" s="40">
        <v>35.310308625954498</v>
      </c>
      <c r="H92" s="40">
        <v>-120.663017816953</v>
      </c>
      <c r="I92" s="40">
        <v>35.310270779666602</v>
      </c>
      <c r="J92" s="340">
        <v>-120.663021189166</v>
      </c>
      <c r="K92" s="40" t="s">
        <v>627</v>
      </c>
      <c r="L92" s="40"/>
      <c r="M92" s="40" t="s">
        <v>30</v>
      </c>
      <c r="N92" s="40" t="s">
        <v>628</v>
      </c>
      <c r="O92" s="122">
        <v>20</v>
      </c>
      <c r="P92" s="455">
        <v>23</v>
      </c>
      <c r="Q92" s="121">
        <v>2</v>
      </c>
      <c r="R92" s="122">
        <v>1</v>
      </c>
      <c r="S92" s="489">
        <v>5</v>
      </c>
      <c r="T92" s="501" t="s">
        <v>1179</v>
      </c>
      <c r="U92" s="587" t="s">
        <v>914</v>
      </c>
      <c r="V92" s="387" t="s">
        <v>1403</v>
      </c>
      <c r="W92" s="40" t="s">
        <v>33</v>
      </c>
      <c r="X92" s="40" t="s">
        <v>909</v>
      </c>
      <c r="Y92" s="230" t="s">
        <v>1402</v>
      </c>
      <c r="Z92" s="43" t="s">
        <v>916</v>
      </c>
      <c r="AA92" s="43" t="s">
        <v>917</v>
      </c>
      <c r="AB92" s="40"/>
      <c r="AC92" s="40"/>
      <c r="AD92" s="40"/>
      <c r="AE92" s="40"/>
      <c r="AF92" s="40" t="s">
        <v>918</v>
      </c>
      <c r="AG92" s="40"/>
      <c r="AH92" s="40"/>
      <c r="AI92" s="40"/>
    </row>
    <row r="93" spans="1:51" s="175" customFormat="1">
      <c r="A93" s="310" t="s">
        <v>919</v>
      </c>
      <c r="B93" s="311">
        <v>0.26956104078661097</v>
      </c>
      <c r="C93" s="310" t="s">
        <v>28</v>
      </c>
      <c r="D93" s="312">
        <v>1.26981556415557</v>
      </c>
      <c r="E93" s="310">
        <v>0.27100000000000002</v>
      </c>
      <c r="F93" s="310">
        <v>1.3</v>
      </c>
      <c r="G93" s="310">
        <v>35.310279314397803</v>
      </c>
      <c r="H93" s="310">
        <v>-120.6630340361</v>
      </c>
      <c r="I93" s="310"/>
      <c r="J93" s="341"/>
      <c r="K93" s="310" t="s">
        <v>627</v>
      </c>
      <c r="L93" s="310"/>
      <c r="M93" s="310" t="s">
        <v>30</v>
      </c>
      <c r="N93" s="310" t="s">
        <v>628</v>
      </c>
      <c r="O93" s="313">
        <v>20</v>
      </c>
      <c r="P93" s="445">
        <v>23</v>
      </c>
      <c r="Q93" s="314">
        <v>2</v>
      </c>
      <c r="R93" s="313">
        <v>2</v>
      </c>
      <c r="S93" s="477">
        <v>5</v>
      </c>
      <c r="T93" s="505"/>
      <c r="U93" s="590"/>
      <c r="V93" s="388"/>
      <c r="W93" s="310" t="s">
        <v>33</v>
      </c>
      <c r="X93" s="310" t="s">
        <v>909</v>
      </c>
      <c r="Y93" s="230" t="s">
        <v>1402</v>
      </c>
      <c r="Z93" s="315" t="s">
        <v>920</v>
      </c>
      <c r="AA93" s="315" t="s">
        <v>921</v>
      </c>
      <c r="AB93" s="310"/>
      <c r="AC93" s="310"/>
      <c r="AD93" s="310"/>
      <c r="AE93" s="310"/>
      <c r="AF93" s="310" t="s">
        <v>922</v>
      </c>
      <c r="AG93" s="310"/>
      <c r="AH93" s="310"/>
      <c r="AI93" s="310"/>
    </row>
    <row r="94" spans="1:51" hidden="1">
      <c r="A94" s="40" t="s">
        <v>923</v>
      </c>
      <c r="B94" s="41">
        <v>0.61975699583661403</v>
      </c>
      <c r="C94" s="40" t="s">
        <v>28</v>
      </c>
      <c r="D94" s="42">
        <v>1.7694941759109399</v>
      </c>
      <c r="E94" s="40">
        <v>0.61699999999999999</v>
      </c>
      <c r="F94" s="40"/>
      <c r="G94" s="40">
        <v>35.310289742486901</v>
      </c>
      <c r="H94" s="40">
        <v>-120.663014407608</v>
      </c>
      <c r="I94" s="40"/>
      <c r="J94" s="340"/>
      <c r="K94" s="40" t="s">
        <v>627</v>
      </c>
      <c r="L94" s="40"/>
      <c r="M94" s="40" t="s">
        <v>30</v>
      </c>
      <c r="N94" s="40" t="s">
        <v>628</v>
      </c>
      <c r="O94" s="122">
        <v>20</v>
      </c>
      <c r="P94" s="455"/>
      <c r="Q94" s="121"/>
      <c r="R94" s="122"/>
      <c r="S94" s="489">
        <v>6</v>
      </c>
      <c r="T94" s="501"/>
      <c r="U94" s="587" t="s">
        <v>924</v>
      </c>
      <c r="V94" s="387" t="s">
        <v>925</v>
      </c>
      <c r="W94" s="40" t="s">
        <v>33</v>
      </c>
      <c r="X94" s="40" t="s">
        <v>909</v>
      </c>
      <c r="Y94" s="40"/>
      <c r="Z94" s="309" t="s">
        <v>926</v>
      </c>
      <c r="AA94" s="309" t="s">
        <v>927</v>
      </c>
      <c r="AB94" s="40"/>
      <c r="AC94" s="40"/>
      <c r="AD94" s="40"/>
      <c r="AE94" s="40"/>
      <c r="AF94" s="40" t="s">
        <v>928</v>
      </c>
      <c r="AG94" s="40"/>
      <c r="AH94" s="40"/>
      <c r="AI94" s="40"/>
    </row>
    <row r="95" spans="1:51">
      <c r="A95" s="40" t="s">
        <v>1404</v>
      </c>
      <c r="B95" s="41"/>
      <c r="C95" s="40"/>
      <c r="D95" s="42"/>
      <c r="E95" s="40">
        <v>6.5000000000000002E-2</v>
      </c>
      <c r="F95" s="40">
        <v>4</v>
      </c>
      <c r="G95" s="40"/>
      <c r="H95" s="40"/>
      <c r="I95" s="40">
        <v>35.310275753999903</v>
      </c>
      <c r="J95" s="340">
        <v>-120.663088062333</v>
      </c>
      <c r="K95" s="40"/>
      <c r="L95" s="40"/>
      <c r="M95" s="40"/>
      <c r="N95" s="40"/>
      <c r="O95" s="122"/>
      <c r="P95" s="455">
        <v>24</v>
      </c>
      <c r="Q95" s="121">
        <v>1</v>
      </c>
      <c r="R95" s="122">
        <v>1</v>
      </c>
      <c r="S95" s="489">
        <v>5</v>
      </c>
      <c r="T95" s="501" t="s">
        <v>1179</v>
      </c>
      <c r="U95" s="587" t="s">
        <v>1405</v>
      </c>
      <c r="V95" s="387"/>
      <c r="W95" s="40"/>
      <c r="X95" s="40" t="s">
        <v>1406</v>
      </c>
      <c r="Y95" s="230" t="s">
        <v>1407</v>
      </c>
      <c r="Z95" s="309"/>
      <c r="AA95" s="309"/>
      <c r="AB95" s="40"/>
      <c r="AC95" s="40"/>
      <c r="AD95" s="40"/>
      <c r="AE95" s="40"/>
      <c r="AF95" s="40"/>
      <c r="AG95" s="40"/>
      <c r="AH95" s="40"/>
      <c r="AI95" s="40"/>
    </row>
    <row r="96" spans="1:51" s="77" customFormat="1">
      <c r="A96" s="136"/>
      <c r="B96" s="137"/>
      <c r="C96" s="136"/>
      <c r="D96" s="138"/>
      <c r="E96" s="136">
        <v>2.4E-2</v>
      </c>
      <c r="F96" s="136">
        <v>1.3</v>
      </c>
      <c r="G96" s="136"/>
      <c r="H96" s="136"/>
      <c r="I96" s="136"/>
      <c r="J96" s="342"/>
      <c r="K96" s="136"/>
      <c r="L96" s="136"/>
      <c r="M96" s="136"/>
      <c r="N96" s="136"/>
      <c r="O96" s="170"/>
      <c r="P96" s="456">
        <v>24</v>
      </c>
      <c r="Q96" s="171">
        <v>1</v>
      </c>
      <c r="R96" s="170">
        <v>2</v>
      </c>
      <c r="S96" s="490">
        <v>5</v>
      </c>
      <c r="T96" s="510"/>
      <c r="U96" s="598" t="s">
        <v>1408</v>
      </c>
      <c r="V96" s="389"/>
      <c r="W96" s="136"/>
      <c r="X96" s="136" t="s">
        <v>1406</v>
      </c>
      <c r="Y96" s="316" t="s">
        <v>1407</v>
      </c>
      <c r="Z96" s="140"/>
      <c r="AA96" s="140"/>
      <c r="AB96" s="136"/>
      <c r="AC96" s="136"/>
      <c r="AD96" s="136"/>
      <c r="AE96" s="136"/>
      <c r="AF96" s="136"/>
      <c r="AG96" s="136"/>
      <c r="AH96" s="136"/>
      <c r="AI96" s="136"/>
    </row>
    <row r="97" spans="1:51">
      <c r="A97" s="209" t="s">
        <v>929</v>
      </c>
      <c r="B97" s="12">
        <v>0.61544881485006497</v>
      </c>
      <c r="C97" s="11" t="s">
        <v>28</v>
      </c>
      <c r="D97" s="13">
        <v>12.9264621734619</v>
      </c>
      <c r="E97" s="11">
        <v>0.629</v>
      </c>
      <c r="F97" s="11">
        <v>11.8</v>
      </c>
      <c r="G97" s="11">
        <v>35.310517377252999</v>
      </c>
      <c r="H97" s="11">
        <v>-120.66149574715701</v>
      </c>
      <c r="I97" s="11">
        <v>35.310446513499997</v>
      </c>
      <c r="J97" s="322">
        <v>-120.661501455833</v>
      </c>
      <c r="K97" s="11" t="s">
        <v>627</v>
      </c>
      <c r="L97" s="11"/>
      <c r="M97" s="11" t="s">
        <v>30</v>
      </c>
      <c r="N97" s="11" t="s">
        <v>628</v>
      </c>
      <c r="O97" s="129">
        <v>21</v>
      </c>
      <c r="P97" s="434">
        <v>25</v>
      </c>
      <c r="Q97" s="112">
        <v>1</v>
      </c>
      <c r="R97" s="129">
        <v>1</v>
      </c>
      <c r="S97" s="466">
        <v>4</v>
      </c>
      <c r="T97" s="501" t="s">
        <v>1179</v>
      </c>
      <c r="U97" s="587"/>
      <c r="V97" s="209"/>
      <c r="W97" s="11" t="s">
        <v>33</v>
      </c>
      <c r="X97" s="11" t="s">
        <v>930</v>
      </c>
      <c r="Y97" s="11" t="s">
        <v>1409</v>
      </c>
      <c r="Z97" s="210" t="s">
        <v>931</v>
      </c>
      <c r="AA97" s="210" t="s">
        <v>932</v>
      </c>
      <c r="AB97" s="11"/>
      <c r="AC97" s="11"/>
      <c r="AD97" s="11"/>
      <c r="AE97" s="11"/>
      <c r="AF97" s="11" t="s">
        <v>933</v>
      </c>
      <c r="AG97" s="11"/>
      <c r="AH97" s="11"/>
      <c r="AI97" s="11"/>
    </row>
    <row r="98" spans="1:51" s="186" customFormat="1">
      <c r="A98" s="202" t="s">
        <v>934</v>
      </c>
      <c r="B98" s="203">
        <v>0.21642414337928001</v>
      </c>
      <c r="C98" s="204" t="s">
        <v>28</v>
      </c>
      <c r="D98" s="205">
        <v>12.026494026184</v>
      </c>
      <c r="E98" s="204">
        <v>0.223</v>
      </c>
      <c r="F98" s="204">
        <v>11.7</v>
      </c>
      <c r="G98" s="204">
        <v>35.310498601078102</v>
      </c>
      <c r="H98" s="204">
        <v>-120.66147458992999</v>
      </c>
      <c r="I98" s="204">
        <v>35.310435743666602</v>
      </c>
      <c r="J98" s="333">
        <v>-120.661437021333</v>
      </c>
      <c r="K98" s="204" t="s">
        <v>627</v>
      </c>
      <c r="L98" s="204"/>
      <c r="M98" s="204" t="s">
        <v>30</v>
      </c>
      <c r="N98" s="204" t="s">
        <v>628</v>
      </c>
      <c r="O98" s="206">
        <v>21</v>
      </c>
      <c r="P98" s="433">
        <v>25</v>
      </c>
      <c r="Q98" s="207">
        <v>2</v>
      </c>
      <c r="R98" s="206">
        <v>1</v>
      </c>
      <c r="S98" s="465">
        <v>4</v>
      </c>
      <c r="T98" s="502" t="s">
        <v>1179</v>
      </c>
      <c r="U98" s="588"/>
      <c r="V98" s="202"/>
      <c r="W98" s="204" t="s">
        <v>33</v>
      </c>
      <c r="X98" s="204" t="s">
        <v>930</v>
      </c>
      <c r="Y98" s="204" t="s">
        <v>1409</v>
      </c>
      <c r="Z98" s="208" t="s">
        <v>935</v>
      </c>
      <c r="AA98" s="208" t="s">
        <v>936</v>
      </c>
      <c r="AB98" s="204"/>
      <c r="AC98" s="204"/>
      <c r="AD98" s="204"/>
      <c r="AE98" s="204"/>
      <c r="AF98" s="204" t="s">
        <v>937</v>
      </c>
      <c r="AG98" s="204"/>
      <c r="AH98" s="204"/>
      <c r="AI98" s="204"/>
    </row>
    <row r="99" spans="1:51">
      <c r="A99" s="209" t="s">
        <v>938</v>
      </c>
      <c r="B99" s="12">
        <v>0.31093565705251602</v>
      </c>
      <c r="C99" s="11" t="s">
        <v>28</v>
      </c>
      <c r="D99" s="13">
        <v>1.4397143125534</v>
      </c>
      <c r="E99" s="67">
        <v>0.36299999999999999</v>
      </c>
      <c r="F99" s="11"/>
      <c r="G99" s="11">
        <v>35.3104330034936</v>
      </c>
      <c r="H99" s="11">
        <v>-120.66145696620499</v>
      </c>
      <c r="I99" s="11"/>
      <c r="J99" s="322"/>
      <c r="K99" s="11" t="s">
        <v>627</v>
      </c>
      <c r="L99" s="11"/>
      <c r="M99" s="11" t="s">
        <v>30</v>
      </c>
      <c r="N99" s="11" t="s">
        <v>628</v>
      </c>
      <c r="O99" s="129">
        <v>21</v>
      </c>
      <c r="P99" s="434">
        <v>25</v>
      </c>
      <c r="Q99" s="112">
        <v>2</v>
      </c>
      <c r="R99" s="129">
        <v>2</v>
      </c>
      <c r="S99" s="466">
        <v>4</v>
      </c>
      <c r="T99" s="501"/>
      <c r="U99" s="587"/>
      <c r="V99" s="209" t="s">
        <v>939</v>
      </c>
      <c r="W99" s="11" t="s">
        <v>33</v>
      </c>
      <c r="X99" s="11" t="s">
        <v>930</v>
      </c>
      <c r="Y99" s="11" t="s">
        <v>1409</v>
      </c>
      <c r="Z99" s="210" t="s">
        <v>940</v>
      </c>
      <c r="AA99" s="210" t="s">
        <v>941</v>
      </c>
      <c r="AB99" s="11"/>
      <c r="AC99" s="11"/>
      <c r="AD99" s="11"/>
      <c r="AE99" s="11"/>
      <c r="AF99" s="11" t="s">
        <v>942</v>
      </c>
      <c r="AG99" s="11"/>
      <c r="AH99" s="11"/>
      <c r="AI99" s="11"/>
    </row>
    <row r="100" spans="1:51">
      <c r="A100" s="209" t="s">
        <v>943</v>
      </c>
      <c r="B100" s="12">
        <v>0.39598749315443998</v>
      </c>
      <c r="C100" s="11" t="s">
        <v>28</v>
      </c>
      <c r="D100" s="13">
        <v>1.34484839439392</v>
      </c>
      <c r="E100" s="11">
        <v>0.41399999999999998</v>
      </c>
      <c r="F100" s="11">
        <v>1.3</v>
      </c>
      <c r="G100" s="11">
        <v>35.3104348522781</v>
      </c>
      <c r="H100" s="11">
        <v>-120.66146758315899</v>
      </c>
      <c r="I100" s="11"/>
      <c r="J100" s="322"/>
      <c r="K100" s="11" t="s">
        <v>627</v>
      </c>
      <c r="L100" s="11"/>
      <c r="M100" s="11" t="s">
        <v>30</v>
      </c>
      <c r="N100" s="11" t="s">
        <v>628</v>
      </c>
      <c r="O100" s="129">
        <v>21</v>
      </c>
      <c r="P100" s="434">
        <v>25</v>
      </c>
      <c r="Q100" s="112">
        <v>2</v>
      </c>
      <c r="R100" s="129">
        <v>3</v>
      </c>
      <c r="S100" s="466">
        <v>4</v>
      </c>
      <c r="T100" s="501"/>
      <c r="U100" s="587"/>
      <c r="V100" s="209"/>
      <c r="W100" s="11" t="s">
        <v>33</v>
      </c>
      <c r="X100" s="11" t="s">
        <v>930</v>
      </c>
      <c r="Y100" s="11" t="s">
        <v>1409</v>
      </c>
      <c r="Z100" s="210" t="s">
        <v>944</v>
      </c>
      <c r="AA100" s="210" t="s">
        <v>945</v>
      </c>
      <c r="AB100" s="11"/>
      <c r="AC100" s="11"/>
      <c r="AD100" s="11"/>
      <c r="AE100" s="11"/>
      <c r="AF100" s="11" t="s">
        <v>946</v>
      </c>
      <c r="AG100" s="11"/>
      <c r="AH100" s="11"/>
      <c r="AI100" s="11"/>
    </row>
    <row r="101" spans="1:51" s="186" customFormat="1">
      <c r="A101" s="202" t="s">
        <v>947</v>
      </c>
      <c r="B101" s="203">
        <v>0.26337061368629699</v>
      </c>
      <c r="C101" s="204" t="s">
        <v>28</v>
      </c>
      <c r="D101" s="205">
        <v>13.942717552185</v>
      </c>
      <c r="E101" s="204">
        <v>0.29599999999999999</v>
      </c>
      <c r="F101" s="204">
        <v>13.2</v>
      </c>
      <c r="G101" s="204">
        <v>35.310406823929299</v>
      </c>
      <c r="H101" s="204">
        <v>-120.661414305698</v>
      </c>
      <c r="I101" s="204">
        <v>35.310396177166602</v>
      </c>
      <c r="J101" s="333">
        <v>-120.66139602633299</v>
      </c>
      <c r="K101" s="204" t="s">
        <v>627</v>
      </c>
      <c r="L101" s="204"/>
      <c r="M101" s="204" t="s">
        <v>30</v>
      </c>
      <c r="N101" s="204" t="s">
        <v>628</v>
      </c>
      <c r="O101" s="206">
        <v>21</v>
      </c>
      <c r="P101" s="433">
        <v>25</v>
      </c>
      <c r="Q101" s="207">
        <v>3</v>
      </c>
      <c r="R101" s="206">
        <v>1</v>
      </c>
      <c r="S101" s="465">
        <v>4</v>
      </c>
      <c r="T101" s="502" t="s">
        <v>1179</v>
      </c>
      <c r="U101" s="588"/>
      <c r="V101" s="202">
        <v>3.1</v>
      </c>
      <c r="W101" s="204" t="s">
        <v>33</v>
      </c>
      <c r="X101" s="204" t="s">
        <v>930</v>
      </c>
      <c r="Y101" s="204" t="s">
        <v>1409</v>
      </c>
      <c r="Z101" s="208" t="s">
        <v>948</v>
      </c>
      <c r="AA101" s="208" t="s">
        <v>949</v>
      </c>
      <c r="AB101" s="204"/>
      <c r="AC101" s="204"/>
      <c r="AD101" s="204"/>
      <c r="AE101" s="204"/>
      <c r="AF101" s="204" t="s">
        <v>950</v>
      </c>
      <c r="AG101" s="204"/>
      <c r="AH101" s="204"/>
      <c r="AI101" s="204"/>
    </row>
    <row r="102" spans="1:51">
      <c r="A102" s="209" t="s">
        <v>951</v>
      </c>
      <c r="B102" s="12">
        <v>0.243779198478218</v>
      </c>
      <c r="C102" s="11" t="s">
        <v>28</v>
      </c>
      <c r="D102" s="13">
        <v>1.3683351278305</v>
      </c>
      <c r="E102" s="11">
        <v>0.28799999999999998</v>
      </c>
      <c r="F102" s="11">
        <v>1.3</v>
      </c>
      <c r="G102" s="11">
        <v>35.3103975268209</v>
      </c>
      <c r="H102" s="11">
        <v>-120.66138217692701</v>
      </c>
      <c r="I102" s="11"/>
      <c r="J102" s="322"/>
      <c r="K102" s="11" t="s">
        <v>627</v>
      </c>
      <c r="L102" s="11"/>
      <c r="M102" s="11" t="s">
        <v>30</v>
      </c>
      <c r="N102" s="11" t="s">
        <v>628</v>
      </c>
      <c r="O102" s="129">
        <v>21</v>
      </c>
      <c r="P102" s="434">
        <v>25</v>
      </c>
      <c r="Q102" s="112">
        <v>3</v>
      </c>
      <c r="R102" s="129">
        <v>2</v>
      </c>
      <c r="S102" s="466">
        <v>4</v>
      </c>
      <c r="T102" s="501"/>
      <c r="U102" s="587"/>
      <c r="V102" s="209">
        <v>3.2</v>
      </c>
      <c r="W102" s="11" t="s">
        <v>33</v>
      </c>
      <c r="X102" s="11" t="s">
        <v>930</v>
      </c>
      <c r="Y102" s="11" t="s">
        <v>1409</v>
      </c>
      <c r="Z102" s="210" t="s">
        <v>952</v>
      </c>
      <c r="AA102" s="210" t="s">
        <v>953</v>
      </c>
      <c r="AB102" s="11"/>
      <c r="AC102" s="11"/>
      <c r="AD102" s="11"/>
      <c r="AE102" s="11"/>
      <c r="AF102" s="11" t="s">
        <v>954</v>
      </c>
      <c r="AG102" s="11"/>
      <c r="AH102" s="11"/>
      <c r="AI102" s="11"/>
    </row>
    <row r="103" spans="1:51">
      <c r="A103" s="209" t="s">
        <v>955</v>
      </c>
      <c r="B103" s="12">
        <v>0.16554095929242499</v>
      </c>
      <c r="C103" s="11" t="s">
        <v>28</v>
      </c>
      <c r="D103" s="13">
        <v>1.61874151229858</v>
      </c>
      <c r="E103" s="11">
        <v>0.248</v>
      </c>
      <c r="F103" s="11">
        <v>1.3</v>
      </c>
      <c r="G103" s="11">
        <v>35.310360097881599</v>
      </c>
      <c r="H103" s="11">
        <v>-120.66143572361</v>
      </c>
      <c r="I103" s="11"/>
      <c r="J103" s="322"/>
      <c r="K103" s="11" t="s">
        <v>627</v>
      </c>
      <c r="L103" s="11"/>
      <c r="M103" s="11" t="s">
        <v>30</v>
      </c>
      <c r="N103" s="11" t="s">
        <v>628</v>
      </c>
      <c r="O103" s="129">
        <v>21</v>
      </c>
      <c r="P103" s="434">
        <v>25</v>
      </c>
      <c r="Q103" s="112">
        <v>3</v>
      </c>
      <c r="R103" s="129">
        <v>3</v>
      </c>
      <c r="S103" s="466">
        <v>4</v>
      </c>
      <c r="T103" s="501"/>
      <c r="U103" s="587"/>
      <c r="V103" s="209">
        <v>3.3</v>
      </c>
      <c r="W103" s="11" t="s">
        <v>33</v>
      </c>
      <c r="X103" s="11" t="s">
        <v>930</v>
      </c>
      <c r="Y103" s="11" t="s">
        <v>1409</v>
      </c>
      <c r="Z103" s="210" t="s">
        <v>956</v>
      </c>
      <c r="AA103" s="210" t="s">
        <v>957</v>
      </c>
      <c r="AB103" s="11"/>
      <c r="AC103" s="11"/>
      <c r="AD103" s="11"/>
      <c r="AE103" s="11"/>
      <c r="AF103" s="11" t="s">
        <v>958</v>
      </c>
      <c r="AG103" s="11"/>
      <c r="AH103" s="11"/>
      <c r="AI103" s="11"/>
    </row>
    <row r="104" spans="1:51">
      <c r="A104" s="209" t="s">
        <v>959</v>
      </c>
      <c r="B104" s="12">
        <v>0.23388480744016299</v>
      </c>
      <c r="C104" s="11" t="s">
        <v>28</v>
      </c>
      <c r="D104" s="13">
        <v>1.758234500885</v>
      </c>
      <c r="E104" s="11">
        <v>0.28199999999999997</v>
      </c>
      <c r="F104" s="11">
        <v>1.3</v>
      </c>
      <c r="G104" s="11">
        <v>35.310400224474797</v>
      </c>
      <c r="H104" s="11">
        <v>-120.661405240536</v>
      </c>
      <c r="I104" s="11"/>
      <c r="J104" s="322"/>
      <c r="K104" s="11" t="s">
        <v>627</v>
      </c>
      <c r="L104" s="11"/>
      <c r="M104" s="11" t="s">
        <v>30</v>
      </c>
      <c r="N104" s="11" t="s">
        <v>628</v>
      </c>
      <c r="O104" s="129">
        <v>21</v>
      </c>
      <c r="P104" s="434">
        <v>25</v>
      </c>
      <c r="Q104" s="112">
        <v>3</v>
      </c>
      <c r="R104" s="129">
        <v>4</v>
      </c>
      <c r="S104" s="466">
        <v>4</v>
      </c>
      <c r="T104" s="501"/>
      <c r="U104" s="587"/>
      <c r="V104" s="209">
        <v>3.4</v>
      </c>
      <c r="W104" s="11" t="s">
        <v>33</v>
      </c>
      <c r="X104" s="11" t="s">
        <v>930</v>
      </c>
      <c r="Y104" s="11" t="s">
        <v>1409</v>
      </c>
      <c r="Z104" s="210" t="s">
        <v>960</v>
      </c>
      <c r="AA104" s="210" t="s">
        <v>961</v>
      </c>
      <c r="AB104" s="11"/>
      <c r="AC104" s="11"/>
      <c r="AD104" s="11"/>
      <c r="AE104" s="11"/>
      <c r="AF104" s="11" t="s">
        <v>962</v>
      </c>
      <c r="AG104" s="11"/>
      <c r="AH104" s="11"/>
      <c r="AI104" s="11"/>
    </row>
    <row r="105" spans="1:51">
      <c r="A105" s="209" t="s">
        <v>963</v>
      </c>
      <c r="B105" s="12">
        <v>0.237522227497831</v>
      </c>
      <c r="C105" s="11" t="s">
        <v>28</v>
      </c>
      <c r="D105" s="13">
        <v>1.2609287500381401</v>
      </c>
      <c r="E105" s="11">
        <v>0.248</v>
      </c>
      <c r="F105" s="11">
        <v>1.3</v>
      </c>
      <c r="G105" s="11">
        <v>35.310366411170101</v>
      </c>
      <c r="H105" s="11">
        <v>-120.661399673573</v>
      </c>
      <c r="I105" s="11"/>
      <c r="J105" s="322"/>
      <c r="K105" s="11" t="s">
        <v>627</v>
      </c>
      <c r="L105" s="11"/>
      <c r="M105" s="11" t="s">
        <v>30</v>
      </c>
      <c r="N105" s="11" t="s">
        <v>628</v>
      </c>
      <c r="O105" s="129">
        <v>21</v>
      </c>
      <c r="P105" s="434">
        <v>25</v>
      </c>
      <c r="Q105" s="112">
        <v>3</v>
      </c>
      <c r="R105" s="129">
        <v>5</v>
      </c>
      <c r="S105" s="466">
        <v>4</v>
      </c>
      <c r="T105" s="501"/>
      <c r="U105" s="587"/>
      <c r="V105" s="209">
        <v>3.5</v>
      </c>
      <c r="W105" s="11" t="s">
        <v>33</v>
      </c>
      <c r="X105" s="11" t="s">
        <v>930</v>
      </c>
      <c r="Y105" s="11" t="s">
        <v>1409</v>
      </c>
      <c r="Z105" s="210" t="s">
        <v>964</v>
      </c>
      <c r="AA105" s="210" t="s">
        <v>965</v>
      </c>
      <c r="AB105" s="11"/>
      <c r="AC105" s="11"/>
      <c r="AD105" s="11"/>
      <c r="AE105" s="11"/>
      <c r="AF105" s="11" t="s">
        <v>966</v>
      </c>
      <c r="AG105" s="11"/>
      <c r="AH105" s="11"/>
      <c r="AI105" s="11"/>
    </row>
    <row r="106" spans="1:51" s="186" customFormat="1">
      <c r="A106" s="202" t="s">
        <v>967</v>
      </c>
      <c r="B106" s="203">
        <v>0.54379517476594297</v>
      </c>
      <c r="C106" s="204" t="s">
        <v>28</v>
      </c>
      <c r="D106" s="205">
        <v>14.3909034729003</v>
      </c>
      <c r="E106" s="204">
        <v>0.55299999999999905</v>
      </c>
      <c r="F106" s="204">
        <v>14.1</v>
      </c>
      <c r="G106" s="204">
        <v>35.3103490253934</v>
      </c>
      <c r="H106" s="204">
        <v>-120.661405701211</v>
      </c>
      <c r="I106" s="204">
        <v>35.310386374333298</v>
      </c>
      <c r="J106" s="333">
        <v>-120.66145436483301</v>
      </c>
      <c r="K106" s="204" t="s">
        <v>627</v>
      </c>
      <c r="L106" s="204"/>
      <c r="M106" s="204" t="s">
        <v>30</v>
      </c>
      <c r="N106" s="204" t="s">
        <v>628</v>
      </c>
      <c r="O106" s="206">
        <v>21</v>
      </c>
      <c r="P106" s="433">
        <v>25</v>
      </c>
      <c r="Q106" s="207">
        <v>4</v>
      </c>
      <c r="R106" s="206">
        <v>1</v>
      </c>
      <c r="S106" s="465">
        <v>4</v>
      </c>
      <c r="T106" s="502" t="s">
        <v>1179</v>
      </c>
      <c r="U106" s="588"/>
      <c r="V106" s="202">
        <v>4.0999999999999996</v>
      </c>
      <c r="W106" s="204" t="s">
        <v>33</v>
      </c>
      <c r="X106" s="204" t="s">
        <v>930</v>
      </c>
      <c r="Y106" s="204" t="s">
        <v>1409</v>
      </c>
      <c r="Z106" s="208" t="s">
        <v>968</v>
      </c>
      <c r="AA106" s="208" t="s">
        <v>969</v>
      </c>
      <c r="AB106" s="204"/>
      <c r="AC106" s="204"/>
      <c r="AD106" s="204"/>
      <c r="AE106" s="204"/>
      <c r="AF106" s="204" t="s">
        <v>970</v>
      </c>
      <c r="AG106" s="204"/>
      <c r="AH106" s="204"/>
      <c r="AI106" s="204"/>
    </row>
    <row r="107" spans="1:51" s="175" customFormat="1">
      <c r="A107" s="211" t="s">
        <v>971</v>
      </c>
      <c r="B107" s="212">
        <v>0.61402997337334597</v>
      </c>
      <c r="C107" s="213" t="s">
        <v>28</v>
      </c>
      <c r="D107" s="214">
        <v>1.22324454784393</v>
      </c>
      <c r="E107" s="213">
        <v>0.63</v>
      </c>
      <c r="F107" s="213">
        <v>1.3</v>
      </c>
      <c r="G107" s="213">
        <v>35.3104021291729</v>
      </c>
      <c r="H107" s="213">
        <v>-120.661434949867</v>
      </c>
      <c r="I107" s="213"/>
      <c r="J107" s="328"/>
      <c r="K107" s="213" t="s">
        <v>627</v>
      </c>
      <c r="L107" s="213"/>
      <c r="M107" s="213" t="s">
        <v>30</v>
      </c>
      <c r="N107" s="213" t="s">
        <v>628</v>
      </c>
      <c r="O107" s="215">
        <v>21</v>
      </c>
      <c r="P107" s="435">
        <v>25</v>
      </c>
      <c r="Q107" s="216">
        <v>4</v>
      </c>
      <c r="R107" s="215">
        <v>2</v>
      </c>
      <c r="S107" s="472">
        <v>4</v>
      </c>
      <c r="T107" s="505"/>
      <c r="U107" s="590"/>
      <c r="V107" s="211">
        <v>4.2</v>
      </c>
      <c r="W107" s="213" t="s">
        <v>33</v>
      </c>
      <c r="X107" s="213" t="s">
        <v>930</v>
      </c>
      <c r="Y107" s="11" t="s">
        <v>1409</v>
      </c>
      <c r="Z107" s="217" t="s">
        <v>972</v>
      </c>
      <c r="AA107" s="217" t="s">
        <v>973</v>
      </c>
      <c r="AB107" s="213"/>
      <c r="AC107" s="213"/>
      <c r="AD107" s="213"/>
      <c r="AE107" s="213"/>
      <c r="AF107" s="213" t="s">
        <v>974</v>
      </c>
      <c r="AG107" s="213"/>
      <c r="AH107" s="213"/>
      <c r="AI107" s="213"/>
    </row>
    <row r="108" spans="1:51">
      <c r="A108" s="11" t="s">
        <v>975</v>
      </c>
      <c r="B108" s="12">
        <v>0.481048230901572</v>
      </c>
      <c r="C108" s="11" t="s">
        <v>28</v>
      </c>
      <c r="D108" s="13">
        <v>13.256700515746999</v>
      </c>
      <c r="E108" s="11">
        <v>0.52100000000000002</v>
      </c>
      <c r="F108" s="11">
        <v>13</v>
      </c>
      <c r="G108" s="11">
        <v>35.310399360056401</v>
      </c>
      <c r="H108" s="11">
        <v>-120.661342106871</v>
      </c>
      <c r="I108" s="11">
        <v>35.310402701666597</v>
      </c>
      <c r="J108" s="322">
        <v>-120.661370797833</v>
      </c>
      <c r="K108" s="11" t="s">
        <v>627</v>
      </c>
      <c r="L108" s="11"/>
      <c r="M108" s="11" t="s">
        <v>30</v>
      </c>
      <c r="N108" s="11" t="s">
        <v>628</v>
      </c>
      <c r="O108" s="129">
        <v>21</v>
      </c>
      <c r="P108" s="434">
        <v>25</v>
      </c>
      <c r="Q108" s="112">
        <v>5</v>
      </c>
      <c r="R108" s="129">
        <v>1</v>
      </c>
      <c r="S108" s="466">
        <v>4</v>
      </c>
      <c r="T108" s="501" t="s">
        <v>1179</v>
      </c>
      <c r="U108" s="587"/>
      <c r="V108" s="209">
        <v>5.0999999999999996</v>
      </c>
      <c r="W108" s="11" t="s">
        <v>33</v>
      </c>
      <c r="X108" s="11" t="s">
        <v>930</v>
      </c>
      <c r="Y108" s="204" t="s">
        <v>1409</v>
      </c>
      <c r="Z108" s="47" t="s">
        <v>976</v>
      </c>
      <c r="AA108" s="47" t="s">
        <v>977</v>
      </c>
      <c r="AB108" s="11"/>
      <c r="AC108" s="11"/>
      <c r="AD108" s="11"/>
      <c r="AE108" s="11"/>
      <c r="AF108" s="11" t="s">
        <v>978</v>
      </c>
      <c r="AG108" s="11"/>
      <c r="AH108" s="11"/>
      <c r="AI108" s="11"/>
    </row>
    <row r="109" spans="1:51">
      <c r="A109" s="11" t="s">
        <v>979</v>
      </c>
      <c r="B109" s="12">
        <v>0.40005521912861902</v>
      </c>
      <c r="C109" s="11" t="s">
        <v>28</v>
      </c>
      <c r="D109" s="13">
        <v>1.2690014839172301</v>
      </c>
      <c r="E109" s="11">
        <v>0.45799999999999902</v>
      </c>
      <c r="F109" s="11">
        <v>1.3</v>
      </c>
      <c r="G109" s="11">
        <v>35.3103503804913</v>
      </c>
      <c r="H109" s="11">
        <v>-120.66129897155</v>
      </c>
      <c r="I109" s="11"/>
      <c r="J109" s="322"/>
      <c r="K109" s="11" t="s">
        <v>627</v>
      </c>
      <c r="L109" s="11"/>
      <c r="M109" s="11" t="s">
        <v>30</v>
      </c>
      <c r="N109" s="11" t="s">
        <v>628</v>
      </c>
      <c r="O109" s="129">
        <v>21</v>
      </c>
      <c r="P109" s="434">
        <v>25</v>
      </c>
      <c r="Q109" s="112">
        <v>5</v>
      </c>
      <c r="R109" s="129">
        <v>2</v>
      </c>
      <c r="S109" s="466">
        <v>4</v>
      </c>
      <c r="T109" s="501"/>
      <c r="U109" s="587"/>
      <c r="V109" s="209">
        <v>5.2</v>
      </c>
      <c r="W109" s="11" t="s">
        <v>33</v>
      </c>
      <c r="X109" s="11" t="s">
        <v>930</v>
      </c>
      <c r="Y109" s="11" t="s">
        <v>1409</v>
      </c>
      <c r="Z109" s="47" t="s">
        <v>980</v>
      </c>
      <c r="AA109" s="47" t="s">
        <v>981</v>
      </c>
      <c r="AB109" s="11"/>
      <c r="AC109" s="11"/>
      <c r="AD109" s="11"/>
      <c r="AE109" s="11"/>
      <c r="AF109" s="11" t="s">
        <v>982</v>
      </c>
      <c r="AG109" s="11"/>
      <c r="AH109" s="11"/>
      <c r="AI109" s="11"/>
    </row>
    <row r="110" spans="1:51">
      <c r="A110" s="11" t="s">
        <v>983</v>
      </c>
      <c r="B110" s="12">
        <v>0.23357482444594899</v>
      </c>
      <c r="C110" s="11" t="s">
        <v>28</v>
      </c>
      <c r="D110" s="13">
        <v>1.3416066169738701</v>
      </c>
      <c r="E110" s="11">
        <v>0.28199999999999997</v>
      </c>
      <c r="F110" s="11">
        <v>1.3</v>
      </c>
      <c r="G110" s="11">
        <v>35.310400315628499</v>
      </c>
      <c r="H110" s="11">
        <v>-120.661306245901</v>
      </c>
      <c r="I110" s="11"/>
      <c r="J110" s="322"/>
      <c r="K110" s="11" t="s">
        <v>627</v>
      </c>
      <c r="L110" s="11"/>
      <c r="M110" s="11" t="s">
        <v>30</v>
      </c>
      <c r="N110" s="11" t="s">
        <v>628</v>
      </c>
      <c r="O110" s="129">
        <v>21</v>
      </c>
      <c r="P110" s="434">
        <v>25</v>
      </c>
      <c r="Q110" s="112">
        <v>5</v>
      </c>
      <c r="R110" s="129">
        <v>3</v>
      </c>
      <c r="S110" s="466">
        <v>4</v>
      </c>
      <c r="T110" s="501"/>
      <c r="U110" s="587"/>
      <c r="V110" s="209">
        <v>5.3</v>
      </c>
      <c r="W110" s="11" t="s">
        <v>33</v>
      </c>
      <c r="X110" s="11" t="s">
        <v>930</v>
      </c>
      <c r="Y110" s="11" t="s">
        <v>1409</v>
      </c>
      <c r="Z110" s="47" t="s">
        <v>984</v>
      </c>
      <c r="AA110" s="47" t="s">
        <v>985</v>
      </c>
      <c r="AB110" s="11"/>
      <c r="AC110" s="11"/>
      <c r="AD110" s="11"/>
      <c r="AE110" s="11"/>
      <c r="AF110" s="11" t="s">
        <v>986</v>
      </c>
      <c r="AG110" s="11"/>
      <c r="AH110" s="11"/>
      <c r="AI110" s="11"/>
    </row>
    <row r="111" spans="1:51">
      <c r="A111" s="11" t="s">
        <v>987</v>
      </c>
      <c r="B111" s="12">
        <v>0.34839585943354701</v>
      </c>
      <c r="C111" s="11" t="s">
        <v>28</v>
      </c>
      <c r="D111" s="13">
        <v>1.3639338016510001</v>
      </c>
      <c r="E111" s="11">
        <v>0.373</v>
      </c>
      <c r="F111" s="11">
        <v>1.3</v>
      </c>
      <c r="G111" s="11">
        <v>35.310414147652601</v>
      </c>
      <c r="H111" s="11">
        <v>-120.661327418002</v>
      </c>
      <c r="I111" s="11"/>
      <c r="J111" s="322"/>
      <c r="K111" s="11" t="s">
        <v>627</v>
      </c>
      <c r="L111" s="11"/>
      <c r="M111" s="11" t="s">
        <v>30</v>
      </c>
      <c r="N111" s="11" t="s">
        <v>628</v>
      </c>
      <c r="O111" s="129">
        <v>21</v>
      </c>
      <c r="P111" s="434">
        <v>25</v>
      </c>
      <c r="Q111" s="112">
        <v>5</v>
      </c>
      <c r="R111" s="129">
        <v>4</v>
      </c>
      <c r="S111" s="466">
        <v>4</v>
      </c>
      <c r="T111" s="501"/>
      <c r="U111" s="587"/>
      <c r="V111" s="209">
        <v>5.4</v>
      </c>
      <c r="W111" s="11" t="s">
        <v>33</v>
      </c>
      <c r="X111" s="11" t="s">
        <v>930</v>
      </c>
      <c r="Y111" s="11" t="s">
        <v>1409</v>
      </c>
      <c r="Z111" s="47" t="s">
        <v>988</v>
      </c>
      <c r="AA111" s="47" t="s">
        <v>989</v>
      </c>
      <c r="AB111" s="11"/>
      <c r="AC111" s="11"/>
      <c r="AD111" s="11"/>
      <c r="AE111" s="11"/>
      <c r="AF111" s="11" t="s">
        <v>990</v>
      </c>
      <c r="AG111" s="11"/>
      <c r="AH111" s="11"/>
      <c r="AI111" s="11"/>
    </row>
    <row r="112" spans="1:51" s="181" customFormat="1">
      <c r="A112" s="512" t="s">
        <v>1410</v>
      </c>
      <c r="B112" s="512">
        <v>0.11525100000000001</v>
      </c>
      <c r="C112" s="512" t="s">
        <v>28</v>
      </c>
      <c r="D112" s="512">
        <v>3.3028759999999999</v>
      </c>
      <c r="E112" s="512">
        <v>0.1</v>
      </c>
      <c r="F112" s="512">
        <v>3</v>
      </c>
      <c r="G112" s="512">
        <v>35.310459999999999</v>
      </c>
      <c r="H112" s="512">
        <v>-120.661</v>
      </c>
      <c r="I112" s="259">
        <v>35.310464828666603</v>
      </c>
      <c r="J112" s="335" t="s">
        <v>1411</v>
      </c>
      <c r="K112" s="512" t="s">
        <v>627</v>
      </c>
      <c r="L112" s="512"/>
      <c r="M112" s="512" t="s">
        <v>30</v>
      </c>
      <c r="N112" s="512" t="s">
        <v>1189</v>
      </c>
      <c r="O112" s="512"/>
      <c r="P112" s="513">
        <v>26</v>
      </c>
      <c r="Q112" s="514">
        <v>1</v>
      </c>
      <c r="R112" s="514">
        <v>1</v>
      </c>
      <c r="S112" s="513">
        <v>4</v>
      </c>
      <c r="T112" s="515"/>
      <c r="U112" s="599"/>
      <c r="V112" s="576" t="s">
        <v>1412</v>
      </c>
      <c r="W112" s="512" t="s">
        <v>33</v>
      </c>
      <c r="X112" s="516" t="s">
        <v>1413</v>
      </c>
      <c r="Y112" s="516" t="s">
        <v>1413</v>
      </c>
      <c r="Z112" s="517" t="s">
        <v>1414</v>
      </c>
      <c r="AA112" s="517" t="s">
        <v>1415</v>
      </c>
      <c r="AB112" s="517"/>
      <c r="AC112" s="512"/>
      <c r="AD112" s="512"/>
      <c r="AE112" s="512"/>
      <c r="AF112" s="512" t="s">
        <v>1416</v>
      </c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</row>
    <row r="113" spans="1:51" s="259" customFormat="1">
      <c r="A113" s="518" t="s">
        <v>1417</v>
      </c>
      <c r="B113" s="518">
        <v>5.5622999999999999E-2</v>
      </c>
      <c r="C113" s="518" t="s">
        <v>28</v>
      </c>
      <c r="D113" s="518">
        <v>2.458907</v>
      </c>
      <c r="E113" s="518">
        <v>4.2000000000000003E-2</v>
      </c>
      <c r="F113" s="518">
        <v>2.5</v>
      </c>
      <c r="G113" s="518">
        <v>35.310499999999998</v>
      </c>
      <c r="H113" s="518">
        <v>-120.661</v>
      </c>
      <c r="I113" s="519">
        <v>35.310479531833302</v>
      </c>
      <c r="J113" s="331">
        <v>-120.66141863466601</v>
      </c>
      <c r="K113" s="518" t="s">
        <v>627</v>
      </c>
      <c r="L113" s="518"/>
      <c r="M113" s="518" t="s">
        <v>30</v>
      </c>
      <c r="N113" s="518" t="s">
        <v>1189</v>
      </c>
      <c r="O113" s="518"/>
      <c r="P113" s="520">
        <v>26</v>
      </c>
      <c r="Q113" s="521">
        <v>2</v>
      </c>
      <c r="R113" s="521">
        <v>1</v>
      </c>
      <c r="S113" s="520">
        <v>4</v>
      </c>
      <c r="T113" s="522"/>
      <c r="U113" s="594"/>
      <c r="V113" s="576" t="s">
        <v>1412</v>
      </c>
      <c r="W113" s="518" t="s">
        <v>33</v>
      </c>
      <c r="X113" s="516" t="s">
        <v>1413</v>
      </c>
      <c r="Y113" s="516" t="s">
        <v>1413</v>
      </c>
      <c r="Z113" s="195" t="s">
        <v>1418</v>
      </c>
      <c r="AA113" s="195" t="s">
        <v>1419</v>
      </c>
      <c r="AB113" s="195"/>
      <c r="AC113" s="518"/>
      <c r="AD113" s="518"/>
      <c r="AE113" s="518"/>
      <c r="AF113" s="518" t="s">
        <v>1420</v>
      </c>
      <c r="AG113" s="191"/>
      <c r="AH113" s="191"/>
      <c r="AI113" s="195" t="s">
        <v>1421</v>
      </c>
      <c r="AJ113" s="191"/>
      <c r="AK113" s="191"/>
      <c r="AL113" s="191"/>
      <c r="AM113" s="191"/>
      <c r="AN113" s="191"/>
      <c r="AO113" s="191"/>
      <c r="AP113" s="191"/>
      <c r="AQ113" s="191"/>
      <c r="AR113" s="191"/>
      <c r="AS113" s="191"/>
      <c r="AT113" s="191"/>
      <c r="AU113" s="191"/>
      <c r="AV113" s="191"/>
      <c r="AW113" s="191"/>
      <c r="AX113" s="191"/>
      <c r="AY113" s="191"/>
    </row>
    <row r="114" spans="1:51" s="191" customFormat="1">
      <c r="A114" s="518" t="s">
        <v>1422</v>
      </c>
      <c r="B114" s="518">
        <v>7.1114999999999998E-2</v>
      </c>
      <c r="C114" s="518" t="s">
        <v>28</v>
      </c>
      <c r="D114" s="518">
        <v>2.8698619999999999</v>
      </c>
      <c r="E114" s="518">
        <v>3.1E-2</v>
      </c>
      <c r="F114" s="518">
        <v>2.5</v>
      </c>
      <c r="G114" s="518">
        <v>35.310450000000003</v>
      </c>
      <c r="H114" s="518">
        <v>-120.661</v>
      </c>
      <c r="I114" s="191">
        <v>35.3104548501666</v>
      </c>
      <c r="J114" s="331">
        <v>-120.66141986749901</v>
      </c>
      <c r="K114" s="518" t="s">
        <v>627</v>
      </c>
      <c r="L114" s="518"/>
      <c r="M114" s="518" t="s">
        <v>30</v>
      </c>
      <c r="N114" s="518" t="s">
        <v>1189</v>
      </c>
      <c r="O114" s="518"/>
      <c r="P114" s="520">
        <v>26</v>
      </c>
      <c r="Q114" s="521">
        <v>3</v>
      </c>
      <c r="R114" s="521">
        <v>1</v>
      </c>
      <c r="S114" s="520">
        <v>4</v>
      </c>
      <c r="T114" s="522"/>
      <c r="U114" s="594"/>
      <c r="V114" s="576" t="s">
        <v>1423</v>
      </c>
      <c r="W114" s="518" t="s">
        <v>33</v>
      </c>
      <c r="X114" s="516" t="s">
        <v>1413</v>
      </c>
      <c r="Y114" s="516" t="s">
        <v>1413</v>
      </c>
      <c r="Z114" s="195" t="s">
        <v>1424</v>
      </c>
      <c r="AA114" s="195" t="s">
        <v>1425</v>
      </c>
      <c r="AB114" s="195"/>
      <c r="AC114" s="518"/>
      <c r="AD114" s="518"/>
      <c r="AE114" s="518"/>
      <c r="AF114" s="518" t="s">
        <v>1426</v>
      </c>
    </row>
    <row r="115" spans="1:51" s="15" customFormat="1">
      <c r="A115" s="523" t="s">
        <v>1427</v>
      </c>
      <c r="B115" s="523">
        <v>0.13206499999999999</v>
      </c>
      <c r="C115" s="523" t="s">
        <v>28</v>
      </c>
      <c r="D115" s="523">
        <v>3.4712320000000001</v>
      </c>
      <c r="E115" s="523">
        <v>0.123</v>
      </c>
      <c r="F115" s="523">
        <v>3.4</v>
      </c>
      <c r="G115" s="523">
        <v>35.310510000000001</v>
      </c>
      <c r="H115" s="523">
        <v>-120.661</v>
      </c>
      <c r="I115" s="15">
        <v>35.310468707833301</v>
      </c>
      <c r="J115" s="325">
        <v>-120.66143524149901</v>
      </c>
      <c r="K115" s="523" t="s">
        <v>627</v>
      </c>
      <c r="L115" s="523"/>
      <c r="M115" s="523" t="s">
        <v>30</v>
      </c>
      <c r="N115" s="523" t="s">
        <v>1189</v>
      </c>
      <c r="O115" s="523"/>
      <c r="P115" s="524">
        <v>26</v>
      </c>
      <c r="Q115" s="525">
        <v>4</v>
      </c>
      <c r="R115" s="525">
        <v>1</v>
      </c>
      <c r="S115" s="524">
        <v>4</v>
      </c>
      <c r="T115" s="526"/>
      <c r="U115" s="591"/>
      <c r="V115" s="577" t="s">
        <v>1428</v>
      </c>
      <c r="W115" s="523" t="s">
        <v>33</v>
      </c>
      <c r="X115" s="516" t="s">
        <v>1413</v>
      </c>
      <c r="Y115" s="516" t="s">
        <v>1413</v>
      </c>
      <c r="Z115" s="45" t="s">
        <v>1429</v>
      </c>
      <c r="AA115" s="45" t="s">
        <v>1430</v>
      </c>
      <c r="AB115" s="45"/>
      <c r="AC115" s="523"/>
      <c r="AD115" s="523"/>
      <c r="AE115" s="523"/>
      <c r="AF115" s="523" t="s">
        <v>1431</v>
      </c>
      <c r="AI115" s="45" t="s">
        <v>1432</v>
      </c>
    </row>
    <row r="116" spans="1:51" s="563" customFormat="1">
      <c r="B116" s="606"/>
      <c r="C116" s="218"/>
      <c r="D116" s="607"/>
      <c r="E116" s="218"/>
      <c r="F116" s="563">
        <v>3.1</v>
      </c>
      <c r="I116" s="563">
        <v>35.310444292666602</v>
      </c>
      <c r="J116" s="564">
        <v>-120.661381112166</v>
      </c>
      <c r="O116" s="565"/>
      <c r="P116" s="566">
        <v>27</v>
      </c>
      <c r="Q116" s="567">
        <v>1</v>
      </c>
      <c r="R116" s="565">
        <v>1</v>
      </c>
      <c r="S116" s="568">
        <v>4</v>
      </c>
      <c r="T116" s="568"/>
      <c r="U116" s="588" t="s">
        <v>1433</v>
      </c>
      <c r="X116" s="578" t="s">
        <v>1434</v>
      </c>
      <c r="Y116" s="557" t="s">
        <v>1435</v>
      </c>
      <c r="Z116" s="569"/>
      <c r="AA116" s="569"/>
    </row>
    <row r="117" spans="1:51" s="222" customFormat="1">
      <c r="A117" s="527" t="s">
        <v>1436</v>
      </c>
      <c r="B117" s="527">
        <v>5.6855000000000003E-2</v>
      </c>
      <c r="C117" s="527" t="s">
        <v>28</v>
      </c>
      <c r="D117" s="527">
        <v>4.318683</v>
      </c>
      <c r="E117" s="527">
        <v>4.7E-2</v>
      </c>
      <c r="F117" s="527">
        <v>4.0999999999999996</v>
      </c>
      <c r="G117" s="527">
        <v>35.310510000000001</v>
      </c>
      <c r="H117" s="527">
        <v>-120.661</v>
      </c>
      <c r="I117" s="222">
        <v>35.310483555333299</v>
      </c>
      <c r="J117" s="323">
        <v>-120.661440178833</v>
      </c>
      <c r="K117" s="527" t="s">
        <v>627</v>
      </c>
      <c r="L117" s="527"/>
      <c r="M117" s="527" t="s">
        <v>30</v>
      </c>
      <c r="N117" s="527" t="s">
        <v>1189</v>
      </c>
      <c r="O117" s="527"/>
      <c r="P117" s="528">
        <v>28</v>
      </c>
      <c r="Q117" s="529">
        <v>1</v>
      </c>
      <c r="R117" s="529">
        <v>1</v>
      </c>
      <c r="S117" s="528">
        <v>4</v>
      </c>
      <c r="T117" s="530"/>
      <c r="U117" s="600"/>
      <c r="V117" s="579" t="s">
        <v>807</v>
      </c>
      <c r="W117" s="527" t="s">
        <v>33</v>
      </c>
      <c r="X117" s="527" t="s">
        <v>1437</v>
      </c>
      <c r="Y117" s="527" t="s">
        <v>1438</v>
      </c>
      <c r="Z117" s="531" t="s">
        <v>1439</v>
      </c>
      <c r="AA117" s="531" t="s">
        <v>1440</v>
      </c>
      <c r="AB117" s="531"/>
      <c r="AC117" s="527"/>
      <c r="AD117" s="527"/>
      <c r="AE117" s="527"/>
      <c r="AF117" s="527" t="s">
        <v>1441</v>
      </c>
      <c r="AI117" s="531" t="s">
        <v>1442</v>
      </c>
    </row>
    <row r="118" spans="1:51" s="40" customFormat="1">
      <c r="A118" s="532" t="s">
        <v>1443</v>
      </c>
      <c r="B118" s="532">
        <v>5.9806999999999999E-2</v>
      </c>
      <c r="C118" s="532" t="s">
        <v>28</v>
      </c>
      <c r="D118" s="532">
        <v>1.3502190000000001</v>
      </c>
      <c r="E118" s="532">
        <v>5.5E-2</v>
      </c>
      <c r="F118" s="532"/>
      <c r="G118" s="532">
        <v>35.310519999999997</v>
      </c>
      <c r="H118" s="532">
        <v>-120.661</v>
      </c>
      <c r="J118" s="340"/>
      <c r="K118" s="532" t="s">
        <v>627</v>
      </c>
      <c r="L118" s="532"/>
      <c r="M118" s="532" t="s">
        <v>30</v>
      </c>
      <c r="N118" s="532" t="s">
        <v>1189</v>
      </c>
      <c r="O118" s="532"/>
      <c r="P118" s="533">
        <v>28</v>
      </c>
      <c r="Q118" s="534">
        <v>1</v>
      </c>
      <c r="R118" s="534">
        <v>2</v>
      </c>
      <c r="S118" s="533">
        <v>4</v>
      </c>
      <c r="T118" s="535"/>
      <c r="U118" s="591"/>
      <c r="V118" s="580" t="s">
        <v>1444</v>
      </c>
      <c r="W118" s="532" t="s">
        <v>33</v>
      </c>
      <c r="X118" s="527" t="s">
        <v>1437</v>
      </c>
      <c r="Y118" s="532" t="s">
        <v>1438</v>
      </c>
      <c r="Z118" s="43" t="s">
        <v>1445</v>
      </c>
      <c r="AA118" s="43" t="s">
        <v>1446</v>
      </c>
      <c r="AB118" s="43"/>
      <c r="AC118" s="532"/>
      <c r="AD118" s="532"/>
      <c r="AE118" s="532"/>
      <c r="AF118" s="532" t="s">
        <v>1447</v>
      </c>
      <c r="AI118" s="43" t="s">
        <v>1448</v>
      </c>
    </row>
    <row r="119" spans="1:51" s="40" customFormat="1">
      <c r="A119" s="532" t="s">
        <v>1449</v>
      </c>
      <c r="B119" s="532">
        <v>5.4916E-2</v>
      </c>
      <c r="C119" s="532" t="s">
        <v>28</v>
      </c>
      <c r="D119" s="532">
        <v>1.219449</v>
      </c>
      <c r="E119" s="532">
        <v>4.2000000000000003E-2</v>
      </c>
      <c r="F119" s="532"/>
      <c r="G119" s="532">
        <v>35.310499999999998</v>
      </c>
      <c r="H119" s="532">
        <v>-120.661</v>
      </c>
      <c r="J119" s="340"/>
      <c r="K119" s="532" t="s">
        <v>627</v>
      </c>
      <c r="L119" s="532"/>
      <c r="M119" s="532" t="s">
        <v>30</v>
      </c>
      <c r="N119" s="532" t="s">
        <v>1189</v>
      </c>
      <c r="O119" s="532"/>
      <c r="P119" s="533">
        <v>28</v>
      </c>
      <c r="Q119" s="534">
        <v>1</v>
      </c>
      <c r="R119" s="534">
        <v>3</v>
      </c>
      <c r="S119" s="533">
        <v>4</v>
      </c>
      <c r="T119" s="535"/>
      <c r="U119" s="591"/>
      <c r="V119" s="580" t="s">
        <v>816</v>
      </c>
      <c r="W119" s="532" t="s">
        <v>33</v>
      </c>
      <c r="X119" s="527" t="s">
        <v>1437</v>
      </c>
      <c r="Y119" s="532" t="s">
        <v>1438</v>
      </c>
      <c r="Z119" s="43" t="s">
        <v>1450</v>
      </c>
      <c r="AA119" s="43" t="s">
        <v>1451</v>
      </c>
      <c r="AB119" s="43"/>
      <c r="AC119" s="532"/>
      <c r="AD119" s="532"/>
      <c r="AE119" s="532"/>
      <c r="AF119" s="532" t="s">
        <v>1452</v>
      </c>
    </row>
    <row r="120" spans="1:51" s="40" customFormat="1">
      <c r="A120" s="532" t="s">
        <v>1453</v>
      </c>
      <c r="B120" s="532">
        <v>5.9327999999999999E-2</v>
      </c>
      <c r="C120" s="532" t="s">
        <v>28</v>
      </c>
      <c r="D120" s="532">
        <v>1.2958540000000001</v>
      </c>
      <c r="E120" s="532">
        <v>4.2000000000000003E-2</v>
      </c>
      <c r="F120" s="532"/>
      <c r="G120" s="532">
        <v>35.310479999999998</v>
      </c>
      <c r="H120" s="532">
        <v>-120.661</v>
      </c>
      <c r="J120" s="340"/>
      <c r="K120" s="532" t="s">
        <v>627</v>
      </c>
      <c r="L120" s="532"/>
      <c r="M120" s="532" t="s">
        <v>30</v>
      </c>
      <c r="N120" s="532" t="s">
        <v>1189</v>
      </c>
      <c r="O120" s="532"/>
      <c r="P120" s="533">
        <v>28</v>
      </c>
      <c r="Q120" s="534">
        <v>1</v>
      </c>
      <c r="R120" s="534">
        <v>4</v>
      </c>
      <c r="S120" s="533">
        <v>4</v>
      </c>
      <c r="T120" s="535"/>
      <c r="U120" s="591"/>
      <c r="V120" s="580" t="s">
        <v>821</v>
      </c>
      <c r="W120" s="532" t="s">
        <v>33</v>
      </c>
      <c r="X120" s="527" t="s">
        <v>1437</v>
      </c>
      <c r="Y120" s="532" t="s">
        <v>1438</v>
      </c>
      <c r="Z120" s="43" t="s">
        <v>1454</v>
      </c>
      <c r="AA120" s="43" t="s">
        <v>1455</v>
      </c>
      <c r="AB120" s="43"/>
      <c r="AC120" s="532"/>
      <c r="AD120" s="532"/>
      <c r="AE120" s="532"/>
      <c r="AF120" s="532" t="s">
        <v>1456</v>
      </c>
    </row>
    <row r="121" spans="1:51" s="40" customFormat="1">
      <c r="A121" s="532" t="s">
        <v>1457</v>
      </c>
      <c r="B121" s="532">
        <v>5.8520000000000003E-2</v>
      </c>
      <c r="C121" s="532" t="s">
        <v>28</v>
      </c>
      <c r="D121" s="532">
        <v>1.231889</v>
      </c>
      <c r="E121" s="532">
        <v>2.5999999999999999E-2</v>
      </c>
      <c r="F121" s="532"/>
      <c r="G121" s="532">
        <v>35.31053</v>
      </c>
      <c r="H121" s="532">
        <v>-120.661</v>
      </c>
      <c r="J121" s="340"/>
      <c r="K121" s="532" t="s">
        <v>627</v>
      </c>
      <c r="L121" s="532"/>
      <c r="M121" s="532" t="s">
        <v>30</v>
      </c>
      <c r="N121" s="532" t="s">
        <v>1189</v>
      </c>
      <c r="O121" s="532"/>
      <c r="P121" s="533">
        <v>28</v>
      </c>
      <c r="Q121" s="534">
        <v>1</v>
      </c>
      <c r="R121" s="534">
        <v>5</v>
      </c>
      <c r="S121" s="533">
        <v>4</v>
      </c>
      <c r="T121" s="535"/>
      <c r="U121" s="601" t="s">
        <v>1458</v>
      </c>
      <c r="V121" s="580" t="s">
        <v>1459</v>
      </c>
      <c r="W121" s="532" t="s">
        <v>33</v>
      </c>
      <c r="X121" s="527" t="s">
        <v>1437</v>
      </c>
      <c r="Y121" s="532" t="s">
        <v>1438</v>
      </c>
      <c r="Z121" s="43" t="s">
        <v>1460</v>
      </c>
      <c r="AA121" s="43" t="s">
        <v>1461</v>
      </c>
      <c r="AB121" s="43"/>
      <c r="AC121" s="532"/>
      <c r="AD121" s="532"/>
      <c r="AE121" s="532"/>
      <c r="AF121" s="532" t="s">
        <v>1462</v>
      </c>
    </row>
    <row r="122" spans="1:51" s="310" customFormat="1">
      <c r="A122" s="537" t="s">
        <v>1463</v>
      </c>
      <c r="B122" s="537">
        <v>5.6509999999999998E-2</v>
      </c>
      <c r="C122" s="537" t="s">
        <v>28</v>
      </c>
      <c r="D122" s="537">
        <v>1.1719349999999999</v>
      </c>
      <c r="E122" s="537">
        <v>3.3000000000000002E-2</v>
      </c>
      <c r="F122" s="537"/>
      <c r="G122" s="537">
        <v>35.310510000000001</v>
      </c>
      <c r="H122" s="537">
        <v>-120.661</v>
      </c>
      <c r="J122" s="341"/>
      <c r="K122" s="537" t="s">
        <v>627</v>
      </c>
      <c r="L122" s="537"/>
      <c r="M122" s="537" t="s">
        <v>30</v>
      </c>
      <c r="N122" s="537" t="s">
        <v>1189</v>
      </c>
      <c r="O122" s="537"/>
      <c r="P122" s="538">
        <v>28</v>
      </c>
      <c r="Q122" s="539">
        <v>1</v>
      </c>
      <c r="R122" s="539">
        <v>6</v>
      </c>
      <c r="S122" s="538">
        <v>4</v>
      </c>
      <c r="T122" s="540"/>
      <c r="U122" s="594"/>
      <c r="V122" s="581" t="s">
        <v>1464</v>
      </c>
      <c r="W122" s="537" t="s">
        <v>33</v>
      </c>
      <c r="X122" s="527" t="s">
        <v>1437</v>
      </c>
      <c r="Y122" s="537" t="s">
        <v>1438</v>
      </c>
      <c r="Z122" s="315" t="s">
        <v>1465</v>
      </c>
      <c r="AA122" s="315" t="s">
        <v>1466</v>
      </c>
      <c r="AB122" s="315"/>
      <c r="AC122" s="537"/>
      <c r="AD122" s="537"/>
      <c r="AE122" s="537"/>
      <c r="AF122" s="537" t="s">
        <v>1467</v>
      </c>
    </row>
    <row r="123" spans="1:51" s="310" customFormat="1" ht="29.1">
      <c r="A123" s="537" t="s">
        <v>1468</v>
      </c>
      <c r="B123" s="537">
        <v>5.3754999999999997E-2</v>
      </c>
      <c r="C123" s="537" t="s">
        <v>28</v>
      </c>
      <c r="D123" s="537">
        <v>4.9751570000000003</v>
      </c>
      <c r="E123" s="537">
        <v>4.2999999999999997E-2</v>
      </c>
      <c r="F123" s="537">
        <v>4.2</v>
      </c>
      <c r="G123" s="537">
        <v>35.310490000000001</v>
      </c>
      <c r="H123" s="537">
        <v>-120.66200000000001</v>
      </c>
      <c r="I123" s="310">
        <v>35.310486576666598</v>
      </c>
      <c r="J123" s="341">
        <v>-120.661474960666</v>
      </c>
      <c r="K123" s="537" t="s">
        <v>627</v>
      </c>
      <c r="L123" s="537"/>
      <c r="M123" s="537" t="s">
        <v>30</v>
      </c>
      <c r="N123" s="537" t="s">
        <v>1189</v>
      </c>
      <c r="O123" s="537"/>
      <c r="P123" s="538">
        <v>28</v>
      </c>
      <c r="Q123" s="539">
        <v>2</v>
      </c>
      <c r="R123" s="539">
        <v>1</v>
      </c>
      <c r="S123" s="538">
        <v>4</v>
      </c>
      <c r="T123" s="540"/>
      <c r="U123" s="594" t="s">
        <v>1469</v>
      </c>
      <c r="V123" s="581" t="s">
        <v>1470</v>
      </c>
      <c r="W123" s="537" t="s">
        <v>33</v>
      </c>
      <c r="X123" s="527" t="s">
        <v>1437</v>
      </c>
      <c r="Y123" s="537" t="s">
        <v>1438</v>
      </c>
      <c r="Z123" s="315" t="s">
        <v>1471</v>
      </c>
      <c r="AA123" s="315" t="s">
        <v>1472</v>
      </c>
      <c r="AB123" s="315"/>
      <c r="AC123" s="537"/>
      <c r="AD123" s="537"/>
      <c r="AE123" s="537"/>
      <c r="AF123" s="537" t="s">
        <v>1473</v>
      </c>
      <c r="AI123" s="315" t="s">
        <v>1474</v>
      </c>
    </row>
    <row r="124" spans="1:51" s="191" customFormat="1">
      <c r="A124" s="518" t="s">
        <v>1475</v>
      </c>
      <c r="B124" s="518">
        <v>0.128414</v>
      </c>
      <c r="C124" s="518" t="s">
        <v>28</v>
      </c>
      <c r="D124" s="518">
        <v>3.181546</v>
      </c>
      <c r="E124" s="518">
        <v>0.13400000000000001</v>
      </c>
      <c r="F124" s="518">
        <v>3.4</v>
      </c>
      <c r="G124" s="518">
        <v>35.310499999999998</v>
      </c>
      <c r="H124" s="518">
        <v>-120.661</v>
      </c>
      <c r="I124" s="191">
        <v>35.310484401499998</v>
      </c>
      <c r="J124" s="331">
        <v>-120.66148513466599</v>
      </c>
      <c r="K124" s="518" t="s">
        <v>627</v>
      </c>
      <c r="L124" s="518"/>
      <c r="M124" s="518" t="s">
        <v>30</v>
      </c>
      <c r="N124" s="518" t="s">
        <v>1189</v>
      </c>
      <c r="O124" s="518"/>
      <c r="P124" s="520">
        <v>26</v>
      </c>
      <c r="Q124" s="521">
        <v>5</v>
      </c>
      <c r="R124" s="521">
        <v>1</v>
      </c>
      <c r="S124" s="520">
        <v>4</v>
      </c>
      <c r="T124" s="522"/>
      <c r="U124" s="594"/>
      <c r="V124" s="576" t="s">
        <v>1476</v>
      </c>
      <c r="W124" s="518" t="s">
        <v>33</v>
      </c>
      <c r="X124" s="516" t="s">
        <v>1413</v>
      </c>
      <c r="Y124" s="516" t="s">
        <v>1413</v>
      </c>
      <c r="Z124" s="195" t="s">
        <v>1477</v>
      </c>
      <c r="AA124" s="195" t="s">
        <v>1478</v>
      </c>
      <c r="AB124" s="195"/>
      <c r="AC124" s="518"/>
      <c r="AD124" s="518"/>
      <c r="AE124" s="518"/>
      <c r="AF124" s="518" t="s">
        <v>1479</v>
      </c>
      <c r="AI124" s="195" t="s">
        <v>1480</v>
      </c>
    </row>
    <row r="125" spans="1:51" s="310" customFormat="1">
      <c r="A125" s="537" t="s">
        <v>1481</v>
      </c>
      <c r="B125" s="537">
        <v>5.8106999999999999E-2</v>
      </c>
      <c r="C125" s="537" t="s">
        <v>28</v>
      </c>
      <c r="D125" s="537">
        <v>4.3639279999999996</v>
      </c>
      <c r="E125" s="537">
        <v>0.06</v>
      </c>
      <c r="F125" s="537">
        <v>4.0999999999999996</v>
      </c>
      <c r="G125" s="537">
        <v>35.310519999999997</v>
      </c>
      <c r="H125" s="537">
        <v>-120.661</v>
      </c>
      <c r="I125" s="310">
        <v>35.310497235166601</v>
      </c>
      <c r="J125" s="341">
        <v>-120.6614828295</v>
      </c>
      <c r="K125" s="537" t="s">
        <v>627</v>
      </c>
      <c r="L125" s="537"/>
      <c r="M125" s="537" t="s">
        <v>30</v>
      </c>
      <c r="N125" s="537" t="s">
        <v>1189</v>
      </c>
      <c r="O125" s="537"/>
      <c r="P125" s="538">
        <v>28</v>
      </c>
      <c r="Q125" s="539">
        <v>3</v>
      </c>
      <c r="R125" s="539">
        <v>1</v>
      </c>
      <c r="S125" s="538">
        <v>4</v>
      </c>
      <c r="T125" s="540" t="s">
        <v>1179</v>
      </c>
      <c r="U125" s="594" t="s">
        <v>1482</v>
      </c>
      <c r="V125" s="581"/>
      <c r="W125" s="537" t="s">
        <v>33</v>
      </c>
      <c r="X125" s="527" t="s">
        <v>1437</v>
      </c>
      <c r="Y125" s="537" t="s">
        <v>1438</v>
      </c>
      <c r="Z125" s="315" t="s">
        <v>1483</v>
      </c>
      <c r="AA125" s="315" t="s">
        <v>1484</v>
      </c>
      <c r="AB125" s="315"/>
      <c r="AC125" s="537"/>
      <c r="AD125" s="537"/>
      <c r="AE125" s="537"/>
      <c r="AF125" s="537" t="s">
        <v>1485</v>
      </c>
      <c r="AI125" s="315" t="s">
        <v>1486</v>
      </c>
    </row>
    <row r="126" spans="1:51" s="542" customFormat="1">
      <c r="A126" s="541" t="s">
        <v>1487</v>
      </c>
      <c r="B126" s="541">
        <v>5.2110999999999998E-2</v>
      </c>
      <c r="C126" s="541" t="s">
        <v>28</v>
      </c>
      <c r="D126" s="541">
        <v>3.8706119999999999</v>
      </c>
      <c r="E126" s="541">
        <v>4.5999999999999999E-2</v>
      </c>
      <c r="F126" s="541">
        <v>4</v>
      </c>
      <c r="G126" s="541">
        <v>35.310580000000002</v>
      </c>
      <c r="H126" s="541">
        <v>-120.661</v>
      </c>
      <c r="I126" s="542">
        <v>35.310499218333298</v>
      </c>
      <c r="J126" s="543">
        <v>-120.661528991</v>
      </c>
      <c r="K126" s="541" t="s">
        <v>627</v>
      </c>
      <c r="L126" s="541"/>
      <c r="M126" s="541" t="s">
        <v>30</v>
      </c>
      <c r="N126" s="541" t="s">
        <v>1189</v>
      </c>
      <c r="O126" s="541"/>
      <c r="P126" s="544">
        <v>22</v>
      </c>
      <c r="Q126" s="545">
        <v>2</v>
      </c>
      <c r="R126" s="545">
        <v>1</v>
      </c>
      <c r="S126" s="544">
        <v>4</v>
      </c>
      <c r="T126" s="546" t="s">
        <v>1179</v>
      </c>
      <c r="U126" s="594"/>
      <c r="V126" s="582" t="s">
        <v>1400</v>
      </c>
      <c r="W126" s="541" t="s">
        <v>33</v>
      </c>
      <c r="X126" s="541" t="s">
        <v>1400</v>
      </c>
      <c r="Y126" s="541" t="s">
        <v>1488</v>
      </c>
      <c r="Z126" s="547" t="s">
        <v>1489</v>
      </c>
      <c r="AA126" s="547" t="s">
        <v>1490</v>
      </c>
      <c r="AB126" s="547"/>
      <c r="AC126" s="541"/>
      <c r="AD126" s="541"/>
      <c r="AE126" s="541"/>
      <c r="AF126" s="541" t="s">
        <v>1491</v>
      </c>
    </row>
    <row r="127" spans="1:51" s="295" customFormat="1">
      <c r="A127" s="559" t="s">
        <v>1492</v>
      </c>
      <c r="B127" s="559">
        <v>0.72011899999999995</v>
      </c>
      <c r="C127" s="559" t="s">
        <v>28</v>
      </c>
      <c r="D127" s="559">
        <v>10.09027</v>
      </c>
      <c r="E127" s="559">
        <v>0.746</v>
      </c>
      <c r="F127" s="559">
        <v>9.4</v>
      </c>
      <c r="G127" s="559">
        <v>35.310639999999999</v>
      </c>
      <c r="H127" s="559">
        <v>-120.66200000000001</v>
      </c>
      <c r="I127" s="295">
        <v>35.310472553166598</v>
      </c>
      <c r="J127" s="330">
        <v>-120.66160356366601</v>
      </c>
      <c r="K127" s="559" t="s">
        <v>627</v>
      </c>
      <c r="L127" s="559"/>
      <c r="M127" s="559" t="s">
        <v>30</v>
      </c>
      <c r="N127" s="559" t="s">
        <v>1189</v>
      </c>
      <c r="O127" s="559"/>
      <c r="P127" s="560">
        <v>29</v>
      </c>
      <c r="Q127" s="561">
        <v>1</v>
      </c>
      <c r="R127" s="561">
        <v>1</v>
      </c>
      <c r="S127" s="560">
        <v>4</v>
      </c>
      <c r="T127" s="562"/>
      <c r="U127" s="602"/>
      <c r="V127" s="583" t="s">
        <v>1493</v>
      </c>
      <c r="W127" s="559" t="s">
        <v>33</v>
      </c>
      <c r="X127" s="559" t="s">
        <v>1494</v>
      </c>
      <c r="Y127" s="559" t="s">
        <v>1495</v>
      </c>
      <c r="Z127" s="306" t="s">
        <v>1496</v>
      </c>
      <c r="AA127" s="306" t="s">
        <v>1497</v>
      </c>
      <c r="AB127" s="306"/>
      <c r="AC127" s="559"/>
      <c r="AD127" s="559"/>
      <c r="AE127" s="559"/>
      <c r="AF127" s="559" t="s">
        <v>1498</v>
      </c>
      <c r="AI127" s="306" t="s">
        <v>1499</v>
      </c>
    </row>
    <row r="128" spans="1:51" s="550" customFormat="1">
      <c r="A128" s="548" t="s">
        <v>991</v>
      </c>
      <c r="B128" s="549">
        <v>7.26102747168033E-2</v>
      </c>
      <c r="C128" s="550" t="s">
        <v>28</v>
      </c>
      <c r="D128" s="551">
        <v>4.3274192810058496</v>
      </c>
      <c r="E128" s="176"/>
      <c r="F128" s="550">
        <v>4.3</v>
      </c>
      <c r="G128" s="550">
        <v>35.310429642276802</v>
      </c>
      <c r="H128" s="550">
        <v>-120.661536673586</v>
      </c>
      <c r="I128" s="550">
        <v>35.310390899333299</v>
      </c>
      <c r="J128" s="552">
        <v>-120.6616065595</v>
      </c>
      <c r="K128" s="550" t="s">
        <v>627</v>
      </c>
      <c r="M128" s="550" t="s">
        <v>30</v>
      </c>
      <c r="N128" s="550" t="s">
        <v>628</v>
      </c>
      <c r="O128" s="553">
        <v>22</v>
      </c>
      <c r="P128" s="554">
        <v>27</v>
      </c>
      <c r="Q128" s="555">
        <v>2</v>
      </c>
      <c r="R128" s="553">
        <v>1</v>
      </c>
      <c r="S128" s="556">
        <v>4</v>
      </c>
      <c r="T128" s="556" t="s">
        <v>1500</v>
      </c>
      <c r="U128" s="589" t="s">
        <v>1501</v>
      </c>
      <c r="V128" s="548" t="s">
        <v>992</v>
      </c>
      <c r="W128" s="550" t="s">
        <v>33</v>
      </c>
      <c r="X128" s="550" t="s">
        <v>1502</v>
      </c>
      <c r="Y128" s="557" t="s">
        <v>1435</v>
      </c>
      <c r="Z128" s="558" t="s">
        <v>994</v>
      </c>
      <c r="AA128" s="558" t="s">
        <v>995</v>
      </c>
      <c r="AF128" s="550" t="s">
        <v>996</v>
      </c>
      <c r="AI128" s="558" t="s">
        <v>1503</v>
      </c>
    </row>
    <row r="129" spans="1:35">
      <c r="A129" s="187" t="s">
        <v>997</v>
      </c>
      <c r="B129" s="16">
        <v>0.12942956771973399</v>
      </c>
      <c r="C129" s="15" t="s">
        <v>28</v>
      </c>
      <c r="D129" s="17">
        <v>11.3087148666381</v>
      </c>
      <c r="E129" s="15">
        <v>0.156</v>
      </c>
      <c r="F129" s="15">
        <v>10.1</v>
      </c>
      <c r="G129" s="15">
        <v>35.310433804544097</v>
      </c>
      <c r="H129" s="15">
        <v>-120.661560234126</v>
      </c>
      <c r="I129" s="15">
        <v>35.310429171999999</v>
      </c>
      <c r="J129" s="325">
        <v>-120.66153567999901</v>
      </c>
      <c r="K129" s="15" t="s">
        <v>627</v>
      </c>
      <c r="L129" s="15"/>
      <c r="M129" s="15" t="s">
        <v>30</v>
      </c>
      <c r="N129" s="15" t="s">
        <v>628</v>
      </c>
      <c r="O129" s="119">
        <v>23</v>
      </c>
      <c r="P129" s="438">
        <v>30</v>
      </c>
      <c r="Q129" s="118">
        <v>1</v>
      </c>
      <c r="R129" s="119">
        <v>1</v>
      </c>
      <c r="S129" s="469">
        <v>4</v>
      </c>
      <c r="T129" s="501" t="s">
        <v>1179</v>
      </c>
      <c r="U129" s="587" t="s">
        <v>1504</v>
      </c>
      <c r="V129" s="187">
        <v>1.1000000000000001</v>
      </c>
      <c r="W129" s="15" t="s">
        <v>33</v>
      </c>
      <c r="X129" s="15" t="s">
        <v>1505</v>
      </c>
      <c r="Y129" s="15" t="s">
        <v>1506</v>
      </c>
      <c r="Z129" s="188" t="s">
        <v>998</v>
      </c>
      <c r="AA129" s="188" t="s">
        <v>999</v>
      </c>
      <c r="AB129" s="15"/>
      <c r="AC129" s="15"/>
      <c r="AD129" s="15"/>
      <c r="AE129" s="15"/>
      <c r="AF129" s="15" t="s">
        <v>1000</v>
      </c>
      <c r="AG129" s="15"/>
      <c r="AH129" s="15"/>
      <c r="AI129" s="15"/>
    </row>
    <row r="130" spans="1:35">
      <c r="A130" s="187" t="s">
        <v>1001</v>
      </c>
      <c r="B130" s="16">
        <v>0.15450409968669099</v>
      </c>
      <c r="C130" s="15" t="s">
        <v>28</v>
      </c>
      <c r="D130" s="17">
        <v>1.3425534963607699</v>
      </c>
      <c r="E130" s="15">
        <v>0.16500000000000001</v>
      </c>
      <c r="F130" s="15">
        <v>1.3</v>
      </c>
      <c r="G130" s="15">
        <v>35.310397695620303</v>
      </c>
      <c r="H130" s="15">
        <v>-120.661499656038</v>
      </c>
      <c r="I130" s="15"/>
      <c r="J130" s="325"/>
      <c r="K130" s="15" t="s">
        <v>627</v>
      </c>
      <c r="L130" s="15"/>
      <c r="M130" s="15" t="s">
        <v>30</v>
      </c>
      <c r="N130" s="15" t="s">
        <v>628</v>
      </c>
      <c r="O130" s="119">
        <v>23</v>
      </c>
      <c r="P130" s="438">
        <v>30</v>
      </c>
      <c r="Q130" s="118">
        <v>1</v>
      </c>
      <c r="R130" s="119">
        <v>2</v>
      </c>
      <c r="S130" s="469">
        <v>4</v>
      </c>
      <c r="T130" s="501"/>
      <c r="U130" s="587"/>
      <c r="V130" s="187">
        <v>1.2</v>
      </c>
      <c r="W130" s="15" t="s">
        <v>33</v>
      </c>
      <c r="X130" s="15" t="s">
        <v>1505</v>
      </c>
      <c r="Y130" s="15" t="s">
        <v>1506</v>
      </c>
      <c r="Z130" s="188" t="s">
        <v>1002</v>
      </c>
      <c r="AA130" s="188" t="s">
        <v>1003</v>
      </c>
      <c r="AB130" s="15"/>
      <c r="AC130" s="15"/>
      <c r="AD130" s="15"/>
      <c r="AE130" s="15"/>
      <c r="AF130" s="15" t="s">
        <v>1004</v>
      </c>
      <c r="AG130" s="15"/>
      <c r="AH130" s="15"/>
      <c r="AI130" s="15"/>
    </row>
    <row r="131" spans="1:35">
      <c r="A131" s="187" t="s">
        <v>1005</v>
      </c>
      <c r="B131" s="16">
        <v>0.13175625539194599</v>
      </c>
      <c r="C131" s="15" t="s">
        <v>28</v>
      </c>
      <c r="D131" s="17">
        <v>1.3308663368225</v>
      </c>
      <c r="E131" s="15">
        <v>0.19399999999999901</v>
      </c>
      <c r="F131" s="15">
        <v>1.3</v>
      </c>
      <c r="G131" s="15">
        <v>35.310435204628497</v>
      </c>
      <c r="H131" s="15">
        <v>-120.66149769135301</v>
      </c>
      <c r="I131" s="15"/>
      <c r="J131" s="325"/>
      <c r="K131" s="15" t="s">
        <v>627</v>
      </c>
      <c r="L131" s="15"/>
      <c r="M131" s="15" t="s">
        <v>30</v>
      </c>
      <c r="N131" s="15" t="s">
        <v>628</v>
      </c>
      <c r="O131" s="119">
        <v>23</v>
      </c>
      <c r="P131" s="438">
        <v>30</v>
      </c>
      <c r="Q131" s="118">
        <v>1</v>
      </c>
      <c r="R131" s="119">
        <v>3</v>
      </c>
      <c r="S131" s="469">
        <v>4</v>
      </c>
      <c r="T131" s="501"/>
      <c r="U131" s="587"/>
      <c r="V131" s="187">
        <v>1.3</v>
      </c>
      <c r="W131" s="15" t="s">
        <v>33</v>
      </c>
      <c r="X131" s="15" t="s">
        <v>1505</v>
      </c>
      <c r="Y131" s="15" t="s">
        <v>1506</v>
      </c>
      <c r="Z131" s="188" t="s">
        <v>1006</v>
      </c>
      <c r="AA131" s="188" t="s">
        <v>1007</v>
      </c>
      <c r="AB131" s="15"/>
      <c r="AC131" s="15"/>
      <c r="AD131" s="15"/>
      <c r="AE131" s="15"/>
      <c r="AF131" s="15" t="s">
        <v>1008</v>
      </c>
      <c r="AG131" s="15"/>
      <c r="AH131" s="15"/>
      <c r="AI131" s="15"/>
    </row>
    <row r="132" spans="1:35">
      <c r="A132" s="187" t="s">
        <v>1009</v>
      </c>
      <c r="B132" s="16">
        <v>0.149605166551735</v>
      </c>
      <c r="C132" s="15" t="s">
        <v>28</v>
      </c>
      <c r="D132" s="17">
        <v>1.3272720575332599</v>
      </c>
      <c r="E132" s="15">
        <v>0.158</v>
      </c>
      <c r="F132" s="15">
        <v>1.3</v>
      </c>
      <c r="G132" s="15">
        <v>35.310406135914</v>
      </c>
      <c r="H132" s="15">
        <v>-120.66154609249099</v>
      </c>
      <c r="I132" s="15"/>
      <c r="J132" s="325"/>
      <c r="K132" s="15" t="s">
        <v>627</v>
      </c>
      <c r="L132" s="15"/>
      <c r="M132" s="15" t="s">
        <v>30</v>
      </c>
      <c r="N132" s="15" t="s">
        <v>628</v>
      </c>
      <c r="O132" s="119">
        <v>23</v>
      </c>
      <c r="P132" s="438">
        <v>30</v>
      </c>
      <c r="Q132" s="118">
        <v>1</v>
      </c>
      <c r="R132" s="119">
        <v>4</v>
      </c>
      <c r="S132" s="469">
        <v>4</v>
      </c>
      <c r="T132" s="501"/>
      <c r="U132" s="587"/>
      <c r="V132" s="187">
        <v>1.4</v>
      </c>
      <c r="W132" s="15" t="s">
        <v>33</v>
      </c>
      <c r="X132" s="15" t="s">
        <v>1505</v>
      </c>
      <c r="Y132" s="15" t="s">
        <v>1506</v>
      </c>
      <c r="Z132" s="188" t="s">
        <v>1010</v>
      </c>
      <c r="AA132" s="188" t="s">
        <v>1011</v>
      </c>
      <c r="AB132" s="15"/>
      <c r="AC132" s="15"/>
      <c r="AD132" s="15"/>
      <c r="AE132" s="15"/>
      <c r="AF132" s="15" t="s">
        <v>1012</v>
      </c>
      <c r="AG132" s="15"/>
      <c r="AH132" s="15"/>
      <c r="AI132" s="15"/>
    </row>
    <row r="133" spans="1:35">
      <c r="A133" s="187" t="s">
        <v>1013</v>
      </c>
      <c r="B133" s="16">
        <v>0.23363036315059901</v>
      </c>
      <c r="C133" s="15" t="s">
        <v>28</v>
      </c>
      <c r="D133" s="17">
        <v>1.2683092355728101</v>
      </c>
      <c r="E133" s="15">
        <v>0.247</v>
      </c>
      <c r="F133" s="15">
        <v>1.3</v>
      </c>
      <c r="G133" s="15">
        <v>35.310371342956401</v>
      </c>
      <c r="H133" s="15">
        <v>-120.66152228060901</v>
      </c>
      <c r="I133" s="15"/>
      <c r="J133" s="325"/>
      <c r="K133" s="15" t="s">
        <v>627</v>
      </c>
      <c r="L133" s="15"/>
      <c r="M133" s="15" t="s">
        <v>30</v>
      </c>
      <c r="N133" s="15" t="s">
        <v>628</v>
      </c>
      <c r="O133" s="119">
        <v>23</v>
      </c>
      <c r="P133" s="438">
        <v>30</v>
      </c>
      <c r="Q133" s="118">
        <v>1</v>
      </c>
      <c r="R133" s="119">
        <v>5</v>
      </c>
      <c r="S133" s="469">
        <v>4</v>
      </c>
      <c r="T133" s="501"/>
      <c r="U133" s="587"/>
      <c r="V133" s="187">
        <v>1.5</v>
      </c>
      <c r="W133" s="15" t="s">
        <v>33</v>
      </c>
      <c r="X133" s="15" t="s">
        <v>1505</v>
      </c>
      <c r="Y133" s="15" t="s">
        <v>1506</v>
      </c>
      <c r="Z133" s="188" t="s">
        <v>1014</v>
      </c>
      <c r="AA133" s="188" t="s">
        <v>1015</v>
      </c>
      <c r="AB133" s="15"/>
      <c r="AC133" s="15"/>
      <c r="AD133" s="15"/>
      <c r="AE133" s="15"/>
      <c r="AF133" s="15" t="s">
        <v>1016</v>
      </c>
      <c r="AG133" s="15"/>
      <c r="AH133" s="15"/>
      <c r="AI133" s="15"/>
    </row>
    <row r="134" spans="1:35">
      <c r="A134" s="187" t="s">
        <v>1017</v>
      </c>
      <c r="B134" s="16">
        <v>0.12805004376222501</v>
      </c>
      <c r="C134" s="15" t="s">
        <v>28</v>
      </c>
      <c r="D134" s="17">
        <v>2.16776418685913</v>
      </c>
      <c r="E134" s="15">
        <v>0.15</v>
      </c>
      <c r="F134" s="15">
        <v>1.3</v>
      </c>
      <c r="G134" s="15">
        <v>35.310414342885601</v>
      </c>
      <c r="H134" s="15">
        <v>-120.66155277068</v>
      </c>
      <c r="I134" s="15"/>
      <c r="J134" s="325"/>
      <c r="K134" s="15" t="s">
        <v>627</v>
      </c>
      <c r="L134" s="15"/>
      <c r="M134" s="15" t="s">
        <v>30</v>
      </c>
      <c r="N134" s="15" t="s">
        <v>628</v>
      </c>
      <c r="O134" s="119">
        <v>23</v>
      </c>
      <c r="P134" s="438">
        <v>30</v>
      </c>
      <c r="Q134" s="118">
        <v>1</v>
      </c>
      <c r="R134" s="119">
        <v>6</v>
      </c>
      <c r="S134" s="469">
        <v>4</v>
      </c>
      <c r="T134" s="501"/>
      <c r="U134" s="587"/>
      <c r="V134" s="187">
        <v>1.6</v>
      </c>
      <c r="W134" s="15" t="s">
        <v>33</v>
      </c>
      <c r="X134" s="15" t="s">
        <v>1505</v>
      </c>
      <c r="Y134" s="15" t="s">
        <v>1506</v>
      </c>
      <c r="Z134" s="188" t="s">
        <v>1018</v>
      </c>
      <c r="AA134" s="188" t="s">
        <v>1019</v>
      </c>
      <c r="AB134" s="15"/>
      <c r="AC134" s="15"/>
      <c r="AD134" s="15"/>
      <c r="AE134" s="15"/>
      <c r="AF134" s="15" t="s">
        <v>1020</v>
      </c>
      <c r="AG134" s="15"/>
      <c r="AH134" s="15"/>
      <c r="AI134" s="15"/>
    </row>
    <row r="135" spans="1:35" s="175" customFormat="1">
      <c r="A135" s="189" t="s">
        <v>1021</v>
      </c>
      <c r="B135" s="190">
        <v>0.115103978490727</v>
      </c>
      <c r="C135" s="191" t="s">
        <v>28</v>
      </c>
      <c r="D135" s="192">
        <v>2.5900113582611</v>
      </c>
      <c r="E135" s="191">
        <v>0.113</v>
      </c>
      <c r="F135" s="191">
        <v>1.3</v>
      </c>
      <c r="G135" s="191">
        <v>35.310408231377103</v>
      </c>
      <c r="H135" s="191">
        <v>-120.661510221787</v>
      </c>
      <c r="I135" s="191"/>
      <c r="J135" s="331"/>
      <c r="K135" s="191" t="s">
        <v>627</v>
      </c>
      <c r="L135" s="191"/>
      <c r="M135" s="191" t="s">
        <v>30</v>
      </c>
      <c r="N135" s="191" t="s">
        <v>628</v>
      </c>
      <c r="O135" s="193">
        <v>23</v>
      </c>
      <c r="P135" s="443">
        <v>30</v>
      </c>
      <c r="Q135" s="194">
        <v>1</v>
      </c>
      <c r="R135" s="193">
        <v>7</v>
      </c>
      <c r="S135" s="475">
        <v>4</v>
      </c>
      <c r="T135" s="505"/>
      <c r="U135" s="590"/>
      <c r="V135" s="189">
        <v>1.7</v>
      </c>
      <c r="W135" s="191" t="s">
        <v>33</v>
      </c>
      <c r="X135" s="15" t="s">
        <v>1505</v>
      </c>
      <c r="Y135" s="191" t="s">
        <v>1506</v>
      </c>
      <c r="Z135" s="195" t="s">
        <v>1022</v>
      </c>
      <c r="AA135" s="195" t="s">
        <v>1023</v>
      </c>
      <c r="AB135" s="191"/>
      <c r="AC135" s="191"/>
      <c r="AD135" s="191"/>
      <c r="AE135" s="191"/>
      <c r="AF135" s="191" t="s">
        <v>1024</v>
      </c>
      <c r="AG135" s="191"/>
      <c r="AH135" s="191"/>
      <c r="AI135" s="191"/>
    </row>
    <row r="136" spans="1:35" s="310" customFormat="1">
      <c r="A136" s="310" t="s">
        <v>1056</v>
      </c>
      <c r="B136" s="311">
        <v>0.232445329431301</v>
      </c>
      <c r="C136" s="310" t="s">
        <v>28</v>
      </c>
      <c r="D136" s="312">
        <v>5.1155753135681099</v>
      </c>
      <c r="E136" s="318"/>
      <c r="F136" s="310">
        <v>4.4000000000000004</v>
      </c>
      <c r="G136" s="310">
        <v>35.310315061736802</v>
      </c>
      <c r="H136" s="310">
        <v>-120.661592482502</v>
      </c>
      <c r="I136" s="310">
        <v>35.310325525333297</v>
      </c>
      <c r="J136" s="341">
        <v>-120.661561866</v>
      </c>
      <c r="K136" s="310" t="s">
        <v>627</v>
      </c>
      <c r="M136" s="310" t="s">
        <v>30</v>
      </c>
      <c r="N136" s="310" t="s">
        <v>628</v>
      </c>
      <c r="O136" s="313">
        <v>30</v>
      </c>
      <c r="P136" s="445">
        <v>28</v>
      </c>
      <c r="Q136" s="314">
        <v>4</v>
      </c>
      <c r="R136" s="313">
        <v>1</v>
      </c>
      <c r="S136" s="492" t="s">
        <v>1507</v>
      </c>
      <c r="T136" s="477" t="s">
        <v>1179</v>
      </c>
      <c r="U136" s="590" t="s">
        <v>1508</v>
      </c>
      <c r="V136" s="388" t="s">
        <v>1057</v>
      </c>
      <c r="W136" s="310" t="s">
        <v>33</v>
      </c>
      <c r="X136" s="310" t="s">
        <v>1437</v>
      </c>
      <c r="Y136" s="537" t="s">
        <v>1438</v>
      </c>
      <c r="Z136" s="315" t="s">
        <v>1058</v>
      </c>
      <c r="AA136" s="315" t="s">
        <v>1059</v>
      </c>
      <c r="AF136" s="310" t="s">
        <v>1060</v>
      </c>
    </row>
    <row r="137" spans="1:35" s="429" customFormat="1" ht="45.75">
      <c r="A137" s="428" t="s">
        <v>1509</v>
      </c>
      <c r="B137" s="428">
        <v>7.7751000000000001E-2</v>
      </c>
      <c r="C137" s="428" t="s">
        <v>28</v>
      </c>
      <c r="D137" s="428">
        <v>2.3333390000000001</v>
      </c>
      <c r="E137" s="428">
        <v>6.3E-2</v>
      </c>
      <c r="F137" s="428">
        <v>2.4</v>
      </c>
      <c r="G137" s="428">
        <v>35.310389999999998</v>
      </c>
      <c r="H137" s="428">
        <v>-120.661</v>
      </c>
      <c r="I137" s="429">
        <v>35.310370946500001</v>
      </c>
      <c r="J137" s="429">
        <v>-120.661484228666</v>
      </c>
      <c r="K137" s="428" t="s">
        <v>627</v>
      </c>
      <c r="L137" s="428"/>
      <c r="M137" s="428" t="s">
        <v>30</v>
      </c>
      <c r="N137" s="428" t="s">
        <v>1189</v>
      </c>
      <c r="O137" s="428"/>
      <c r="P137" s="458">
        <v>17</v>
      </c>
      <c r="Q137" s="431">
        <v>7</v>
      </c>
      <c r="R137" s="431">
        <v>1</v>
      </c>
      <c r="S137" s="458">
        <v>4</v>
      </c>
      <c r="T137" s="458" t="s">
        <v>1179</v>
      </c>
      <c r="U137" s="590" t="s">
        <v>1510</v>
      </c>
      <c r="V137" s="584" t="s">
        <v>1511</v>
      </c>
      <c r="W137" s="428" t="s">
        <v>33</v>
      </c>
      <c r="X137" s="428" t="s">
        <v>64</v>
      </c>
      <c r="Y137" s="428" t="s">
        <v>1512</v>
      </c>
      <c r="Z137" s="430" t="s">
        <v>1513</v>
      </c>
      <c r="AA137" s="430" t="s">
        <v>1514</v>
      </c>
      <c r="AB137" s="430"/>
      <c r="AC137" s="428"/>
      <c r="AD137" s="428"/>
      <c r="AE137" s="428"/>
      <c r="AF137" s="428" t="s">
        <v>1515</v>
      </c>
    </row>
    <row r="138" spans="1:35" s="284" customFormat="1" ht="29.1">
      <c r="A138" s="372" t="s">
        <v>1516</v>
      </c>
      <c r="B138" s="372">
        <v>9.0177999999999994E-2</v>
      </c>
      <c r="C138" s="372" t="s">
        <v>28</v>
      </c>
      <c r="D138" s="372">
        <v>2.9577469999999999</v>
      </c>
      <c r="E138" s="605"/>
      <c r="F138" s="372">
        <v>3.3</v>
      </c>
      <c r="G138" s="372">
        <v>35.310310000000001</v>
      </c>
      <c r="H138" s="372">
        <v>-120.661</v>
      </c>
      <c r="I138" s="284">
        <v>35.310327596</v>
      </c>
      <c r="J138" s="284">
        <v>-120.661469001</v>
      </c>
      <c r="K138" s="372" t="s">
        <v>627</v>
      </c>
      <c r="L138" s="372"/>
      <c r="M138" s="372" t="s">
        <v>30</v>
      </c>
      <c r="N138" s="372" t="s">
        <v>1189</v>
      </c>
      <c r="O138" s="372"/>
      <c r="P138" s="585">
        <v>31</v>
      </c>
      <c r="Q138" s="586">
        <v>1</v>
      </c>
      <c r="R138" s="586">
        <v>1</v>
      </c>
      <c r="S138" s="483">
        <v>4</v>
      </c>
      <c r="T138" s="507" t="s">
        <v>1179</v>
      </c>
      <c r="U138" s="594"/>
      <c r="V138" s="574" t="s">
        <v>1517</v>
      </c>
      <c r="W138" s="372" t="s">
        <v>33</v>
      </c>
      <c r="X138" s="372" t="s">
        <v>1518</v>
      </c>
      <c r="Y138" s="372" t="s">
        <v>1519</v>
      </c>
      <c r="Z138" s="289" t="s">
        <v>1520</v>
      </c>
      <c r="AA138" s="289" t="s">
        <v>1521</v>
      </c>
      <c r="AB138" s="289"/>
      <c r="AC138" s="372"/>
      <c r="AD138" s="372"/>
      <c r="AE138" s="372"/>
      <c r="AF138" s="372" t="s">
        <v>1522</v>
      </c>
    </row>
    <row r="139" spans="1:35" s="222" customFormat="1">
      <c r="A139" s="219" t="s">
        <v>1040</v>
      </c>
      <c r="B139" s="220">
        <v>5.4230102218448401E-2</v>
      </c>
      <c r="C139" s="222" t="s">
        <v>28</v>
      </c>
      <c r="D139" s="221">
        <v>2.9521360397338801</v>
      </c>
      <c r="E139" s="218"/>
      <c r="F139" s="222">
        <v>3.1</v>
      </c>
      <c r="G139" s="222">
        <v>35.3103172840243</v>
      </c>
      <c r="H139" s="222">
        <v>-120.661431373483</v>
      </c>
      <c r="I139" s="222">
        <v>35.310344869333299</v>
      </c>
      <c r="J139" s="323">
        <v>-120.6614515605</v>
      </c>
      <c r="K139" s="222" t="s">
        <v>627</v>
      </c>
      <c r="M139" s="222" t="s">
        <v>30</v>
      </c>
      <c r="N139" s="222" t="s">
        <v>628</v>
      </c>
      <c r="O139" s="223">
        <v>27</v>
      </c>
      <c r="P139" s="436">
        <v>28</v>
      </c>
      <c r="Q139" s="224">
        <v>5</v>
      </c>
      <c r="R139" s="223">
        <v>1</v>
      </c>
      <c r="S139" s="467">
        <v>4</v>
      </c>
      <c r="T139" s="467" t="s">
        <v>1179</v>
      </c>
      <c r="U139" s="588" t="s">
        <v>1523</v>
      </c>
      <c r="V139" s="219" t="s">
        <v>1041</v>
      </c>
      <c r="W139" s="222" t="s">
        <v>33</v>
      </c>
      <c r="X139" s="222" t="s">
        <v>1437</v>
      </c>
      <c r="Y139" s="532" t="s">
        <v>1438</v>
      </c>
      <c r="Z139" s="531" t="s">
        <v>1042</v>
      </c>
      <c r="AA139" s="531" t="s">
        <v>1043</v>
      </c>
      <c r="AF139" s="222" t="s">
        <v>1044</v>
      </c>
    </row>
    <row r="140" spans="1:35" s="248" customFormat="1">
      <c r="A140" s="608" t="s">
        <v>1524</v>
      </c>
      <c r="B140" s="608">
        <v>0.15962999999999999</v>
      </c>
      <c r="C140" s="608" t="s">
        <v>28</v>
      </c>
      <c r="D140" s="608">
        <v>3.5228480000000002</v>
      </c>
      <c r="E140" s="609">
        <v>0.14899999999999999</v>
      </c>
      <c r="F140" s="608">
        <v>3.5</v>
      </c>
      <c r="G140" s="608">
        <v>35.310339999999997</v>
      </c>
      <c r="H140" s="608">
        <v>-120.661</v>
      </c>
      <c r="I140" s="248">
        <v>35.310339689499997</v>
      </c>
      <c r="J140" s="426">
        <v>-120.66142821483299</v>
      </c>
      <c r="K140" s="608" t="s">
        <v>627</v>
      </c>
      <c r="L140" s="608"/>
      <c r="M140" s="608" t="s">
        <v>30</v>
      </c>
      <c r="N140" s="608" t="s">
        <v>1189</v>
      </c>
      <c r="O140" s="608"/>
      <c r="P140" s="610">
        <v>17</v>
      </c>
      <c r="Q140" s="610">
        <v>8</v>
      </c>
      <c r="R140" s="610">
        <v>1</v>
      </c>
      <c r="S140" s="610">
        <v>4</v>
      </c>
      <c r="T140" s="608"/>
      <c r="U140" s="611" t="s">
        <v>1525</v>
      </c>
      <c r="V140" s="612" t="s">
        <v>1526</v>
      </c>
      <c r="W140" s="608" t="s">
        <v>33</v>
      </c>
      <c r="X140" s="608" t="s">
        <v>64</v>
      </c>
      <c r="Y140" s="608" t="s">
        <v>1527</v>
      </c>
      <c r="Z140" s="250" t="s">
        <v>1528</v>
      </c>
      <c r="AA140" s="250" t="s">
        <v>1529</v>
      </c>
      <c r="AB140" s="250"/>
      <c r="AC140" s="608"/>
      <c r="AD140" s="608"/>
      <c r="AE140" s="608"/>
      <c r="AF140" s="608" t="s">
        <v>1530</v>
      </c>
    </row>
    <row r="141" spans="1:35" s="57" customFormat="1">
      <c r="A141" s="57" t="s">
        <v>1045</v>
      </c>
      <c r="B141" s="58">
        <v>9.7415755709861995E-2</v>
      </c>
      <c r="C141" s="57" t="s">
        <v>28</v>
      </c>
      <c r="D141" s="59">
        <v>3.0311982631683301</v>
      </c>
      <c r="E141" s="68"/>
      <c r="F141" s="57">
        <v>3.1</v>
      </c>
      <c r="G141" s="57">
        <v>35.310262730593003</v>
      </c>
      <c r="H141" s="57">
        <v>-120.661423713896</v>
      </c>
      <c r="I141" s="57">
        <v>35.310310847166598</v>
      </c>
      <c r="J141" s="613">
        <v>-120.6614113925</v>
      </c>
      <c r="K141" s="57" t="s">
        <v>627</v>
      </c>
      <c r="M141" s="57" t="s">
        <v>30</v>
      </c>
      <c r="N141" s="57" t="s">
        <v>628</v>
      </c>
      <c r="O141" s="614">
        <v>28</v>
      </c>
      <c r="P141" s="615">
        <v>27</v>
      </c>
      <c r="Q141" s="616">
        <v>3</v>
      </c>
      <c r="R141" s="614">
        <v>1</v>
      </c>
      <c r="S141" s="617">
        <v>4</v>
      </c>
      <c r="T141" s="617" t="s">
        <v>1500</v>
      </c>
      <c r="U141" s="587" t="s">
        <v>1531</v>
      </c>
      <c r="V141" s="618" t="s">
        <v>1046</v>
      </c>
      <c r="W141" s="57" t="s">
        <v>33</v>
      </c>
      <c r="X141" s="57" t="s">
        <v>1502</v>
      </c>
      <c r="Y141" s="557" t="s">
        <v>1435</v>
      </c>
      <c r="Z141" s="172" t="s">
        <v>1048</v>
      </c>
      <c r="AA141" s="172" t="s">
        <v>1049</v>
      </c>
      <c r="AF141" s="57" t="s">
        <v>1050</v>
      </c>
    </row>
    <row r="142" spans="1:35" s="411" customFormat="1">
      <c r="A142" s="411" t="s">
        <v>1030</v>
      </c>
      <c r="B142" s="619">
        <v>9.91045572118541E-2</v>
      </c>
      <c r="C142" s="411" t="s">
        <v>28</v>
      </c>
      <c r="D142" s="620">
        <v>5.3603625297546298</v>
      </c>
      <c r="E142" s="411">
        <v>9.8000000000000004E-2</v>
      </c>
      <c r="F142" s="411">
        <v>4.5999999999999996</v>
      </c>
      <c r="G142" s="411">
        <v>35.310331509323198</v>
      </c>
      <c r="H142" s="411">
        <v>-120.661357744954</v>
      </c>
      <c r="I142" s="411">
        <v>35.310336064333299</v>
      </c>
      <c r="J142" s="425">
        <v>-120.6613923805</v>
      </c>
      <c r="K142" s="411" t="s">
        <v>627</v>
      </c>
      <c r="M142" s="411" t="s">
        <v>30</v>
      </c>
      <c r="N142" s="411" t="s">
        <v>628</v>
      </c>
      <c r="O142" s="412">
        <v>25</v>
      </c>
      <c r="P142" s="415">
        <v>32</v>
      </c>
      <c r="Q142" s="413">
        <v>1</v>
      </c>
      <c r="R142" s="412">
        <v>1</v>
      </c>
      <c r="S142" s="478">
        <v>4</v>
      </c>
      <c r="T142" s="478" t="s">
        <v>1500</v>
      </c>
      <c r="U142" s="592"/>
      <c r="V142" s="621"/>
      <c r="W142" s="411" t="s">
        <v>33</v>
      </c>
      <c r="X142" s="411" t="s">
        <v>1031</v>
      </c>
      <c r="Y142" s="411" t="s">
        <v>1532</v>
      </c>
      <c r="Z142" s="414" t="s">
        <v>1032</v>
      </c>
      <c r="AA142" s="414" t="s">
        <v>1033</v>
      </c>
      <c r="AF142" s="411" t="s">
        <v>1034</v>
      </c>
    </row>
    <row r="143" spans="1:35" s="15" customFormat="1">
      <c r="A143" s="15" t="s">
        <v>1086</v>
      </c>
      <c r="B143" s="16">
        <v>0.31484960302383502</v>
      </c>
      <c r="C143" s="15" t="s">
        <v>28</v>
      </c>
      <c r="D143" s="17">
        <v>10.509901046752899</v>
      </c>
      <c r="E143" s="15">
        <v>0.34200000000000003</v>
      </c>
      <c r="F143" s="15">
        <v>10</v>
      </c>
      <c r="G143" s="15">
        <v>35.310265253305197</v>
      </c>
      <c r="H143" s="15">
        <v>-120.661738185372</v>
      </c>
      <c r="I143" s="15">
        <v>35.310241745500001</v>
      </c>
      <c r="J143" s="325">
        <v>-120.661699962333</v>
      </c>
      <c r="K143" s="15" t="s">
        <v>627</v>
      </c>
      <c r="M143" s="15" t="s">
        <v>30</v>
      </c>
      <c r="N143" s="15" t="s">
        <v>628</v>
      </c>
      <c r="O143" s="80"/>
      <c r="P143" s="459">
        <v>33</v>
      </c>
      <c r="Q143" s="103">
        <v>1</v>
      </c>
      <c r="R143" s="80">
        <v>1</v>
      </c>
      <c r="S143" s="486">
        <v>6</v>
      </c>
      <c r="T143" s="496" t="s">
        <v>1500</v>
      </c>
      <c r="U143" s="587"/>
      <c r="V143" s="187"/>
      <c r="W143" s="15" t="s">
        <v>33</v>
      </c>
      <c r="X143" s="15" t="s">
        <v>1533</v>
      </c>
      <c r="Y143" s="15" t="s">
        <v>1534</v>
      </c>
      <c r="Z143" s="45" t="s">
        <v>1088</v>
      </c>
      <c r="AA143" s="45" t="s">
        <v>1089</v>
      </c>
      <c r="AF143" s="15" t="s">
        <v>1090</v>
      </c>
    </row>
    <row r="144" spans="1:35" s="273" customFormat="1">
      <c r="A144" s="273" t="s">
        <v>1081</v>
      </c>
      <c r="B144" s="274">
        <v>0.376305840101119</v>
      </c>
      <c r="C144" s="273" t="s">
        <v>28</v>
      </c>
      <c r="D144" s="275">
        <v>10.4095745086669</v>
      </c>
      <c r="E144" s="273">
        <v>0.38700000000000001</v>
      </c>
      <c r="F144" s="273">
        <v>9.9</v>
      </c>
      <c r="G144" s="273">
        <v>35.3101899949908</v>
      </c>
      <c r="H144" s="273">
        <v>-120.66171695076601</v>
      </c>
      <c r="I144" s="273">
        <v>35.310200370499999</v>
      </c>
      <c r="J144" s="343">
        <v>-120.66169417366601</v>
      </c>
      <c r="K144" s="273" t="s">
        <v>627</v>
      </c>
      <c r="M144" s="273" t="s">
        <v>30</v>
      </c>
      <c r="N144" s="273" t="s">
        <v>628</v>
      </c>
      <c r="O144" s="276"/>
      <c r="P144" s="457">
        <v>34</v>
      </c>
      <c r="Q144" s="277">
        <v>1</v>
      </c>
      <c r="R144" s="276">
        <v>1</v>
      </c>
      <c r="S144" s="491">
        <v>6</v>
      </c>
      <c r="T144" s="504" t="s">
        <v>1500</v>
      </c>
      <c r="U144" s="589"/>
      <c r="V144" s="282"/>
      <c r="W144" s="273" t="s">
        <v>33</v>
      </c>
      <c r="X144" s="273" t="s">
        <v>1535</v>
      </c>
      <c r="Y144" s="273" t="s">
        <v>1536</v>
      </c>
      <c r="Z144" s="278" t="s">
        <v>1083</v>
      </c>
      <c r="AA144" s="278" t="s">
        <v>1084</v>
      </c>
      <c r="AF144" s="273" t="s">
        <v>1085</v>
      </c>
    </row>
    <row r="145" spans="1:32" s="25" customFormat="1">
      <c r="A145" s="25" t="s">
        <v>1096</v>
      </c>
      <c r="B145" s="26">
        <v>0.15549382586952901</v>
      </c>
      <c r="C145" s="25" t="s">
        <v>28</v>
      </c>
      <c r="D145" s="27">
        <v>4.0904731750488201</v>
      </c>
      <c r="E145" s="25">
        <v>0.14000000000000001</v>
      </c>
      <c r="F145" s="25">
        <v>3.2</v>
      </c>
      <c r="G145" s="25">
        <v>35.310279659173602</v>
      </c>
      <c r="H145" s="25">
        <v>-120.66162254196399</v>
      </c>
      <c r="I145" s="25">
        <v>35.310238669500002</v>
      </c>
      <c r="J145" s="336">
        <v>-120.661656052</v>
      </c>
      <c r="K145" s="25" t="s">
        <v>627</v>
      </c>
      <c r="M145" s="25" t="s">
        <v>30</v>
      </c>
      <c r="N145" s="25" t="s">
        <v>628</v>
      </c>
      <c r="O145" s="83"/>
      <c r="P145" s="461">
        <v>35</v>
      </c>
      <c r="Q145" s="106">
        <v>1</v>
      </c>
      <c r="R145" s="83">
        <v>1</v>
      </c>
      <c r="S145" s="494">
        <v>6</v>
      </c>
      <c r="T145" s="494" t="s">
        <v>1500</v>
      </c>
      <c r="U145" s="587"/>
      <c r="V145" s="390" t="s">
        <v>1097</v>
      </c>
      <c r="W145" s="25" t="s">
        <v>33</v>
      </c>
      <c r="X145" s="25" t="s">
        <v>1537</v>
      </c>
      <c r="Y145" s="25" t="s">
        <v>1538</v>
      </c>
      <c r="Z145" s="159" t="s">
        <v>1098</v>
      </c>
      <c r="AA145" s="159" t="s">
        <v>1099</v>
      </c>
      <c r="AF145" s="25" t="s">
        <v>1100</v>
      </c>
    </row>
    <row r="146" spans="1:32" s="25" customFormat="1">
      <c r="A146" s="25" t="s">
        <v>1101</v>
      </c>
      <c r="B146" s="26">
        <v>0.13174328082891601</v>
      </c>
      <c r="C146" s="25" t="s">
        <v>28</v>
      </c>
      <c r="D146" s="27">
        <v>0.95928424596786499</v>
      </c>
      <c r="E146" s="25">
        <v>0.11899999999999999</v>
      </c>
      <c r="G146" s="25">
        <v>35.310272698205999</v>
      </c>
      <c r="H146" s="25">
        <v>-120.66165167304899</v>
      </c>
      <c r="J146" s="336"/>
      <c r="K146" s="25" t="s">
        <v>627</v>
      </c>
      <c r="M146" s="25" t="s">
        <v>30</v>
      </c>
      <c r="N146" s="25" t="s">
        <v>628</v>
      </c>
      <c r="O146" s="83"/>
      <c r="P146" s="461">
        <v>35</v>
      </c>
      <c r="Q146" s="106">
        <v>1</v>
      </c>
      <c r="R146" s="83">
        <v>2</v>
      </c>
      <c r="S146" s="494">
        <v>6</v>
      </c>
      <c r="T146" s="494"/>
      <c r="U146" s="587"/>
      <c r="V146" s="390" t="s">
        <v>1102</v>
      </c>
      <c r="W146" s="25" t="s">
        <v>33</v>
      </c>
      <c r="X146" s="25" t="s">
        <v>1537</v>
      </c>
      <c r="Y146" s="25" t="s">
        <v>1538</v>
      </c>
      <c r="Z146" s="159" t="s">
        <v>1103</v>
      </c>
      <c r="AA146" s="159" t="s">
        <v>1104</v>
      </c>
      <c r="AF146" s="25" t="s">
        <v>1105</v>
      </c>
    </row>
    <row r="147" spans="1:32" s="284" customFormat="1">
      <c r="A147" s="284" t="s">
        <v>1106</v>
      </c>
      <c r="B147" s="285">
        <v>0.12895774256172901</v>
      </c>
      <c r="C147" s="284" t="s">
        <v>28</v>
      </c>
      <c r="D147" s="286">
        <v>2.0617187023162802</v>
      </c>
      <c r="E147" s="284">
        <v>0.10299999999999999</v>
      </c>
      <c r="G147" s="284">
        <v>35.310262064123499</v>
      </c>
      <c r="H147" s="284">
        <v>-120.661654521692</v>
      </c>
      <c r="J147" s="337"/>
      <c r="K147" s="284" t="s">
        <v>627</v>
      </c>
      <c r="M147" s="284" t="s">
        <v>30</v>
      </c>
      <c r="N147" s="284" t="s">
        <v>628</v>
      </c>
      <c r="O147" s="287"/>
      <c r="P147" s="462">
        <v>35</v>
      </c>
      <c r="Q147" s="288">
        <v>1</v>
      </c>
      <c r="R147" s="287">
        <v>3</v>
      </c>
      <c r="S147" s="495">
        <v>6</v>
      </c>
      <c r="T147" s="495"/>
      <c r="U147" s="590"/>
      <c r="V147" s="391" t="s">
        <v>1107</v>
      </c>
      <c r="W147" s="284" t="s">
        <v>33</v>
      </c>
      <c r="X147" s="284" t="s">
        <v>1537</v>
      </c>
      <c r="Y147" s="284" t="s">
        <v>1538</v>
      </c>
      <c r="Z147" s="289" t="s">
        <v>1108</v>
      </c>
      <c r="AA147" s="289" t="s">
        <v>1109</v>
      </c>
      <c r="AF147" s="284" t="s">
        <v>1110</v>
      </c>
    </row>
    <row r="148" spans="1:32" s="230" customFormat="1">
      <c r="A148" s="230" t="s">
        <v>1091</v>
      </c>
      <c r="B148" s="228">
        <v>5.6307791381785002E-2</v>
      </c>
      <c r="C148" s="230" t="s">
        <v>28</v>
      </c>
      <c r="D148" s="229">
        <v>6.2746605873107901</v>
      </c>
      <c r="E148" s="176"/>
      <c r="F148" s="230">
        <v>6.1</v>
      </c>
      <c r="G148" s="230">
        <v>35.310217775707201</v>
      </c>
      <c r="H148" s="230">
        <v>-120.661704246531</v>
      </c>
      <c r="I148" s="230">
        <v>35.310192147166603</v>
      </c>
      <c r="J148" s="324">
        <v>-120.661651666833</v>
      </c>
      <c r="K148" s="230" t="s">
        <v>627</v>
      </c>
      <c r="M148" s="230" t="s">
        <v>30</v>
      </c>
      <c r="N148" s="230" t="s">
        <v>628</v>
      </c>
      <c r="O148" s="233"/>
      <c r="P148" s="460">
        <v>36</v>
      </c>
      <c r="Q148" s="283">
        <v>1</v>
      </c>
      <c r="R148" s="233">
        <v>1</v>
      </c>
      <c r="S148" s="493">
        <v>6</v>
      </c>
      <c r="T148" s="493" t="s">
        <v>1179</v>
      </c>
      <c r="U148" s="589" t="s">
        <v>1539</v>
      </c>
      <c r="V148" s="227"/>
      <c r="W148" s="230" t="s">
        <v>33</v>
      </c>
      <c r="X148" s="230" t="s">
        <v>1540</v>
      </c>
      <c r="Y148" s="230" t="s">
        <v>1541</v>
      </c>
      <c r="Z148" s="261" t="s">
        <v>1093</v>
      </c>
      <c r="AA148" s="261" t="s">
        <v>1094</v>
      </c>
      <c r="AF148" s="230" t="s">
        <v>1095</v>
      </c>
    </row>
    <row r="149" spans="1:32" s="25" customFormat="1">
      <c r="A149" s="25" t="s">
        <v>1111</v>
      </c>
      <c r="B149" s="26">
        <v>6.3816270566472405E-2</v>
      </c>
      <c r="C149" s="25" t="s">
        <v>28</v>
      </c>
      <c r="D149" s="27">
        <v>2.9571454524993799</v>
      </c>
      <c r="E149" s="25">
        <v>7.1999999999999995E-2</v>
      </c>
      <c r="F149" s="25">
        <v>3</v>
      </c>
      <c r="G149" s="25">
        <v>35.310261202914397</v>
      </c>
      <c r="H149" s="25">
        <v>-120.661583211961</v>
      </c>
      <c r="I149" s="25">
        <v>35.310223492833302</v>
      </c>
      <c r="J149" s="336">
        <v>-120.6616069535</v>
      </c>
      <c r="K149" s="25" t="s">
        <v>627</v>
      </c>
      <c r="M149" s="25" t="s">
        <v>30</v>
      </c>
      <c r="N149" s="25" t="s">
        <v>628</v>
      </c>
      <c r="O149" s="83"/>
      <c r="P149" s="461">
        <v>35</v>
      </c>
      <c r="Q149" s="106">
        <v>2</v>
      </c>
      <c r="R149" s="83">
        <v>1</v>
      </c>
      <c r="S149" s="494">
        <v>6</v>
      </c>
      <c r="T149" s="494" t="s">
        <v>1179</v>
      </c>
      <c r="U149" s="587"/>
      <c r="V149" s="390" t="s">
        <v>1112</v>
      </c>
      <c r="W149" s="25" t="s">
        <v>33</v>
      </c>
      <c r="X149" s="25" t="s">
        <v>1537</v>
      </c>
      <c r="Y149" s="25" t="s">
        <v>1538</v>
      </c>
      <c r="Z149" s="159" t="s">
        <v>1113</v>
      </c>
      <c r="AA149" s="159" t="s">
        <v>1114</v>
      </c>
      <c r="AF149" s="25" t="s">
        <v>1115</v>
      </c>
    </row>
    <row r="150" spans="1:32" s="25" customFormat="1">
      <c r="A150" s="25" t="s">
        <v>1116</v>
      </c>
      <c r="B150" s="26">
        <v>6.72889342177629E-2</v>
      </c>
      <c r="C150" s="25" t="s">
        <v>28</v>
      </c>
      <c r="D150" s="27">
        <v>0.82340985536575295</v>
      </c>
      <c r="E150" s="25">
        <v>6.9000000000000006E-2</v>
      </c>
      <c r="G150" s="25">
        <v>35.310240664716702</v>
      </c>
      <c r="H150" s="25">
        <v>-120.661589020524</v>
      </c>
      <c r="J150" s="336"/>
      <c r="K150" s="25" t="s">
        <v>627</v>
      </c>
      <c r="M150" s="25" t="s">
        <v>30</v>
      </c>
      <c r="N150" s="25" t="s">
        <v>628</v>
      </c>
      <c r="O150" s="83"/>
      <c r="P150" s="461">
        <v>35</v>
      </c>
      <c r="Q150" s="106">
        <v>2</v>
      </c>
      <c r="R150" s="83">
        <v>2</v>
      </c>
      <c r="S150" s="494">
        <v>6</v>
      </c>
      <c r="T150" s="494"/>
      <c r="U150" s="587"/>
      <c r="V150" s="390" t="s">
        <v>1117</v>
      </c>
      <c r="W150" s="25" t="s">
        <v>33</v>
      </c>
      <c r="X150" s="25" t="s">
        <v>1537</v>
      </c>
      <c r="Y150" s="25" t="s">
        <v>1538</v>
      </c>
      <c r="Z150" s="159" t="s">
        <v>1118</v>
      </c>
      <c r="AA150" s="159" t="s">
        <v>1119</v>
      </c>
      <c r="AF150" s="25" t="s">
        <v>1120</v>
      </c>
    </row>
    <row r="151" spans="1:32" s="25" customFormat="1">
      <c r="A151" s="25" t="s">
        <v>1121</v>
      </c>
      <c r="B151" s="26">
        <v>4.4010440698990898E-2</v>
      </c>
      <c r="C151" s="25" t="s">
        <v>28</v>
      </c>
      <c r="D151" s="27">
        <v>0.84750306606292702</v>
      </c>
      <c r="E151" s="25">
        <v>5.8999999999999997E-2</v>
      </c>
      <c r="G151" s="25">
        <v>35.310249728560997</v>
      </c>
      <c r="H151" s="25">
        <v>-120.661597904199</v>
      </c>
      <c r="J151" s="336"/>
      <c r="K151" s="25" t="s">
        <v>627</v>
      </c>
      <c r="M151" s="25" t="s">
        <v>30</v>
      </c>
      <c r="N151" s="25" t="s">
        <v>628</v>
      </c>
      <c r="O151" s="83"/>
      <c r="P151" s="461">
        <v>35</v>
      </c>
      <c r="Q151" s="106">
        <v>2</v>
      </c>
      <c r="R151" s="83">
        <v>3</v>
      </c>
      <c r="S151" s="494">
        <v>6</v>
      </c>
      <c r="T151" s="494"/>
      <c r="U151" s="587"/>
      <c r="V151" s="390" t="s">
        <v>1122</v>
      </c>
      <c r="W151" s="25" t="s">
        <v>33</v>
      </c>
      <c r="X151" s="25" t="s">
        <v>1537</v>
      </c>
      <c r="Y151" s="25" t="s">
        <v>1538</v>
      </c>
      <c r="Z151" s="159" t="s">
        <v>1123</v>
      </c>
      <c r="AA151" s="159" t="s">
        <v>1124</v>
      </c>
      <c r="AF151" s="25" t="s">
        <v>1125</v>
      </c>
    </row>
    <row r="152" spans="1:32" s="25" customFormat="1">
      <c r="A152" s="25" t="s">
        <v>1126</v>
      </c>
      <c r="B152" s="26">
        <v>5.6302546937190598E-2</v>
      </c>
      <c r="C152" s="25" t="s">
        <v>28</v>
      </c>
      <c r="D152" s="27">
        <v>0.86426252126693703</v>
      </c>
      <c r="E152" s="25">
        <v>4.7E-2</v>
      </c>
      <c r="G152" s="25">
        <v>35.310215633575702</v>
      </c>
      <c r="H152" s="25">
        <v>-120.661602633407</v>
      </c>
      <c r="J152" s="336"/>
      <c r="K152" s="25" t="s">
        <v>627</v>
      </c>
      <c r="M152" s="25" t="s">
        <v>30</v>
      </c>
      <c r="N152" s="25" t="s">
        <v>628</v>
      </c>
      <c r="O152" s="83"/>
      <c r="P152" s="461">
        <v>35</v>
      </c>
      <c r="Q152" s="106">
        <v>2</v>
      </c>
      <c r="R152" s="83">
        <v>4</v>
      </c>
      <c r="S152" s="494">
        <v>6</v>
      </c>
      <c r="T152" s="494"/>
      <c r="U152" s="587"/>
      <c r="V152" s="390" t="s">
        <v>1127</v>
      </c>
      <c r="W152" s="25" t="s">
        <v>33</v>
      </c>
      <c r="X152" s="25" t="s">
        <v>1537</v>
      </c>
      <c r="Y152" s="25" t="s">
        <v>1538</v>
      </c>
      <c r="Z152" s="159" t="s">
        <v>1128</v>
      </c>
      <c r="AA152" s="159" t="s">
        <v>1129</v>
      </c>
      <c r="AF152" s="25" t="s">
        <v>1130</v>
      </c>
    </row>
    <row r="153" spans="1:32" s="284" customFormat="1">
      <c r="A153" s="284" t="s">
        <v>1136</v>
      </c>
      <c r="B153" s="285">
        <v>8.9191435879868802E-2</v>
      </c>
      <c r="C153" s="284" t="s">
        <v>28</v>
      </c>
      <c r="D153" s="286">
        <v>0.71714776754379195</v>
      </c>
      <c r="E153" s="284">
        <v>0.10199999999999999</v>
      </c>
      <c r="G153" s="284">
        <v>35.310233252537202</v>
      </c>
      <c r="H153" s="284">
        <v>-120.661634482499</v>
      </c>
      <c r="J153" s="337"/>
      <c r="K153" s="284" t="s">
        <v>627</v>
      </c>
      <c r="M153" s="284" t="s">
        <v>30</v>
      </c>
      <c r="N153" s="284" t="s">
        <v>628</v>
      </c>
      <c r="O153" s="287"/>
      <c r="P153" s="462">
        <v>35</v>
      </c>
      <c r="Q153" s="288">
        <v>2</v>
      </c>
      <c r="R153" s="287">
        <v>5</v>
      </c>
      <c r="S153" s="495">
        <v>6</v>
      </c>
      <c r="T153" s="495"/>
      <c r="U153" s="590"/>
      <c r="V153" s="391" t="s">
        <v>1137</v>
      </c>
      <c r="W153" s="284" t="s">
        <v>33</v>
      </c>
      <c r="X153" s="25" t="s">
        <v>1537</v>
      </c>
      <c r="Y153" s="284" t="s">
        <v>1538</v>
      </c>
      <c r="Z153" s="289" t="s">
        <v>1138</v>
      </c>
      <c r="AA153" s="289" t="s">
        <v>1139</v>
      </c>
      <c r="AF153" s="284" t="s">
        <v>1140</v>
      </c>
    </row>
    <row r="154" spans="1:32" s="25" customFormat="1">
      <c r="A154" s="25" t="s">
        <v>1141</v>
      </c>
      <c r="B154" s="26">
        <v>7.2922806269348994E-2</v>
      </c>
      <c r="C154" s="25" t="s">
        <v>28</v>
      </c>
      <c r="D154" s="27">
        <v>5.1600165367126403</v>
      </c>
      <c r="E154" s="25">
        <v>0.115</v>
      </c>
      <c r="F154" s="25">
        <v>5</v>
      </c>
      <c r="G154" s="25">
        <v>35.310232185409802</v>
      </c>
      <c r="H154" s="25">
        <v>-120.66159808456401</v>
      </c>
      <c r="I154" s="25">
        <v>35.310224998666598</v>
      </c>
      <c r="J154" s="336">
        <v>-120.661588698166</v>
      </c>
      <c r="K154" s="25" t="s">
        <v>627</v>
      </c>
      <c r="M154" s="25" t="s">
        <v>30</v>
      </c>
      <c r="N154" s="25" t="s">
        <v>628</v>
      </c>
      <c r="O154" s="83"/>
      <c r="P154" s="461">
        <v>35</v>
      </c>
      <c r="Q154" s="106">
        <v>3</v>
      </c>
      <c r="R154" s="83">
        <v>1</v>
      </c>
      <c r="S154" s="494">
        <v>6</v>
      </c>
      <c r="T154" s="494" t="s">
        <v>1500</v>
      </c>
      <c r="U154" s="587"/>
      <c r="V154" s="390" t="s">
        <v>1142</v>
      </c>
      <c r="W154" s="25" t="s">
        <v>33</v>
      </c>
      <c r="X154" s="25" t="s">
        <v>1537</v>
      </c>
      <c r="Y154" s="25" t="s">
        <v>1538</v>
      </c>
      <c r="Z154" s="159" t="s">
        <v>1143</v>
      </c>
      <c r="AA154" s="159" t="s">
        <v>1144</v>
      </c>
      <c r="AF154" s="25" t="s">
        <v>1145</v>
      </c>
    </row>
    <row r="155" spans="1:32" s="25" customFormat="1">
      <c r="A155" s="25" t="s">
        <v>1146</v>
      </c>
      <c r="B155" s="26">
        <v>0.233225293693513</v>
      </c>
      <c r="C155" s="25" t="s">
        <v>28</v>
      </c>
      <c r="D155" s="27">
        <v>1.17206358909606</v>
      </c>
      <c r="E155" s="25">
        <v>0.252</v>
      </c>
      <c r="G155" s="25">
        <v>35.3102317219928</v>
      </c>
      <c r="H155" s="25">
        <v>-120.661590043567</v>
      </c>
      <c r="J155" s="336"/>
      <c r="K155" s="25" t="s">
        <v>627</v>
      </c>
      <c r="M155" s="25" t="s">
        <v>30</v>
      </c>
      <c r="N155" s="25" t="s">
        <v>628</v>
      </c>
      <c r="O155" s="83"/>
      <c r="P155" s="461">
        <v>35</v>
      </c>
      <c r="Q155" s="106">
        <v>3</v>
      </c>
      <c r="R155" s="83">
        <v>2</v>
      </c>
      <c r="S155" s="494">
        <v>6</v>
      </c>
      <c r="T155" s="494"/>
      <c r="U155" s="587"/>
      <c r="V155" s="390" t="s">
        <v>1147</v>
      </c>
      <c r="W155" s="25" t="s">
        <v>33</v>
      </c>
      <c r="X155" s="25" t="s">
        <v>1537</v>
      </c>
      <c r="Y155" s="25" t="s">
        <v>1538</v>
      </c>
      <c r="Z155" s="159" t="s">
        <v>1148</v>
      </c>
      <c r="AA155" s="159" t="s">
        <v>1149</v>
      </c>
      <c r="AF155" s="25" t="s">
        <v>1150</v>
      </c>
    </row>
    <row r="156" spans="1:32" s="25" customFormat="1">
      <c r="A156" s="25" t="s">
        <v>1151</v>
      </c>
      <c r="B156" s="26">
        <v>9.4907571359350296E-2</v>
      </c>
      <c r="C156" s="25" t="s">
        <v>28</v>
      </c>
      <c r="D156" s="27">
        <v>4.4767785072326598</v>
      </c>
      <c r="E156" s="25">
        <v>0.13300000000000001</v>
      </c>
      <c r="G156" s="25">
        <v>35.310238645591902</v>
      </c>
      <c r="H156" s="25">
        <v>-120.661609539523</v>
      </c>
      <c r="J156" s="336"/>
      <c r="K156" s="25" t="s">
        <v>627</v>
      </c>
      <c r="M156" s="25" t="s">
        <v>30</v>
      </c>
      <c r="N156" s="25" t="s">
        <v>628</v>
      </c>
      <c r="O156" s="83"/>
      <c r="P156" s="461">
        <v>35</v>
      </c>
      <c r="Q156" s="106">
        <v>3</v>
      </c>
      <c r="R156" s="83">
        <v>3</v>
      </c>
      <c r="S156" s="494">
        <v>6</v>
      </c>
      <c r="T156" s="494"/>
      <c r="U156" s="587"/>
      <c r="V156" s="390" t="s">
        <v>1152</v>
      </c>
      <c r="W156" s="25" t="s">
        <v>33</v>
      </c>
      <c r="X156" s="25" t="s">
        <v>1537</v>
      </c>
      <c r="Y156" s="25" t="s">
        <v>1538</v>
      </c>
      <c r="Z156" s="159" t="s">
        <v>1153</v>
      </c>
      <c r="AA156" s="159" t="s">
        <v>1154</v>
      </c>
      <c r="AF156" s="25" t="s">
        <v>1155</v>
      </c>
    </row>
    <row r="157" spans="1:32" s="25" customFormat="1">
      <c r="A157" s="25" t="s">
        <v>1156</v>
      </c>
      <c r="B157" s="26">
        <v>0.107072843773692</v>
      </c>
      <c r="C157" s="25" t="s">
        <v>28</v>
      </c>
      <c r="D157" s="27">
        <v>8.1880092620849592</v>
      </c>
      <c r="E157" s="25">
        <v>0.16200000000000001</v>
      </c>
      <c r="G157" s="25">
        <v>35.310261797745902</v>
      </c>
      <c r="H157" s="25">
        <v>-120.66158461525799</v>
      </c>
      <c r="J157" s="336"/>
      <c r="K157" s="25" t="s">
        <v>627</v>
      </c>
      <c r="M157" s="25" t="s">
        <v>30</v>
      </c>
      <c r="N157" s="25" t="s">
        <v>628</v>
      </c>
      <c r="O157" s="83"/>
      <c r="P157" s="461">
        <v>35</v>
      </c>
      <c r="Q157" s="106">
        <v>3</v>
      </c>
      <c r="R157" s="83">
        <v>4</v>
      </c>
      <c r="S157" s="494">
        <v>6</v>
      </c>
      <c r="T157" s="494"/>
      <c r="U157" s="587"/>
      <c r="V157" s="390" t="s">
        <v>1157</v>
      </c>
      <c r="W157" s="25" t="s">
        <v>33</v>
      </c>
      <c r="X157" s="25" t="s">
        <v>1537</v>
      </c>
      <c r="Y157" s="25" t="s">
        <v>1538</v>
      </c>
      <c r="Z157" s="159" t="s">
        <v>1158</v>
      </c>
      <c r="AA157" s="159" t="s">
        <v>1159</v>
      </c>
      <c r="AF157" s="25" t="s">
        <v>1160</v>
      </c>
    </row>
    <row r="158" spans="1:32" s="284" customFormat="1">
      <c r="A158" s="284" t="s">
        <v>1161</v>
      </c>
      <c r="B158" s="285">
        <v>0.126534592791264</v>
      </c>
      <c r="C158" s="284" t="s">
        <v>28</v>
      </c>
      <c r="D158" s="286">
        <v>2.43315434455871</v>
      </c>
      <c r="E158" s="284">
        <v>0.161</v>
      </c>
      <c r="G158" s="284">
        <v>35.310251416614598</v>
      </c>
      <c r="H158" s="284">
        <v>-120.661614035534</v>
      </c>
      <c r="J158" s="337"/>
      <c r="K158" s="284" t="s">
        <v>627</v>
      </c>
      <c r="M158" s="284" t="s">
        <v>30</v>
      </c>
      <c r="N158" s="284" t="s">
        <v>628</v>
      </c>
      <c r="O158" s="287"/>
      <c r="P158" s="462">
        <v>35</v>
      </c>
      <c r="Q158" s="288">
        <v>3</v>
      </c>
      <c r="R158" s="287">
        <v>5</v>
      </c>
      <c r="S158" s="495">
        <v>6</v>
      </c>
      <c r="T158" s="495"/>
      <c r="U158" s="590"/>
      <c r="V158" s="391" t="s">
        <v>1162</v>
      </c>
      <c r="W158" s="284" t="s">
        <v>33</v>
      </c>
      <c r="X158" s="25" t="s">
        <v>1537</v>
      </c>
      <c r="Y158" s="284" t="s">
        <v>1538</v>
      </c>
      <c r="Z158" s="289" t="s">
        <v>1163</v>
      </c>
      <c r="AA158" s="289" t="s">
        <v>1164</v>
      </c>
      <c r="AF158" s="284" t="s">
        <v>1165</v>
      </c>
    </row>
    <row r="159" spans="1:32" s="542" customFormat="1">
      <c r="A159" s="542" t="s">
        <v>1166</v>
      </c>
      <c r="B159" s="622">
        <v>5.3779423694049797E-2</v>
      </c>
      <c r="C159" s="542" t="s">
        <v>28</v>
      </c>
      <c r="D159" s="623">
        <v>2.4823970794677699</v>
      </c>
      <c r="E159" s="542">
        <v>0.04</v>
      </c>
      <c r="F159" s="542">
        <v>2.6</v>
      </c>
      <c r="G159" s="542">
        <v>35.310191088243798</v>
      </c>
      <c r="H159" s="542">
        <v>-120.661509924828</v>
      </c>
      <c r="I159" s="542">
        <v>35.310206193833302</v>
      </c>
      <c r="J159" s="543">
        <v>-120.66154332799999</v>
      </c>
      <c r="K159" s="542" t="s">
        <v>627</v>
      </c>
      <c r="M159" s="542" t="s">
        <v>30</v>
      </c>
      <c r="N159" s="542" t="s">
        <v>628</v>
      </c>
      <c r="O159" s="624"/>
      <c r="P159" s="625">
        <v>37</v>
      </c>
      <c r="Q159" s="626">
        <v>1</v>
      </c>
      <c r="R159" s="624">
        <v>1</v>
      </c>
      <c r="S159" s="627">
        <v>6</v>
      </c>
      <c r="T159" s="627" t="s">
        <v>1179</v>
      </c>
      <c r="U159" s="590"/>
      <c r="V159" s="628"/>
      <c r="W159" s="542" t="s">
        <v>33</v>
      </c>
      <c r="X159" s="542" t="s">
        <v>1542</v>
      </c>
      <c r="Y159" s="542" t="s">
        <v>1543</v>
      </c>
      <c r="Z159" s="547" t="s">
        <v>1168</v>
      </c>
      <c r="AA159" s="547" t="s">
        <v>1169</v>
      </c>
      <c r="AF159" s="542" t="s">
        <v>1170</v>
      </c>
    </row>
    <row r="160" spans="1:32" s="213" customFormat="1">
      <c r="A160" s="213" t="s">
        <v>1076</v>
      </c>
      <c r="B160" s="212">
        <v>0.13472003303803801</v>
      </c>
      <c r="C160" s="213" t="s">
        <v>28</v>
      </c>
      <c r="D160" s="214">
        <v>5.3009014129638601</v>
      </c>
      <c r="E160" s="629"/>
      <c r="F160" s="213">
        <v>4.8</v>
      </c>
      <c r="G160" s="213">
        <v>35.310159754887302</v>
      </c>
      <c r="H160" s="213">
        <v>-120.66168039143599</v>
      </c>
      <c r="I160" s="213">
        <v>35.310138102833299</v>
      </c>
      <c r="J160" s="328">
        <v>-120.661635091666</v>
      </c>
      <c r="K160" s="213" t="s">
        <v>627</v>
      </c>
      <c r="M160" s="213" t="s">
        <v>30</v>
      </c>
      <c r="N160" s="213" t="s">
        <v>628</v>
      </c>
      <c r="O160" s="215">
        <v>31</v>
      </c>
      <c r="P160" s="435">
        <v>38</v>
      </c>
      <c r="Q160" s="216">
        <v>1</v>
      </c>
      <c r="R160" s="215">
        <v>1</v>
      </c>
      <c r="S160" s="472">
        <v>6</v>
      </c>
      <c r="T160" s="505" t="s">
        <v>1500</v>
      </c>
      <c r="U160" s="590" t="s">
        <v>1544</v>
      </c>
      <c r="V160" s="211"/>
      <c r="W160" s="213" t="s">
        <v>33</v>
      </c>
      <c r="X160" s="213" t="s">
        <v>1545</v>
      </c>
      <c r="Y160" s="213" t="s">
        <v>1546</v>
      </c>
      <c r="Z160" s="217" t="s">
        <v>1078</v>
      </c>
      <c r="AA160" s="217" t="s">
        <v>1079</v>
      </c>
      <c r="AF160" s="213" t="s">
        <v>1080</v>
      </c>
    </row>
    <row r="161" spans="1:35" s="198" customFormat="1">
      <c r="A161" s="213" t="s">
        <v>1071</v>
      </c>
      <c r="B161" s="212">
        <v>0.14835543995387299</v>
      </c>
      <c r="C161" s="213" t="s">
        <v>28</v>
      </c>
      <c r="D161" s="214">
        <v>4.1654396057128897</v>
      </c>
      <c r="E161" s="213">
        <v>0.17699999999999999</v>
      </c>
      <c r="F161" s="213">
        <v>4.0999999999999996</v>
      </c>
      <c r="G161" s="213">
        <v>35.310113235294899</v>
      </c>
      <c r="H161" s="213">
        <v>-120.66158372724399</v>
      </c>
      <c r="I161" s="198">
        <v>35.310126332333297</v>
      </c>
      <c r="J161" s="327">
        <v>-120.661606811333</v>
      </c>
      <c r="O161" s="200"/>
      <c r="P161" s="440">
        <v>38</v>
      </c>
      <c r="Q161" s="355">
        <v>2</v>
      </c>
      <c r="R161" s="631">
        <v>1</v>
      </c>
      <c r="S161" s="471">
        <v>6</v>
      </c>
      <c r="T161" s="471"/>
      <c r="U161" s="590" t="s">
        <v>1547</v>
      </c>
      <c r="V161" s="196"/>
      <c r="X161" s="213" t="s">
        <v>1545</v>
      </c>
      <c r="Y161" s="213" t="s">
        <v>1546</v>
      </c>
      <c r="Z161" s="217" t="s">
        <v>1073</v>
      </c>
      <c r="AA161" s="217" t="s">
        <v>1074</v>
      </c>
      <c r="AB161" s="213"/>
      <c r="AC161" s="213"/>
      <c r="AD161" s="213"/>
      <c r="AE161" s="213"/>
      <c r="AF161" s="213" t="s">
        <v>1075</v>
      </c>
      <c r="AG161" s="213"/>
      <c r="AH161" s="213"/>
      <c r="AI161" s="213"/>
    </row>
    <row r="162" spans="1:35" s="213" customFormat="1" ht="29.1">
      <c r="A162" s="630">
        <v>46191</v>
      </c>
      <c r="B162" s="212"/>
      <c r="D162" s="214"/>
      <c r="E162" s="318"/>
      <c r="I162" s="213">
        <v>35.310105434499903</v>
      </c>
      <c r="J162" s="328">
        <v>-120.66153925916601</v>
      </c>
      <c r="O162" s="215"/>
      <c r="P162" s="435">
        <v>38</v>
      </c>
      <c r="Q162" s="348">
        <v>3</v>
      </c>
      <c r="R162" s="632">
        <v>1</v>
      </c>
      <c r="S162" s="472">
        <v>6</v>
      </c>
      <c r="T162" s="472"/>
      <c r="U162" s="590" t="s">
        <v>1548</v>
      </c>
      <c r="V162" s="211"/>
      <c r="X162" s="213" t="s">
        <v>1545</v>
      </c>
      <c r="Y162" s="213" t="s">
        <v>1546</v>
      </c>
      <c r="Z162" s="217"/>
      <c r="AA162" s="217"/>
    </row>
    <row r="163" spans="1:35" s="259" customFormat="1" ht="29.1">
      <c r="A163" s="259" t="s">
        <v>1065</v>
      </c>
      <c r="B163" s="258">
        <v>5.82884209744551E-2</v>
      </c>
      <c r="C163" s="259" t="s">
        <v>28</v>
      </c>
      <c r="D163" s="260">
        <v>3.0357577800750701</v>
      </c>
      <c r="F163" s="259">
        <v>2.9</v>
      </c>
      <c r="G163" s="259">
        <v>35.310156305061298</v>
      </c>
      <c r="H163" s="259">
        <v>-120.661547108964</v>
      </c>
      <c r="I163" s="191">
        <v>35.310145349166604</v>
      </c>
      <c r="J163" s="331">
        <v>-120.66153601366599</v>
      </c>
      <c r="K163" s="259" t="s">
        <v>627</v>
      </c>
      <c r="M163" s="259" t="s">
        <v>30</v>
      </c>
      <c r="N163" s="259" t="s">
        <v>628</v>
      </c>
      <c r="O163" s="633">
        <v>31</v>
      </c>
      <c r="P163" s="634">
        <v>39</v>
      </c>
      <c r="Q163" s="635">
        <v>1</v>
      </c>
      <c r="R163" s="633">
        <v>1</v>
      </c>
      <c r="S163" s="636">
        <v>6</v>
      </c>
      <c r="T163" s="636" t="s">
        <v>1179</v>
      </c>
      <c r="U163" s="637" t="s">
        <v>1549</v>
      </c>
      <c r="V163" s="385" t="s">
        <v>1066</v>
      </c>
      <c r="W163" s="259" t="s">
        <v>33</v>
      </c>
      <c r="X163" s="259" t="s">
        <v>1072</v>
      </c>
      <c r="Y163" s="259" t="s">
        <v>1067</v>
      </c>
      <c r="Z163" s="517" t="s">
        <v>1068</v>
      </c>
      <c r="AA163" s="517" t="s">
        <v>1069</v>
      </c>
      <c r="AF163" s="259" t="s">
        <v>1070</v>
      </c>
    </row>
    <row r="164" spans="1:35" s="295" customFormat="1">
      <c r="A164" s="295" t="s">
        <v>1061</v>
      </c>
      <c r="B164" s="416">
        <v>2.9136229293112399E-2</v>
      </c>
      <c r="C164" s="295" t="s">
        <v>28</v>
      </c>
      <c r="D164" s="417">
        <v>3.0467600822448699</v>
      </c>
      <c r="E164" s="295">
        <v>2.7E-2</v>
      </c>
      <c r="F164" s="295">
        <v>2.9</v>
      </c>
      <c r="G164" s="295">
        <v>35.310147577558602</v>
      </c>
      <c r="H164" s="295">
        <v>-120.66146313651799</v>
      </c>
      <c r="I164" s="295">
        <v>35.3101529881666</v>
      </c>
      <c r="J164" s="330">
        <v>-120.661472488833</v>
      </c>
      <c r="K164" s="295" t="s">
        <v>627</v>
      </c>
      <c r="M164" s="295" t="s">
        <v>30</v>
      </c>
      <c r="N164" s="295" t="s">
        <v>628</v>
      </c>
      <c r="O164" s="296">
        <v>4</v>
      </c>
      <c r="P164" s="442">
        <v>19</v>
      </c>
      <c r="Q164" s="297">
        <v>2</v>
      </c>
      <c r="R164" s="296">
        <v>1</v>
      </c>
      <c r="S164" s="474">
        <v>6</v>
      </c>
      <c r="T164" s="474" t="s">
        <v>1179</v>
      </c>
      <c r="U164" s="638"/>
      <c r="V164" s="575"/>
      <c r="W164" s="295" t="s">
        <v>33</v>
      </c>
      <c r="X164" s="295" t="s">
        <v>71</v>
      </c>
      <c r="Y164" s="295" t="s">
        <v>1393</v>
      </c>
      <c r="Z164" s="306" t="s">
        <v>1062</v>
      </c>
      <c r="AA164" s="306" t="s">
        <v>1063</v>
      </c>
      <c r="AF164" s="295" t="s">
        <v>1064</v>
      </c>
    </row>
    <row r="167" spans="1:35">
      <c r="U167" s="604" t="s">
        <v>1550</v>
      </c>
      <c r="V167" s="392">
        <f>COUNTIF(R1:R224, 1)</f>
        <v>81</v>
      </c>
    </row>
    <row r="168" spans="1:35">
      <c r="F168" s="344" t="s">
        <v>1551</v>
      </c>
      <c r="G168" s="356" t="s">
        <v>1552</v>
      </c>
      <c r="H168" t="s">
        <v>1553</v>
      </c>
      <c r="U168" s="604" t="s">
        <v>1554</v>
      </c>
      <c r="V168" s="392">
        <f>COUNTIF(R1:R224, 99)</f>
        <v>0</v>
      </c>
      <c r="X168" t="s">
        <v>1555</v>
      </c>
    </row>
    <row r="169" spans="1:35" ht="15">
      <c r="F169" s="358">
        <f>IF(E2=0,NA(),E2)</f>
        <v>0.161</v>
      </c>
      <c r="G169" s="358">
        <f>IF(B2=0,NA(),B2)</f>
        <v>0.13004179095378199</v>
      </c>
      <c r="H169">
        <f>G169-F169</f>
        <v>-3.0958209046218016E-2</v>
      </c>
      <c r="I169" s="661" t="s">
        <v>1556</v>
      </c>
      <c r="J169" s="659" cm="1">
        <f t="array" ref="J169">SQRT(AVERAGE(_xlfn._xlws.FILTER(H169:H332^2,ISNUMBER(H169:H332))))*100</f>
        <v>4.4048907239788386</v>
      </c>
      <c r="U169" s="604" t="s">
        <v>1557</v>
      </c>
      <c r="V169" s="392">
        <f>SUM(V167:V168)</f>
        <v>81</v>
      </c>
    </row>
    <row r="170" spans="1:35" ht="15">
      <c r="F170" s="358">
        <f t="shared" ref="F170:F233" si="0">IF(E3=0,NA(),E3)</f>
        <v>0.122</v>
      </c>
      <c r="G170" s="358">
        <f t="shared" ref="G170:G233" si="1">IF(B3=0,NA(),B3)</f>
        <v>0.11198820801561001</v>
      </c>
      <c r="H170">
        <f t="shared" ref="H170:H233" si="2">G170-F170</f>
        <v>-1.0011791984389992E-2</v>
      </c>
      <c r="I170" s="662" t="s">
        <v>1558</v>
      </c>
      <c r="J170" s="659" cm="1">
        <f t="array" ref="J170">AVERAGE(_xlfn._xlws.FILTER(H169:H332,ISNUMBER(H169:H332)))*100</f>
        <v>-1.2709844413775599</v>
      </c>
      <c r="U170" s="603" t="s">
        <v>1559</v>
      </c>
      <c r="V170" s="392">
        <f>COUNTIF(T1:T224,"N")</f>
        <v>0</v>
      </c>
    </row>
    <row r="171" spans="1:35" ht="15">
      <c r="F171" s="358">
        <f t="shared" si="0"/>
        <v>5.7000000000000002E-2</v>
      </c>
      <c r="G171" s="358">
        <f t="shared" si="1"/>
        <v>5.2926415848481602E-2</v>
      </c>
      <c r="H171">
        <f t="shared" si="2"/>
        <v>-4.0735841515184001E-3</v>
      </c>
      <c r="I171" s="662" t="s">
        <v>1560</v>
      </c>
      <c r="J171" s="659" cm="1">
        <f t="array" ref="J171">AVERAGE(_xlfn._xlws.FILTER(ABS(H169:H332),ISNUMBER(H169:H332)))*100</f>
        <v>2.5253046251023545</v>
      </c>
      <c r="U171" s="603" t="s">
        <v>1561</v>
      </c>
      <c r="V171" s="392" t="s">
        <v>1562</v>
      </c>
    </row>
    <row r="172" spans="1:35">
      <c r="F172" s="358">
        <f t="shared" si="0"/>
        <v>0.111999999999999</v>
      </c>
      <c r="G172" s="358">
        <f t="shared" si="1"/>
        <v>9.9103543181239304E-2</v>
      </c>
      <c r="H172">
        <f t="shared" si="2"/>
        <v>-1.28964568187597E-2</v>
      </c>
      <c r="J172">
        <f>COUNTIF(H169:H332, "&lt;&gt;#N/A")</f>
        <v>147</v>
      </c>
      <c r="U172" s="603" t="s">
        <v>1563</v>
      </c>
      <c r="V172" s="373" t="s">
        <v>1564</v>
      </c>
      <c r="AA172">
        <f>1/163</f>
        <v>6.1349693251533744E-3</v>
      </c>
      <c r="AB172">
        <f>1/163</f>
        <v>6.1349693251533744E-3</v>
      </c>
    </row>
    <row r="173" spans="1:35" ht="15">
      <c r="F173" s="358">
        <f t="shared" si="0"/>
        <v>0.109</v>
      </c>
      <c r="G173" s="358">
        <f t="shared" si="1"/>
        <v>9.57902884770164E-2</v>
      </c>
      <c r="H173">
        <f t="shared" si="2"/>
        <v>-1.32097115229836E-2</v>
      </c>
      <c r="J173">
        <f>COUNTIF(F169:F332, "&lt;&gt;#N/A")</f>
        <v>149</v>
      </c>
      <c r="AA173">
        <f>AA172+$AA$172</f>
        <v>1.2269938650306749E-2</v>
      </c>
      <c r="AB173">
        <f>AB172+$AA$172</f>
        <v>1.2269938650306749E-2</v>
      </c>
    </row>
    <row r="174" spans="1:35" ht="15">
      <c r="F174" s="358">
        <f t="shared" si="0"/>
        <v>8.7999999999999995E-2</v>
      </c>
      <c r="G174" s="358">
        <f t="shared" si="1"/>
        <v>8.4025711512090595E-2</v>
      </c>
      <c r="H174">
        <f t="shared" si="2"/>
        <v>-3.9742884879093998E-3</v>
      </c>
      <c r="J174">
        <f>COUNTIF(G169:G332, "&lt;&gt;#N/A")</f>
        <v>156</v>
      </c>
      <c r="AA174">
        <f t="shared" ref="AA174:AB237" si="3">AA173+$AA$172</f>
        <v>1.8404907975460124E-2</v>
      </c>
      <c r="AB174">
        <f t="shared" si="3"/>
        <v>1.8404907975460124E-2</v>
      </c>
    </row>
    <row r="175" spans="1:35" ht="15">
      <c r="F175" s="358">
        <f t="shared" si="0"/>
        <v>0.105</v>
      </c>
      <c r="G175" s="358">
        <f t="shared" si="1"/>
        <v>0.102954639943221</v>
      </c>
      <c r="H175">
        <f t="shared" si="2"/>
        <v>-2.0453600567789942E-3</v>
      </c>
      <c r="AA175">
        <f t="shared" si="3"/>
        <v>2.4539877300613498E-2</v>
      </c>
      <c r="AB175">
        <f t="shared" si="3"/>
        <v>2.4539877300613498E-2</v>
      </c>
    </row>
    <row r="176" spans="1:35">
      <c r="F176" s="358">
        <f t="shared" si="0"/>
        <v>0.16699999999999901</v>
      </c>
      <c r="G176" s="358">
        <f t="shared" si="1"/>
        <v>0.17142462468964201</v>
      </c>
      <c r="H176">
        <f t="shared" si="2"/>
        <v>4.4246246896429975E-3</v>
      </c>
      <c r="AA176">
        <f t="shared" si="3"/>
        <v>3.0674846625766871E-2</v>
      </c>
      <c r="AB176">
        <f t="shared" si="3"/>
        <v>3.0674846625766871E-2</v>
      </c>
    </row>
    <row r="177" spans="6:28">
      <c r="F177" s="358">
        <f t="shared" si="0"/>
        <v>0.32799999999999901</v>
      </c>
      <c r="G177" s="358">
        <f t="shared" si="1"/>
        <v>0.32065579972712399</v>
      </c>
      <c r="H177">
        <f t="shared" si="2"/>
        <v>-7.3442002728750233E-3</v>
      </c>
      <c r="AA177">
        <f t="shared" si="3"/>
        <v>3.6809815950920248E-2</v>
      </c>
      <c r="AB177">
        <f t="shared" si="3"/>
        <v>3.6809815950920248E-2</v>
      </c>
    </row>
    <row r="178" spans="6:28">
      <c r="F178" s="358">
        <f t="shared" si="0"/>
        <v>0.65</v>
      </c>
      <c r="G178" s="358">
        <f t="shared" si="1"/>
        <v>0.55698177056860898</v>
      </c>
      <c r="H178">
        <f t="shared" si="2"/>
        <v>-9.3018229431391042E-2</v>
      </c>
      <c r="AA178">
        <f t="shared" si="3"/>
        <v>4.2944785276073622E-2</v>
      </c>
      <c r="AB178">
        <f t="shared" si="3"/>
        <v>4.2944785276073622E-2</v>
      </c>
    </row>
    <row r="179" spans="6:28">
      <c r="F179" s="358">
        <f t="shared" si="0"/>
        <v>0.73</v>
      </c>
      <c r="G179" s="358">
        <f t="shared" si="1"/>
        <v>0.59010244901912001</v>
      </c>
      <c r="H179">
        <f t="shared" si="2"/>
        <v>-0.13989755098087997</v>
      </c>
      <c r="AA179">
        <f t="shared" si="3"/>
        <v>4.9079754601226995E-2</v>
      </c>
      <c r="AB179">
        <f t="shared" si="3"/>
        <v>4.9079754601226995E-2</v>
      </c>
    </row>
    <row r="180" spans="6:28">
      <c r="F180" s="358">
        <f t="shared" si="0"/>
        <v>0.35699999999999998</v>
      </c>
      <c r="G180" s="358">
        <f t="shared" si="1"/>
        <v>8.4026724883578E-2</v>
      </c>
      <c r="H180">
        <f t="shared" si="2"/>
        <v>-0.272973275116422</v>
      </c>
      <c r="AA180">
        <f t="shared" si="3"/>
        <v>5.5214723926380369E-2</v>
      </c>
      <c r="AB180">
        <f t="shared" si="3"/>
        <v>5.5214723926380369E-2</v>
      </c>
    </row>
    <row r="181" spans="6:28">
      <c r="F181" s="358">
        <f t="shared" si="0"/>
        <v>0.33100000000000002</v>
      </c>
      <c r="G181" s="358">
        <f t="shared" si="1"/>
        <v>0.32580039488486101</v>
      </c>
      <c r="H181">
        <f t="shared" si="2"/>
        <v>-5.1996051151390055E-3</v>
      </c>
      <c r="AA181">
        <f t="shared" si="3"/>
        <v>6.1349693251533742E-2</v>
      </c>
      <c r="AB181">
        <f t="shared" si="3"/>
        <v>6.1349693251533742E-2</v>
      </c>
    </row>
    <row r="182" spans="6:28">
      <c r="F182" s="358">
        <f t="shared" si="0"/>
        <v>0.98</v>
      </c>
      <c r="G182" s="358">
        <f t="shared" si="1"/>
        <v>0.95415399999999995</v>
      </c>
      <c r="H182">
        <f t="shared" si="2"/>
        <v>-2.5846000000000036E-2</v>
      </c>
      <c r="AA182">
        <f t="shared" si="3"/>
        <v>6.7484662576687116E-2</v>
      </c>
      <c r="AB182">
        <f t="shared" si="3"/>
        <v>6.7484662576687116E-2</v>
      </c>
    </row>
    <row r="183" spans="6:28">
      <c r="F183" s="358">
        <f t="shared" si="0"/>
        <v>0.20100000000000001</v>
      </c>
      <c r="G183" s="358">
        <f t="shared" si="1"/>
        <v>0.17343800000000001</v>
      </c>
      <c r="H183">
        <f t="shared" si="2"/>
        <v>-2.7562000000000003E-2</v>
      </c>
      <c r="AA183">
        <f t="shared" si="3"/>
        <v>7.3619631901840496E-2</v>
      </c>
      <c r="AB183">
        <f t="shared" si="3"/>
        <v>7.3619631901840496E-2</v>
      </c>
    </row>
    <row r="184" spans="6:28">
      <c r="F184" s="358">
        <f t="shared" si="0"/>
        <v>0.157</v>
      </c>
      <c r="G184" s="358">
        <f t="shared" si="1"/>
        <v>0.19756099999999999</v>
      </c>
      <c r="H184">
        <f t="shared" si="2"/>
        <v>4.0560999999999986E-2</v>
      </c>
      <c r="AA184">
        <f t="shared" si="3"/>
        <v>7.9754601226993876E-2</v>
      </c>
      <c r="AB184">
        <f t="shared" si="3"/>
        <v>7.9754601226993876E-2</v>
      </c>
    </row>
    <row r="185" spans="6:28">
      <c r="F185" s="358">
        <f t="shared" si="0"/>
        <v>0.186</v>
      </c>
      <c r="G185" s="358">
        <f t="shared" si="1"/>
        <v>0.284856</v>
      </c>
      <c r="H185">
        <f t="shared" si="2"/>
        <v>9.8855999999999999E-2</v>
      </c>
      <c r="AA185">
        <f t="shared" si="3"/>
        <v>8.5889570552147257E-2</v>
      </c>
      <c r="AB185">
        <f t="shared" si="3"/>
        <v>8.5889570552147257E-2</v>
      </c>
    </row>
    <row r="186" spans="6:28">
      <c r="F186" s="358">
        <f t="shared" si="0"/>
        <v>0.11600000000000001</v>
      </c>
      <c r="G186" s="358">
        <f t="shared" si="1"/>
        <v>0.114286</v>
      </c>
      <c r="H186">
        <f t="shared" si="2"/>
        <v>-1.7140000000000072E-3</v>
      </c>
      <c r="AA186">
        <f t="shared" si="3"/>
        <v>9.2024539877300637E-2</v>
      </c>
      <c r="AB186">
        <f t="shared" si="3"/>
        <v>9.2024539877300637E-2</v>
      </c>
    </row>
    <row r="187" spans="6:28">
      <c r="F187" s="358">
        <f t="shared" si="0"/>
        <v>0.14649999999999999</v>
      </c>
      <c r="G187" s="358">
        <f t="shared" si="1"/>
        <v>0.17032</v>
      </c>
      <c r="H187">
        <f t="shared" si="2"/>
        <v>2.3820000000000008E-2</v>
      </c>
      <c r="AA187">
        <f t="shared" si="3"/>
        <v>9.8159509202454018E-2</v>
      </c>
      <c r="AB187">
        <f t="shared" si="3"/>
        <v>9.8159509202454018E-2</v>
      </c>
    </row>
    <row r="188" spans="6:28">
      <c r="F188" s="358">
        <f t="shared" si="0"/>
        <v>6.2E-2</v>
      </c>
      <c r="G188" s="358">
        <f t="shared" si="1"/>
        <v>7.5853000000000004E-2</v>
      </c>
      <c r="H188">
        <f t="shared" si="2"/>
        <v>1.3853000000000004E-2</v>
      </c>
      <c r="AA188">
        <f t="shared" si="3"/>
        <v>0.1042944785276074</v>
      </c>
      <c r="AB188">
        <f t="shared" si="3"/>
        <v>0.1042944785276074</v>
      </c>
    </row>
    <row r="189" spans="6:28">
      <c r="F189" s="358">
        <f t="shared" si="0"/>
        <v>0.114</v>
      </c>
      <c r="G189" s="358">
        <f t="shared" si="1"/>
        <v>0.106418</v>
      </c>
      <c r="H189">
        <f t="shared" si="2"/>
        <v>-7.5820000000000054E-3</v>
      </c>
      <c r="AA189">
        <f t="shared" si="3"/>
        <v>0.11042944785276078</v>
      </c>
      <c r="AB189">
        <f t="shared" si="3"/>
        <v>0.11042944785276078</v>
      </c>
    </row>
    <row r="190" spans="6:28">
      <c r="F190" s="358">
        <f t="shared" si="0"/>
        <v>9.5500000000000002E-2</v>
      </c>
      <c r="G190" s="358">
        <f t="shared" si="1"/>
        <v>8.7108000000000005E-2</v>
      </c>
      <c r="H190">
        <f t="shared" si="2"/>
        <v>-8.3919999999999967E-3</v>
      </c>
      <c r="AA190">
        <f t="shared" si="3"/>
        <v>0.11656441717791416</v>
      </c>
      <c r="AB190">
        <f t="shared" si="3"/>
        <v>0.11656441717791416</v>
      </c>
    </row>
    <row r="191" spans="6:28">
      <c r="F191" s="358">
        <f t="shared" si="0"/>
        <v>5.5E-2</v>
      </c>
      <c r="G191" s="358">
        <f t="shared" si="1"/>
        <v>5.2253000000000001E-2</v>
      </c>
      <c r="H191">
        <f t="shared" si="2"/>
        <v>-2.7469999999999994E-3</v>
      </c>
      <c r="AA191">
        <f t="shared" si="3"/>
        <v>0.12269938650306754</v>
      </c>
      <c r="AB191">
        <f t="shared" si="3"/>
        <v>0.12269938650306754</v>
      </c>
    </row>
    <row r="192" spans="6:28">
      <c r="F192" s="358">
        <f t="shared" si="0"/>
        <v>0.10050000000000001</v>
      </c>
      <c r="G192" s="358">
        <f t="shared" si="1"/>
        <v>9.8658999999999997E-2</v>
      </c>
      <c r="H192">
        <f t="shared" si="2"/>
        <v>-1.8410000000000093E-3</v>
      </c>
      <c r="AA192">
        <f t="shared" si="3"/>
        <v>0.12883435582822092</v>
      </c>
      <c r="AB192">
        <f t="shared" si="3"/>
        <v>0.12883435582822092</v>
      </c>
    </row>
    <row r="193" spans="6:28">
      <c r="F193" s="358">
        <f t="shared" si="0"/>
        <v>9.5000000000000001E-2</v>
      </c>
      <c r="G193" s="358">
        <f t="shared" si="1"/>
        <v>3.2521000000000001E-2</v>
      </c>
      <c r="H193">
        <f t="shared" si="2"/>
        <v>-6.2479E-2</v>
      </c>
      <c r="AA193">
        <f t="shared" si="3"/>
        <v>0.13496932515337429</v>
      </c>
      <c r="AB193">
        <f t="shared" si="3"/>
        <v>0.13496932515337429</v>
      </c>
    </row>
    <row r="194" spans="6:28">
      <c r="F194" s="358">
        <f t="shared" si="0"/>
        <v>0.19500000000000001</v>
      </c>
      <c r="G194" s="358">
        <f t="shared" si="1"/>
        <v>0.18351600000000001</v>
      </c>
      <c r="H194">
        <f t="shared" si="2"/>
        <v>-1.1483999999999994E-2</v>
      </c>
      <c r="AA194">
        <f t="shared" si="3"/>
        <v>0.14110429447852765</v>
      </c>
      <c r="AB194">
        <f t="shared" si="3"/>
        <v>0.14110429447852765</v>
      </c>
    </row>
    <row r="195" spans="6:28">
      <c r="F195" s="358">
        <f t="shared" si="0"/>
        <v>8.4000000000000005E-2</v>
      </c>
      <c r="G195" s="358">
        <f t="shared" si="1"/>
        <v>7.936E-2</v>
      </c>
      <c r="H195">
        <f t="shared" si="2"/>
        <v>-4.6400000000000052E-3</v>
      </c>
      <c r="AA195">
        <f t="shared" si="3"/>
        <v>0.14723926380368102</v>
      </c>
      <c r="AB195">
        <f t="shared" si="3"/>
        <v>0.14723926380368102</v>
      </c>
    </row>
    <row r="196" spans="6:28">
      <c r="F196" s="358">
        <f t="shared" si="0"/>
        <v>0.14899999999999999</v>
      </c>
      <c r="G196" s="358">
        <f t="shared" si="1"/>
        <v>0.17761199999999999</v>
      </c>
      <c r="H196">
        <f t="shared" si="2"/>
        <v>2.8611999999999999E-2</v>
      </c>
      <c r="AA196">
        <f t="shared" si="3"/>
        <v>0.15337423312883439</v>
      </c>
      <c r="AB196">
        <f t="shared" si="3"/>
        <v>0.15337423312883439</v>
      </c>
    </row>
    <row r="197" spans="6:28">
      <c r="F197" s="358">
        <f t="shared" si="0"/>
        <v>0.104</v>
      </c>
      <c r="G197" s="358">
        <f t="shared" si="1"/>
        <v>8.6301000000000003E-2</v>
      </c>
      <c r="H197">
        <f t="shared" si="2"/>
        <v>-1.7698999999999993E-2</v>
      </c>
      <c r="AA197">
        <f t="shared" si="3"/>
        <v>0.15950920245398775</v>
      </c>
      <c r="AB197">
        <f t="shared" si="3"/>
        <v>0.15950920245398775</v>
      </c>
    </row>
    <row r="198" spans="6:28">
      <c r="F198" s="358">
        <f t="shared" si="0"/>
        <v>0.33700000000000002</v>
      </c>
      <c r="G198" s="358">
        <f t="shared" si="1"/>
        <v>0.31379400000000002</v>
      </c>
      <c r="H198">
        <f t="shared" si="2"/>
        <v>-2.3206000000000004E-2</v>
      </c>
      <c r="AA198">
        <f t="shared" si="3"/>
        <v>0.16564417177914112</v>
      </c>
      <c r="AB198">
        <f t="shared" si="3"/>
        <v>0.16564417177914112</v>
      </c>
    </row>
    <row r="199" spans="6:28">
      <c r="F199" s="358">
        <f t="shared" si="0"/>
        <v>0.31900000000000001</v>
      </c>
      <c r="G199" s="358">
        <f t="shared" si="1"/>
        <v>0.26653300000000002</v>
      </c>
      <c r="H199">
        <f t="shared" si="2"/>
        <v>-5.2466999999999986E-2</v>
      </c>
      <c r="AA199">
        <f t="shared" si="3"/>
        <v>0.17177914110429449</v>
      </c>
      <c r="AB199">
        <f t="shared" si="3"/>
        <v>0.17177914110429449</v>
      </c>
    </row>
    <row r="200" spans="6:28">
      <c r="F200" s="358">
        <f t="shared" si="0"/>
        <v>0.27400000000000002</v>
      </c>
      <c r="G200" s="358">
        <f t="shared" si="1"/>
        <v>0.52017199999999997</v>
      </c>
      <c r="H200">
        <f t="shared" si="2"/>
        <v>0.24617199999999995</v>
      </c>
      <c r="AA200">
        <f t="shared" si="3"/>
        <v>0.17791411042944785</v>
      </c>
      <c r="AB200">
        <f t="shared" si="3"/>
        <v>0.17791411042944785</v>
      </c>
    </row>
    <row r="201" spans="6:28">
      <c r="F201" s="358" t="e">
        <f t="shared" si="0"/>
        <v>#N/A</v>
      </c>
      <c r="G201" s="358" t="e">
        <f t="shared" si="1"/>
        <v>#N/A</v>
      </c>
      <c r="H201" t="e">
        <f t="shared" si="2"/>
        <v>#N/A</v>
      </c>
      <c r="AA201">
        <f t="shared" si="3"/>
        <v>0.18404907975460122</v>
      </c>
      <c r="AB201">
        <f t="shared" si="3"/>
        <v>0.18404907975460122</v>
      </c>
    </row>
    <row r="202" spans="6:28">
      <c r="F202" s="358">
        <f t="shared" si="0"/>
        <v>0.54</v>
      </c>
      <c r="G202" s="358">
        <f t="shared" si="1"/>
        <v>0.50263159058756701</v>
      </c>
      <c r="H202">
        <f t="shared" si="2"/>
        <v>-3.7368409412433023E-2</v>
      </c>
      <c r="AA202">
        <f t="shared" si="3"/>
        <v>0.19018404907975459</v>
      </c>
      <c r="AB202">
        <f t="shared" si="3"/>
        <v>0.19018404907975459</v>
      </c>
    </row>
    <row r="203" spans="6:28">
      <c r="F203" s="358">
        <f t="shared" si="0"/>
        <v>0.41099999999999998</v>
      </c>
      <c r="G203" s="358">
        <f t="shared" si="1"/>
        <v>0.39947534756974001</v>
      </c>
      <c r="H203">
        <f t="shared" si="2"/>
        <v>-1.1524652430259963E-2</v>
      </c>
      <c r="AA203">
        <f t="shared" si="3"/>
        <v>0.19631901840490795</v>
      </c>
      <c r="AB203">
        <f t="shared" si="3"/>
        <v>0.19631901840490795</v>
      </c>
    </row>
    <row r="204" spans="6:28">
      <c r="F204" s="358">
        <f t="shared" si="0"/>
        <v>0.318</v>
      </c>
      <c r="G204" s="358">
        <f t="shared" si="1"/>
        <v>0.290196681076764</v>
      </c>
      <c r="H204">
        <f t="shared" si="2"/>
        <v>-2.7803318923236009E-2</v>
      </c>
      <c r="AA204">
        <f t="shared" si="3"/>
        <v>0.20245398773006132</v>
      </c>
      <c r="AB204">
        <f t="shared" si="3"/>
        <v>0.20245398773006132</v>
      </c>
    </row>
    <row r="205" spans="6:28">
      <c r="F205" s="358">
        <f t="shared" si="0"/>
        <v>0.57799999999999996</v>
      </c>
      <c r="G205" s="358">
        <f t="shared" si="1"/>
        <v>0.57481053796556703</v>
      </c>
      <c r="H205">
        <f t="shared" si="2"/>
        <v>-3.1894620344329327E-3</v>
      </c>
      <c r="AA205">
        <f t="shared" si="3"/>
        <v>0.20858895705521469</v>
      </c>
      <c r="AB205">
        <f t="shared" si="3"/>
        <v>0.20858895705521469</v>
      </c>
    </row>
    <row r="206" spans="6:28">
      <c r="F206" s="358">
        <f t="shared" si="0"/>
        <v>0.46899999999999997</v>
      </c>
      <c r="G206" s="358">
        <f t="shared" si="1"/>
        <v>0.359674810764049</v>
      </c>
      <c r="H206">
        <f t="shared" si="2"/>
        <v>-0.10932518923595097</v>
      </c>
      <c r="AA206">
        <f t="shared" si="3"/>
        <v>0.21472392638036805</v>
      </c>
      <c r="AB206">
        <f t="shared" si="3"/>
        <v>0.21472392638036805</v>
      </c>
    </row>
    <row r="207" spans="6:28">
      <c r="F207" s="358" t="e">
        <f t="shared" si="0"/>
        <v>#N/A</v>
      </c>
      <c r="G207" s="358">
        <f t="shared" si="1"/>
        <v>0.21480227515469399</v>
      </c>
      <c r="H207" t="e">
        <f t="shared" si="2"/>
        <v>#N/A</v>
      </c>
      <c r="AA207">
        <f t="shared" si="3"/>
        <v>0.22085889570552142</v>
      </c>
      <c r="AB207">
        <f t="shared" si="3"/>
        <v>0.22085889570552142</v>
      </c>
    </row>
    <row r="208" spans="6:28">
      <c r="F208" s="358">
        <f t="shared" si="0"/>
        <v>0.48199999999999998</v>
      </c>
      <c r="G208" s="358">
        <f t="shared" si="1"/>
        <v>0.43879488173376602</v>
      </c>
      <c r="H208">
        <f t="shared" si="2"/>
        <v>-4.3205118266233966E-2</v>
      </c>
      <c r="AA208">
        <f t="shared" si="3"/>
        <v>0.22699386503067479</v>
      </c>
      <c r="AB208">
        <f t="shared" si="3"/>
        <v>0.22699386503067479</v>
      </c>
    </row>
    <row r="209" spans="6:28">
      <c r="F209" s="358" t="e">
        <f t="shared" si="0"/>
        <v>#N/A</v>
      </c>
      <c r="G209" s="358" t="e">
        <f t="shared" si="1"/>
        <v>#N/A</v>
      </c>
      <c r="H209" t="e">
        <f t="shared" si="2"/>
        <v>#N/A</v>
      </c>
      <c r="AA209">
        <f t="shared" si="3"/>
        <v>0.23312883435582815</v>
      </c>
      <c r="AB209">
        <f t="shared" si="3"/>
        <v>0.23312883435582815</v>
      </c>
    </row>
    <row r="210" spans="6:28">
      <c r="F210" s="358" t="e">
        <f t="shared" si="0"/>
        <v>#N/A</v>
      </c>
      <c r="G210" s="358" t="e">
        <f t="shared" si="1"/>
        <v>#N/A</v>
      </c>
      <c r="H210" t="e">
        <f t="shared" si="2"/>
        <v>#N/A</v>
      </c>
      <c r="AA210">
        <f t="shared" si="3"/>
        <v>0.23926380368098152</v>
      </c>
      <c r="AB210">
        <f t="shared" si="3"/>
        <v>0.23926380368098152</v>
      </c>
    </row>
    <row r="211" spans="6:28">
      <c r="F211" s="358">
        <f t="shared" si="0"/>
        <v>0.55600000000000005</v>
      </c>
      <c r="G211" s="358">
        <f t="shared" si="1"/>
        <v>0.52420286499511304</v>
      </c>
      <c r="H211">
        <f t="shared" si="2"/>
        <v>-3.1797135004887012E-2</v>
      </c>
      <c r="AA211">
        <f t="shared" si="3"/>
        <v>0.24539877300613488</v>
      </c>
      <c r="AB211">
        <f t="shared" si="3"/>
        <v>0.24539877300613488</v>
      </c>
    </row>
    <row r="212" spans="6:28">
      <c r="F212" s="358">
        <f t="shared" si="0"/>
        <v>0.437</v>
      </c>
      <c r="G212" s="358">
        <f t="shared" si="1"/>
        <v>0.448922766648643</v>
      </c>
      <c r="H212">
        <f t="shared" si="2"/>
        <v>1.1922766648643002E-2</v>
      </c>
      <c r="AA212">
        <f t="shared" si="3"/>
        <v>0.25153374233128828</v>
      </c>
      <c r="AB212">
        <f t="shared" si="3"/>
        <v>0.25153374233128828</v>
      </c>
    </row>
    <row r="213" spans="6:28">
      <c r="F213" s="358">
        <f t="shared" si="0"/>
        <v>0.25600000000000001</v>
      </c>
      <c r="G213" s="358">
        <f t="shared" si="1"/>
        <v>0.237053202033498</v>
      </c>
      <c r="H213">
        <f t="shared" si="2"/>
        <v>-1.8946797966502005E-2</v>
      </c>
      <c r="AA213">
        <f t="shared" si="3"/>
        <v>0.25766871165644167</v>
      </c>
      <c r="AB213">
        <f t="shared" si="3"/>
        <v>0.25766871165644167</v>
      </c>
    </row>
    <row r="214" spans="6:28">
      <c r="F214" s="358">
        <f t="shared" si="0"/>
        <v>0.34200000000000003</v>
      </c>
      <c r="G214" s="358">
        <f t="shared" si="1"/>
        <v>0.31533926873587798</v>
      </c>
      <c r="H214">
        <f t="shared" si="2"/>
        <v>-2.6660731264122051E-2</v>
      </c>
      <c r="AA214">
        <f t="shared" si="3"/>
        <v>0.26380368098159507</v>
      </c>
      <c r="AB214">
        <f t="shared" si="3"/>
        <v>0.26380368098159507</v>
      </c>
    </row>
    <row r="215" spans="6:28">
      <c r="F215" s="358">
        <f t="shared" si="0"/>
        <v>0.34399999999999997</v>
      </c>
      <c r="G215" s="358">
        <f t="shared" si="1"/>
        <v>0.31939936782789702</v>
      </c>
      <c r="H215">
        <f t="shared" si="2"/>
        <v>-2.4600632172102954E-2</v>
      </c>
      <c r="AA215">
        <f t="shared" si="3"/>
        <v>0.26993865030674846</v>
      </c>
      <c r="AB215">
        <f t="shared" si="3"/>
        <v>0.26993865030674846</v>
      </c>
    </row>
    <row r="216" spans="6:28">
      <c r="F216" s="358">
        <f t="shared" si="0"/>
        <v>0.32700000000000001</v>
      </c>
      <c r="G216" s="358">
        <f t="shared" si="1"/>
        <v>0.33941513459433398</v>
      </c>
      <c r="H216">
        <f t="shared" si="2"/>
        <v>1.2415134594333965E-2</v>
      </c>
      <c r="AA216">
        <f t="shared" si="3"/>
        <v>0.27607361963190186</v>
      </c>
      <c r="AB216">
        <f t="shared" si="3"/>
        <v>0.27607361963190186</v>
      </c>
    </row>
    <row r="217" spans="6:28">
      <c r="F217" s="358">
        <f t="shared" si="0"/>
        <v>6.2E-2</v>
      </c>
      <c r="G217" s="358">
        <f t="shared" si="1"/>
        <v>5.9983000000000002E-2</v>
      </c>
      <c r="H217">
        <f t="shared" si="2"/>
        <v>-2.016999999999998E-3</v>
      </c>
      <c r="AA217">
        <f t="shared" si="3"/>
        <v>0.28220858895705525</v>
      </c>
      <c r="AB217">
        <f t="shared" si="3"/>
        <v>0.28220858895705525</v>
      </c>
    </row>
    <row r="218" spans="6:28">
      <c r="F218" s="358">
        <f t="shared" si="0"/>
        <v>0.06</v>
      </c>
      <c r="G218" s="358">
        <f t="shared" si="1"/>
        <v>5.2263999999999998E-2</v>
      </c>
      <c r="H218">
        <f t="shared" si="2"/>
        <v>-7.7359999999999998E-3</v>
      </c>
      <c r="AA218">
        <f t="shared" si="3"/>
        <v>0.28834355828220865</v>
      </c>
      <c r="AB218">
        <f t="shared" si="3"/>
        <v>0.28834355828220865</v>
      </c>
    </row>
    <row r="219" spans="6:28">
      <c r="F219" s="358">
        <f t="shared" si="0"/>
        <v>7.3999999999999996E-2</v>
      </c>
      <c r="G219" s="358">
        <f t="shared" si="1"/>
        <v>7.4727000000000002E-2</v>
      </c>
      <c r="H219">
        <f t="shared" si="2"/>
        <v>7.2700000000000542E-4</v>
      </c>
      <c r="AA219">
        <f t="shared" si="3"/>
        <v>0.29447852760736204</v>
      </c>
      <c r="AB219">
        <f t="shared" si="3"/>
        <v>0.29447852760736204</v>
      </c>
    </row>
    <row r="220" spans="6:28">
      <c r="F220" s="358">
        <f t="shared" si="0"/>
        <v>7.4999999999999997E-2</v>
      </c>
      <c r="G220" s="358">
        <f t="shared" si="1"/>
        <v>7.4418999999999999E-2</v>
      </c>
      <c r="H220">
        <f t="shared" si="2"/>
        <v>-5.8099999999999818E-4</v>
      </c>
      <c r="AA220">
        <f t="shared" si="3"/>
        <v>0.30061349693251543</v>
      </c>
      <c r="AB220">
        <f t="shared" si="3"/>
        <v>0.30061349693251543</v>
      </c>
    </row>
    <row r="221" spans="6:28">
      <c r="F221" s="358">
        <f t="shared" si="0"/>
        <v>0.104</v>
      </c>
      <c r="G221" s="358">
        <f t="shared" si="1"/>
        <v>0.118288</v>
      </c>
      <c r="H221">
        <f t="shared" si="2"/>
        <v>1.4288000000000009E-2</v>
      </c>
      <c r="AA221">
        <f t="shared" si="3"/>
        <v>0.30674846625766883</v>
      </c>
      <c r="AB221">
        <f t="shared" si="3"/>
        <v>0.30674846625766883</v>
      </c>
    </row>
    <row r="222" spans="6:28">
      <c r="F222" s="358">
        <f t="shared" si="0"/>
        <v>5.2999999999999999E-2</v>
      </c>
      <c r="G222" s="358">
        <f t="shared" si="1"/>
        <v>5.6007000000000001E-2</v>
      </c>
      <c r="H222">
        <f t="shared" si="2"/>
        <v>3.0070000000000027E-3</v>
      </c>
      <c r="AA222">
        <f t="shared" si="3"/>
        <v>0.31288343558282222</v>
      </c>
      <c r="AB222">
        <f t="shared" si="3"/>
        <v>0.31288343558282222</v>
      </c>
    </row>
    <row r="223" spans="6:28">
      <c r="F223" s="358">
        <f t="shared" si="0"/>
        <v>6.6000000000000003E-2</v>
      </c>
      <c r="G223" s="358">
        <f t="shared" si="1"/>
        <v>6.2365999999999998E-2</v>
      </c>
      <c r="H223">
        <f t="shared" si="2"/>
        <v>-3.6340000000000053E-3</v>
      </c>
      <c r="AA223">
        <f t="shared" si="3"/>
        <v>0.31901840490797562</v>
      </c>
      <c r="AB223">
        <f t="shared" si="3"/>
        <v>0.31901840490797562</v>
      </c>
    </row>
    <row r="224" spans="6:28">
      <c r="F224" s="358">
        <f t="shared" si="0"/>
        <v>6.2E-2</v>
      </c>
      <c r="G224" s="358">
        <f t="shared" si="1"/>
        <v>5.8263000000000002E-2</v>
      </c>
      <c r="H224">
        <f t="shared" si="2"/>
        <v>-3.7369999999999973E-3</v>
      </c>
      <c r="AA224">
        <f t="shared" si="3"/>
        <v>0.32515337423312901</v>
      </c>
      <c r="AB224">
        <f t="shared" si="3"/>
        <v>0.32515337423312901</v>
      </c>
    </row>
    <row r="225" spans="6:28">
      <c r="F225" s="358">
        <f t="shared" si="0"/>
        <v>8.5999999999999993E-2</v>
      </c>
      <c r="G225" s="358">
        <f t="shared" si="1"/>
        <v>8.1809000000000007E-2</v>
      </c>
      <c r="H225">
        <f t="shared" si="2"/>
        <v>-4.1909999999999864E-3</v>
      </c>
      <c r="AA225">
        <f t="shared" si="3"/>
        <v>0.33128834355828241</v>
      </c>
      <c r="AB225">
        <f t="shared" si="3"/>
        <v>0.33128834355828241</v>
      </c>
    </row>
    <row r="226" spans="6:28">
      <c r="F226" s="358">
        <f t="shared" si="0"/>
        <v>0.03</v>
      </c>
      <c r="G226" s="358">
        <f t="shared" si="1"/>
        <v>5.5920999999999998E-2</v>
      </c>
      <c r="H226">
        <f t="shared" si="2"/>
        <v>2.5921E-2</v>
      </c>
      <c r="AA226">
        <f t="shared" si="3"/>
        <v>0.3374233128834358</v>
      </c>
      <c r="AB226">
        <f t="shared" si="3"/>
        <v>0.3374233128834358</v>
      </c>
    </row>
    <row r="227" spans="6:28">
      <c r="F227" s="358">
        <f t="shared" si="0"/>
        <v>4.2999999999999997E-2</v>
      </c>
      <c r="G227" s="358">
        <f t="shared" si="1"/>
        <v>5.5369000000000002E-2</v>
      </c>
      <c r="H227">
        <f t="shared" si="2"/>
        <v>1.2369000000000005E-2</v>
      </c>
      <c r="AA227">
        <f t="shared" si="3"/>
        <v>0.34355828220858919</v>
      </c>
      <c r="AB227">
        <f t="shared" si="3"/>
        <v>0.34355828220858919</v>
      </c>
    </row>
    <row r="228" spans="6:28">
      <c r="F228" s="358">
        <f t="shared" si="0"/>
        <v>9.8000000000000004E-2</v>
      </c>
      <c r="G228" s="358">
        <f t="shared" si="1"/>
        <v>7.6773999999999995E-2</v>
      </c>
      <c r="H228">
        <f t="shared" si="2"/>
        <v>-2.1226000000000009E-2</v>
      </c>
      <c r="AA228">
        <f t="shared" si="3"/>
        <v>0.34969325153374259</v>
      </c>
      <c r="AB228">
        <f t="shared" si="3"/>
        <v>0.34969325153374259</v>
      </c>
    </row>
    <row r="229" spans="6:28">
      <c r="F229" s="358">
        <f t="shared" si="0"/>
        <v>9.5000000000000001E-2</v>
      </c>
      <c r="G229" s="358">
        <f t="shared" si="1"/>
        <v>8.6984000000000006E-2</v>
      </c>
      <c r="H229">
        <f t="shared" si="2"/>
        <v>-8.0159999999999954E-3</v>
      </c>
      <c r="AA229">
        <f t="shared" si="3"/>
        <v>0.35582822085889598</v>
      </c>
      <c r="AB229">
        <f t="shared" si="3"/>
        <v>0.35582822085889598</v>
      </c>
    </row>
    <row r="230" spans="6:28">
      <c r="F230" s="358">
        <f t="shared" si="0"/>
        <v>3.6999999999999998E-2</v>
      </c>
      <c r="G230" s="358">
        <f t="shared" si="1"/>
        <v>5.3434000000000002E-2</v>
      </c>
      <c r="H230">
        <f t="shared" si="2"/>
        <v>1.6434000000000004E-2</v>
      </c>
      <c r="AA230">
        <f>AA229+$AA$172</f>
        <v>0.36196319018404938</v>
      </c>
      <c r="AB230">
        <f>AB229+$AA$172</f>
        <v>0.36196319018404938</v>
      </c>
    </row>
    <row r="231" spans="6:28">
      <c r="F231" s="358">
        <f t="shared" si="0"/>
        <v>4.2999999999999997E-2</v>
      </c>
      <c r="G231" s="358">
        <f t="shared" si="1"/>
        <v>5.7357999999999999E-2</v>
      </c>
      <c r="H231">
        <f t="shared" si="2"/>
        <v>1.4358000000000003E-2</v>
      </c>
      <c r="AA231">
        <f t="shared" si="3"/>
        <v>0.36809815950920277</v>
      </c>
      <c r="AB231">
        <f t="shared" si="3"/>
        <v>0.36809815950920277</v>
      </c>
    </row>
    <row r="232" spans="6:28">
      <c r="F232" s="358">
        <f t="shared" si="0"/>
        <v>3.1E-2</v>
      </c>
      <c r="G232" s="358">
        <f t="shared" si="1"/>
        <v>5.5171999999999999E-2</v>
      </c>
      <c r="H232">
        <f t="shared" si="2"/>
        <v>2.4171999999999999E-2</v>
      </c>
      <c r="AA232">
        <f t="shared" si="3"/>
        <v>0.37423312883435617</v>
      </c>
      <c r="AB232">
        <f t="shared" si="3"/>
        <v>0.37423312883435617</v>
      </c>
    </row>
    <row r="233" spans="6:28">
      <c r="F233" s="358">
        <f t="shared" si="0"/>
        <v>7.4999999999999997E-2</v>
      </c>
      <c r="G233" s="358">
        <f t="shared" si="1"/>
        <v>7.3094999999999993E-2</v>
      </c>
      <c r="H233">
        <f t="shared" si="2"/>
        <v>-1.9050000000000039E-3</v>
      </c>
      <c r="AA233">
        <f t="shared" si="3"/>
        <v>0.38036809815950956</v>
      </c>
      <c r="AB233">
        <f t="shared" si="3"/>
        <v>0.38036809815950956</v>
      </c>
    </row>
    <row r="234" spans="6:28">
      <c r="F234" s="358">
        <f t="shared" ref="F234:F262" si="4">IF(E67=0,NA(),E67)</f>
        <v>6.4000000000000001E-2</v>
      </c>
      <c r="G234" s="358">
        <f t="shared" ref="G234:G297" si="5">IF(B67=0,NA(),B67)</f>
        <v>6.2426000000000002E-2</v>
      </c>
      <c r="H234">
        <f t="shared" ref="H234:H297" si="6">G234-F234</f>
        <v>-1.573999999999999E-3</v>
      </c>
      <c r="AA234">
        <f t="shared" si="3"/>
        <v>0.38650306748466295</v>
      </c>
      <c r="AB234">
        <f t="shared" si="3"/>
        <v>0.38650306748466295</v>
      </c>
    </row>
    <row r="235" spans="6:28">
      <c r="F235" s="358">
        <f t="shared" si="4"/>
        <v>7.2999999999999995E-2</v>
      </c>
      <c r="G235" s="358">
        <f t="shared" si="5"/>
        <v>7.9772999999999997E-2</v>
      </c>
      <c r="H235">
        <f t="shared" si="6"/>
        <v>6.7730000000000012E-3</v>
      </c>
      <c r="AA235">
        <f t="shared" si="3"/>
        <v>0.39263803680981635</v>
      </c>
      <c r="AB235">
        <f t="shared" si="3"/>
        <v>0.39263803680981635</v>
      </c>
    </row>
    <row r="236" spans="6:28">
      <c r="F236" s="358">
        <f t="shared" si="4"/>
        <v>6.5000000000000002E-2</v>
      </c>
      <c r="G236" s="358">
        <f t="shared" si="5"/>
        <v>6.8231E-2</v>
      </c>
      <c r="H236">
        <f t="shared" si="6"/>
        <v>3.2309999999999978E-3</v>
      </c>
      <c r="AA236">
        <f t="shared" si="3"/>
        <v>0.39877300613496974</v>
      </c>
      <c r="AB236">
        <f t="shared" si="3"/>
        <v>0.39877300613496974</v>
      </c>
    </row>
    <row r="237" spans="6:28">
      <c r="F237" s="358">
        <f t="shared" si="4"/>
        <v>0.42599999999999999</v>
      </c>
      <c r="G237" s="358">
        <f t="shared" si="5"/>
        <v>0.40396196746897001</v>
      </c>
      <c r="H237">
        <f t="shared" si="6"/>
        <v>-2.2038032531029983E-2</v>
      </c>
      <c r="AA237">
        <f t="shared" si="3"/>
        <v>0.40490797546012314</v>
      </c>
      <c r="AB237">
        <f t="shared" si="3"/>
        <v>0.40490797546012314</v>
      </c>
    </row>
    <row r="238" spans="6:28">
      <c r="F238" s="358">
        <f t="shared" si="4"/>
        <v>0.17799999999999999</v>
      </c>
      <c r="G238" s="358">
        <f t="shared" si="5"/>
        <v>0.147823812458834</v>
      </c>
      <c r="H238">
        <f t="shared" si="6"/>
        <v>-3.0176187541165994E-2</v>
      </c>
      <c r="AA238">
        <f t="shared" ref="AA238:AB262" si="7">AA237+$AA$172</f>
        <v>0.41104294478527653</v>
      </c>
      <c r="AB238">
        <f t="shared" si="7"/>
        <v>0.41104294478527653</v>
      </c>
    </row>
    <row r="239" spans="6:28">
      <c r="F239" s="358">
        <f t="shared" si="4"/>
        <v>0.25</v>
      </c>
      <c r="G239" s="358">
        <f t="shared" si="5"/>
        <v>0.203557256658499</v>
      </c>
      <c r="H239">
        <f t="shared" si="6"/>
        <v>-4.6442743341501003E-2</v>
      </c>
      <c r="AA239">
        <f t="shared" si="7"/>
        <v>0.41717791411042993</v>
      </c>
      <c r="AB239">
        <f t="shared" si="7"/>
        <v>0.41717791411042993</v>
      </c>
    </row>
    <row r="240" spans="6:28">
      <c r="F240" s="358" t="e">
        <f t="shared" si="4"/>
        <v>#N/A</v>
      </c>
      <c r="G240" s="358" t="e">
        <f t="shared" si="5"/>
        <v>#N/A</v>
      </c>
      <c r="H240" t="e">
        <f t="shared" si="6"/>
        <v>#N/A</v>
      </c>
      <c r="AA240">
        <f t="shared" si="7"/>
        <v>0.42331288343558332</v>
      </c>
      <c r="AB240">
        <f t="shared" si="7"/>
        <v>0.42331288343558332</v>
      </c>
    </row>
    <row r="241" spans="6:28">
      <c r="F241" s="358">
        <f t="shared" si="4"/>
        <v>0.252</v>
      </c>
      <c r="G241" s="358">
        <f t="shared" si="5"/>
        <v>0.221186151251417</v>
      </c>
      <c r="H241">
        <f t="shared" si="6"/>
        <v>-3.0813848748583006E-2</v>
      </c>
      <c r="AA241">
        <f t="shared" si="7"/>
        <v>0.42944785276073671</v>
      </c>
      <c r="AB241">
        <f t="shared" si="7"/>
        <v>0.42944785276073671</v>
      </c>
    </row>
    <row r="242" spans="6:28">
      <c r="F242" s="358">
        <f t="shared" si="4"/>
        <v>0.14499999999999999</v>
      </c>
      <c r="G242" s="358">
        <f t="shared" si="5"/>
        <v>0.13553993788621399</v>
      </c>
      <c r="H242">
        <f t="shared" si="6"/>
        <v>-9.4600621137859997E-3</v>
      </c>
      <c r="AA242">
        <f t="shared" si="7"/>
        <v>0.43558282208589011</v>
      </c>
      <c r="AB242">
        <f t="shared" si="7"/>
        <v>0.43558282208589011</v>
      </c>
    </row>
    <row r="243" spans="6:28">
      <c r="F243" s="358">
        <f t="shared" si="4"/>
        <v>0.157</v>
      </c>
      <c r="G243" s="358">
        <f t="shared" si="5"/>
        <v>0.14918288691336501</v>
      </c>
      <c r="H243">
        <f t="shared" si="6"/>
        <v>-7.8171130866349914E-3</v>
      </c>
      <c r="AA243">
        <f t="shared" si="7"/>
        <v>0.4417177914110435</v>
      </c>
      <c r="AB243">
        <f t="shared" si="7"/>
        <v>0.4417177914110435</v>
      </c>
    </row>
    <row r="244" spans="6:28">
      <c r="F244" s="358">
        <f t="shared" si="4"/>
        <v>0.158</v>
      </c>
      <c r="G244" s="358">
        <f t="shared" si="5"/>
        <v>0.13908360518961099</v>
      </c>
      <c r="H244">
        <f t="shared" si="6"/>
        <v>-1.8916394810389009E-2</v>
      </c>
      <c r="AA244">
        <f t="shared" si="7"/>
        <v>0.4478527607361969</v>
      </c>
      <c r="AB244">
        <f t="shared" si="7"/>
        <v>0.4478527607361969</v>
      </c>
    </row>
    <row r="245" spans="6:28">
      <c r="F245" s="358">
        <f t="shared" si="4"/>
        <v>6.7000000000000004E-2</v>
      </c>
      <c r="G245" s="358">
        <f t="shared" si="5"/>
        <v>7.4121627462758494E-2</v>
      </c>
      <c r="H245">
        <f t="shared" si="6"/>
        <v>7.1216274627584897E-3</v>
      </c>
      <c r="AA245">
        <f t="shared" si="7"/>
        <v>0.45398773006135029</v>
      </c>
      <c r="AB245">
        <f t="shared" si="7"/>
        <v>0.45398773006135029</v>
      </c>
    </row>
    <row r="246" spans="6:28">
      <c r="F246" s="358">
        <f t="shared" si="4"/>
        <v>0.13100000000000001</v>
      </c>
      <c r="G246" s="358">
        <f t="shared" si="5"/>
        <v>0.117513367990065</v>
      </c>
      <c r="H246">
        <f t="shared" si="6"/>
        <v>-1.348663200993501E-2</v>
      </c>
      <c r="AA246">
        <f t="shared" si="7"/>
        <v>0.46012269938650369</v>
      </c>
      <c r="AB246">
        <f t="shared" si="7"/>
        <v>0.46012269938650369</v>
      </c>
    </row>
    <row r="247" spans="6:28">
      <c r="F247" s="358">
        <f t="shared" si="4"/>
        <v>0.17399999999999999</v>
      </c>
      <c r="G247" s="358">
        <f t="shared" si="5"/>
        <v>0.15659395255515901</v>
      </c>
      <c r="H247">
        <f t="shared" si="6"/>
        <v>-1.7406047444840977E-2</v>
      </c>
      <c r="AA247">
        <f t="shared" si="7"/>
        <v>0.46625766871165708</v>
      </c>
      <c r="AB247">
        <f t="shared" si="7"/>
        <v>0.46625766871165708</v>
      </c>
    </row>
    <row r="248" spans="6:28">
      <c r="F248" s="358">
        <f t="shared" si="4"/>
        <v>0.12</v>
      </c>
      <c r="G248" s="358">
        <f t="shared" si="5"/>
        <v>0.109155022103293</v>
      </c>
      <c r="H248">
        <f t="shared" si="6"/>
        <v>-1.0844977896706992E-2</v>
      </c>
      <c r="AA248">
        <f t="shared" si="7"/>
        <v>0.47239263803681047</v>
      </c>
      <c r="AB248">
        <f t="shared" si="7"/>
        <v>0.47239263803681047</v>
      </c>
    </row>
    <row r="249" spans="6:28">
      <c r="F249" s="358">
        <f t="shared" si="4"/>
        <v>0.35199999999999998</v>
      </c>
      <c r="G249" s="358">
        <f t="shared" si="5"/>
        <v>0.32360393785874397</v>
      </c>
      <c r="H249">
        <f t="shared" si="6"/>
        <v>-2.8396062141256007E-2</v>
      </c>
      <c r="AA249">
        <f t="shared" si="7"/>
        <v>0.47852760736196387</v>
      </c>
      <c r="AB249">
        <f t="shared" si="7"/>
        <v>0.47852760736196387</v>
      </c>
    </row>
    <row r="250" spans="6:28">
      <c r="F250" s="358">
        <f t="shared" si="4"/>
        <v>0.14000000000000001</v>
      </c>
      <c r="G250" s="358">
        <f t="shared" si="5"/>
        <v>9.4102393941898094E-2</v>
      </c>
      <c r="H250">
        <f t="shared" si="6"/>
        <v>-4.589760605810192E-2</v>
      </c>
      <c r="AA250">
        <f t="shared" si="7"/>
        <v>0.48466257668711726</v>
      </c>
      <c r="AB250">
        <f t="shared" si="7"/>
        <v>0.48466257668711726</v>
      </c>
    </row>
    <row r="251" spans="6:28">
      <c r="F251" s="358">
        <f t="shared" si="4"/>
        <v>0.28000000000000003</v>
      </c>
      <c r="G251" s="358">
        <f t="shared" si="5"/>
        <v>0.27565844900199299</v>
      </c>
      <c r="H251">
        <f t="shared" si="6"/>
        <v>-4.3415509980070377E-3</v>
      </c>
      <c r="AA251">
        <f t="shared" si="7"/>
        <v>0.49079754601227066</v>
      </c>
      <c r="AB251">
        <f t="shared" si="7"/>
        <v>0.49079754601227066</v>
      </c>
    </row>
    <row r="252" spans="6:28">
      <c r="F252" s="358">
        <f t="shared" si="4"/>
        <v>0.11700000000000001</v>
      </c>
      <c r="G252" s="358">
        <f t="shared" si="5"/>
        <v>0.115429212849173</v>
      </c>
      <c r="H252">
        <f t="shared" si="6"/>
        <v>-1.5707871508270077E-3</v>
      </c>
      <c r="AA252">
        <f t="shared" si="7"/>
        <v>0.49693251533742405</v>
      </c>
      <c r="AB252">
        <f t="shared" si="7"/>
        <v>0.49693251533742405</v>
      </c>
    </row>
    <row r="253" spans="6:28">
      <c r="F253" s="358">
        <f t="shared" si="4"/>
        <v>0.32800000000000001</v>
      </c>
      <c r="G253" s="358">
        <f t="shared" si="5"/>
        <v>0.30838308026487399</v>
      </c>
      <c r="H253">
        <f t="shared" si="6"/>
        <v>-1.9616919735126026E-2</v>
      </c>
      <c r="AA253">
        <f t="shared" si="7"/>
        <v>0.50306748466257745</v>
      </c>
      <c r="AB253">
        <f t="shared" si="7"/>
        <v>0.50306748466257745</v>
      </c>
    </row>
    <row r="254" spans="6:28">
      <c r="F254" s="358">
        <f t="shared" si="4"/>
        <v>0.38700000000000001</v>
      </c>
      <c r="G254" s="358">
        <f t="shared" si="5"/>
        <v>0.35948565592226001</v>
      </c>
      <c r="H254">
        <f t="shared" si="6"/>
        <v>-2.7514344077740005E-2</v>
      </c>
      <c r="AA254">
        <f t="shared" si="7"/>
        <v>0.50920245398773079</v>
      </c>
      <c r="AB254">
        <f t="shared" si="7"/>
        <v>0.50920245398773079</v>
      </c>
    </row>
    <row r="255" spans="6:28">
      <c r="F255" s="358">
        <f t="shared" si="4"/>
        <v>0.14399999999999999</v>
      </c>
      <c r="G255" s="358">
        <f t="shared" si="5"/>
        <v>0.13822587807469999</v>
      </c>
      <c r="H255">
        <f t="shared" si="6"/>
        <v>-5.7741219252999965E-3</v>
      </c>
      <c r="AA255">
        <f t="shared" si="7"/>
        <v>0.51533742331288412</v>
      </c>
      <c r="AB255">
        <f t="shared" si="7"/>
        <v>0.51533742331288412</v>
      </c>
    </row>
    <row r="256" spans="6:28">
      <c r="F256" s="358">
        <f t="shared" si="4"/>
        <v>0.45</v>
      </c>
      <c r="G256" s="358">
        <f t="shared" si="5"/>
        <v>0.41157524853162902</v>
      </c>
      <c r="H256">
        <f t="shared" si="6"/>
        <v>-3.8424751468370988E-2</v>
      </c>
      <c r="AA256">
        <f t="shared" si="7"/>
        <v>0.52147239263803746</v>
      </c>
      <c r="AB256">
        <f t="shared" si="7"/>
        <v>0.52147239263803746</v>
      </c>
    </row>
    <row r="257" spans="6:28">
      <c r="F257" s="358">
        <f t="shared" si="4"/>
        <v>0.13900000000000001</v>
      </c>
      <c r="G257" s="358">
        <f t="shared" si="5"/>
        <v>0.11365509998630099</v>
      </c>
      <c r="H257">
        <f t="shared" si="6"/>
        <v>-2.5344900013699018E-2</v>
      </c>
      <c r="AA257">
        <f t="shared" si="7"/>
        <v>0.5276073619631908</v>
      </c>
      <c r="AB257">
        <f t="shared" si="7"/>
        <v>0.5276073619631908</v>
      </c>
    </row>
    <row r="258" spans="6:28">
      <c r="F258" s="358">
        <f t="shared" si="4"/>
        <v>0.73199999999999998</v>
      </c>
      <c r="G258" s="358">
        <f t="shared" si="5"/>
        <v>0.69444430196134599</v>
      </c>
      <c r="H258">
        <f t="shared" si="6"/>
        <v>-3.7555698038653995E-2</v>
      </c>
      <c r="AA258">
        <f t="shared" si="7"/>
        <v>0.53374233128834414</v>
      </c>
      <c r="AB258">
        <f t="shared" si="7"/>
        <v>0.53374233128834414</v>
      </c>
    </row>
    <row r="259" spans="6:28">
      <c r="F259" s="358">
        <f t="shared" si="4"/>
        <v>0.61699999999999999</v>
      </c>
      <c r="G259" s="358">
        <f t="shared" si="5"/>
        <v>0.494396666037898</v>
      </c>
      <c r="H259">
        <f t="shared" si="6"/>
        <v>-0.12260333396210199</v>
      </c>
      <c r="AA259">
        <f t="shared" si="7"/>
        <v>0.53987730061349748</v>
      </c>
      <c r="AB259">
        <f t="shared" si="7"/>
        <v>0.53987730061349748</v>
      </c>
    </row>
    <row r="260" spans="6:28">
      <c r="F260" s="358">
        <f t="shared" si="4"/>
        <v>0.27100000000000002</v>
      </c>
      <c r="G260" s="358">
        <f t="shared" si="5"/>
        <v>0.26956104078661097</v>
      </c>
      <c r="H260">
        <f t="shared" si="6"/>
        <v>-1.4389592133890461E-3</v>
      </c>
      <c r="AA260">
        <f t="shared" si="7"/>
        <v>0.54601226993865082</v>
      </c>
      <c r="AB260">
        <f t="shared" si="7"/>
        <v>0.54601226993865082</v>
      </c>
    </row>
    <row r="261" spans="6:28">
      <c r="F261" s="358">
        <f t="shared" si="4"/>
        <v>0.61699999999999999</v>
      </c>
      <c r="G261" s="358">
        <f t="shared" si="5"/>
        <v>0.61975699583661403</v>
      </c>
      <c r="H261">
        <f t="shared" si="6"/>
        <v>2.7569958366140401E-3</v>
      </c>
      <c r="AA261">
        <f t="shared" si="7"/>
        <v>0.55214723926380416</v>
      </c>
      <c r="AB261">
        <f t="shared" si="7"/>
        <v>0.55214723926380416</v>
      </c>
    </row>
    <row r="262" spans="6:28">
      <c r="F262" s="358">
        <f t="shared" si="4"/>
        <v>6.5000000000000002E-2</v>
      </c>
      <c r="G262" s="358" t="e">
        <f t="shared" si="5"/>
        <v>#N/A</v>
      </c>
      <c r="H262" t="e">
        <f t="shared" si="6"/>
        <v>#N/A</v>
      </c>
      <c r="AA262">
        <f t="shared" si="7"/>
        <v>0.5582822085889575</v>
      </c>
      <c r="AB262">
        <f t="shared" si="7"/>
        <v>0.5582822085889575</v>
      </c>
    </row>
    <row r="263" spans="6:28">
      <c r="F263" s="358">
        <f>IF(E96=0,NA(),E96)</f>
        <v>2.4E-2</v>
      </c>
      <c r="G263" s="358" t="e">
        <f t="shared" si="5"/>
        <v>#N/A</v>
      </c>
      <c r="H263" t="e">
        <f t="shared" si="6"/>
        <v>#N/A</v>
      </c>
      <c r="AA263">
        <f t="shared" ref="AA263:AB326" si="8">AA262+$AA$172</f>
        <v>0.56441717791411083</v>
      </c>
      <c r="AB263">
        <f t="shared" si="8"/>
        <v>0.56441717791411083</v>
      </c>
    </row>
    <row r="264" spans="6:28">
      <c r="F264" s="358">
        <f t="shared" ref="F264:F327" si="9">IF(E97=0,NA(),E97)</f>
        <v>0.629</v>
      </c>
      <c r="G264" s="358">
        <f t="shared" si="5"/>
        <v>0.61544881485006497</v>
      </c>
      <c r="H264">
        <f t="shared" si="6"/>
        <v>-1.355118514993503E-2</v>
      </c>
      <c r="AA264">
        <f t="shared" si="8"/>
        <v>0.57055214723926417</v>
      </c>
      <c r="AB264">
        <f t="shared" si="8"/>
        <v>0.57055214723926417</v>
      </c>
    </row>
    <row r="265" spans="6:28">
      <c r="F265" s="358">
        <f t="shared" si="9"/>
        <v>0.223</v>
      </c>
      <c r="G265" s="358">
        <f t="shared" si="5"/>
        <v>0.21642414337928001</v>
      </c>
      <c r="H265">
        <f t="shared" si="6"/>
        <v>-6.5758566207199942E-3</v>
      </c>
      <c r="AA265">
        <f t="shared" si="8"/>
        <v>0.57668711656441751</v>
      </c>
      <c r="AB265">
        <f t="shared" si="8"/>
        <v>0.57668711656441751</v>
      </c>
    </row>
    <row r="266" spans="6:28">
      <c r="F266" s="358">
        <f t="shared" si="9"/>
        <v>0.36299999999999999</v>
      </c>
      <c r="G266" s="358">
        <f t="shared" si="5"/>
        <v>0.31093565705251602</v>
      </c>
      <c r="H266">
        <f t="shared" si="6"/>
        <v>-5.2064342947483966E-2</v>
      </c>
      <c r="AA266">
        <f t="shared" si="8"/>
        <v>0.58282208588957085</v>
      </c>
      <c r="AB266">
        <f t="shared" si="8"/>
        <v>0.58282208588957085</v>
      </c>
    </row>
    <row r="267" spans="6:28">
      <c r="F267" s="358">
        <f t="shared" si="9"/>
        <v>0.41399999999999998</v>
      </c>
      <c r="G267" s="358">
        <f t="shared" si="5"/>
        <v>0.39598749315443998</v>
      </c>
      <c r="H267">
        <f t="shared" si="6"/>
        <v>-1.8012506845559995E-2</v>
      </c>
      <c r="AA267">
        <f t="shared" si="8"/>
        <v>0.58895705521472419</v>
      </c>
      <c r="AB267">
        <f t="shared" si="8"/>
        <v>0.58895705521472419</v>
      </c>
    </row>
    <row r="268" spans="6:28">
      <c r="F268" s="358">
        <f t="shared" si="9"/>
        <v>0.29599999999999999</v>
      </c>
      <c r="G268" s="358">
        <f t="shared" si="5"/>
        <v>0.26337061368629699</v>
      </c>
      <c r="H268">
        <f t="shared" si="6"/>
        <v>-3.262938631370299E-2</v>
      </c>
      <c r="AA268">
        <f t="shared" si="8"/>
        <v>0.59509202453987753</v>
      </c>
      <c r="AB268">
        <f t="shared" si="8"/>
        <v>0.59509202453987753</v>
      </c>
    </row>
    <row r="269" spans="6:28">
      <c r="F269" s="358">
        <f t="shared" si="9"/>
        <v>0.28799999999999998</v>
      </c>
      <c r="G269" s="358">
        <f t="shared" si="5"/>
        <v>0.243779198478218</v>
      </c>
      <c r="H269">
        <f t="shared" si="6"/>
        <v>-4.4220801521781983E-2</v>
      </c>
      <c r="AA269">
        <f t="shared" si="8"/>
        <v>0.60122699386503087</v>
      </c>
      <c r="AB269">
        <f t="shared" si="8"/>
        <v>0.60122699386503087</v>
      </c>
    </row>
    <row r="270" spans="6:28">
      <c r="F270" s="358">
        <f t="shared" si="9"/>
        <v>0.248</v>
      </c>
      <c r="G270" s="358">
        <f t="shared" si="5"/>
        <v>0.16554095929242499</v>
      </c>
      <c r="H270">
        <f t="shared" si="6"/>
        <v>-8.245904070757501E-2</v>
      </c>
      <c r="AA270">
        <f t="shared" si="8"/>
        <v>0.60736196319018421</v>
      </c>
      <c r="AB270">
        <f t="shared" si="8"/>
        <v>0.60736196319018421</v>
      </c>
    </row>
    <row r="271" spans="6:28">
      <c r="F271" s="358">
        <f t="shared" si="9"/>
        <v>0.28199999999999997</v>
      </c>
      <c r="G271" s="358">
        <f t="shared" si="5"/>
        <v>0.23388480744016299</v>
      </c>
      <c r="H271">
        <f t="shared" si="6"/>
        <v>-4.8115192559836983E-2</v>
      </c>
      <c r="AA271">
        <f t="shared" si="8"/>
        <v>0.61349693251533755</v>
      </c>
      <c r="AB271">
        <f t="shared" si="8"/>
        <v>0.61349693251533755</v>
      </c>
    </row>
    <row r="272" spans="6:28">
      <c r="F272" s="358">
        <f t="shared" si="9"/>
        <v>0.248</v>
      </c>
      <c r="G272" s="358">
        <f t="shared" si="5"/>
        <v>0.237522227497831</v>
      </c>
      <c r="H272">
        <f t="shared" si="6"/>
        <v>-1.0477772502168997E-2</v>
      </c>
      <c r="AA272">
        <f t="shared" si="8"/>
        <v>0.61963190184049088</v>
      </c>
      <c r="AB272">
        <f t="shared" si="8"/>
        <v>0.61963190184049088</v>
      </c>
    </row>
    <row r="273" spans="6:28">
      <c r="F273" s="358">
        <f t="shared" si="9"/>
        <v>0.55299999999999905</v>
      </c>
      <c r="G273" s="358">
        <f t="shared" si="5"/>
        <v>0.54379517476594297</v>
      </c>
      <c r="H273">
        <f t="shared" si="6"/>
        <v>-9.2048252340560799E-3</v>
      </c>
      <c r="AA273">
        <f t="shared" si="8"/>
        <v>0.62576687116564422</v>
      </c>
      <c r="AB273">
        <f t="shared" si="8"/>
        <v>0.62576687116564422</v>
      </c>
    </row>
    <row r="274" spans="6:28">
      <c r="F274" s="358">
        <f t="shared" si="9"/>
        <v>0.63</v>
      </c>
      <c r="G274" s="358">
        <f t="shared" si="5"/>
        <v>0.61402997337334597</v>
      </c>
      <c r="H274">
        <f t="shared" si="6"/>
        <v>-1.5970026626654032E-2</v>
      </c>
      <c r="AA274">
        <f t="shared" si="8"/>
        <v>0.63190184049079756</v>
      </c>
      <c r="AB274">
        <f t="shared" si="8"/>
        <v>0.63190184049079756</v>
      </c>
    </row>
    <row r="275" spans="6:28">
      <c r="F275" s="358">
        <f t="shared" si="9"/>
        <v>0.52100000000000002</v>
      </c>
      <c r="G275" s="358">
        <f t="shared" si="5"/>
        <v>0.481048230901572</v>
      </c>
      <c r="H275">
        <f t="shared" si="6"/>
        <v>-3.9951769098428014E-2</v>
      </c>
      <c r="AA275">
        <f t="shared" si="8"/>
        <v>0.6380368098159509</v>
      </c>
      <c r="AB275">
        <f t="shared" si="8"/>
        <v>0.6380368098159509</v>
      </c>
    </row>
    <row r="276" spans="6:28">
      <c r="F276" s="358">
        <f t="shared" si="9"/>
        <v>0.45799999999999902</v>
      </c>
      <c r="G276" s="358">
        <f t="shared" si="5"/>
        <v>0.40005521912861902</v>
      </c>
      <c r="H276">
        <f t="shared" si="6"/>
        <v>-5.7944780871379997E-2</v>
      </c>
      <c r="AA276">
        <f t="shared" si="8"/>
        <v>0.64417177914110424</v>
      </c>
      <c r="AB276">
        <f t="shared" si="8"/>
        <v>0.64417177914110424</v>
      </c>
    </row>
    <row r="277" spans="6:28">
      <c r="F277" s="358">
        <f t="shared" si="9"/>
        <v>0.28199999999999997</v>
      </c>
      <c r="G277" s="358">
        <f t="shared" si="5"/>
        <v>0.23357482444594899</v>
      </c>
      <c r="H277">
        <f t="shared" si="6"/>
        <v>-4.8425175554050987E-2</v>
      </c>
      <c r="AA277">
        <f t="shared" si="8"/>
        <v>0.65030674846625758</v>
      </c>
      <c r="AB277">
        <f t="shared" si="8"/>
        <v>0.65030674846625758</v>
      </c>
    </row>
    <row r="278" spans="6:28">
      <c r="F278" s="358">
        <f t="shared" si="9"/>
        <v>0.373</v>
      </c>
      <c r="G278" s="358">
        <f t="shared" si="5"/>
        <v>0.34839585943354701</v>
      </c>
      <c r="H278">
        <f t="shared" si="6"/>
        <v>-2.4604140566452992E-2</v>
      </c>
      <c r="AA278">
        <f t="shared" si="8"/>
        <v>0.65644171779141092</v>
      </c>
      <c r="AB278">
        <f t="shared" si="8"/>
        <v>0.65644171779141092</v>
      </c>
    </row>
    <row r="279" spans="6:28">
      <c r="F279" s="358">
        <f t="shared" si="9"/>
        <v>0.1</v>
      </c>
      <c r="G279" s="358">
        <f t="shared" si="5"/>
        <v>0.11525100000000001</v>
      </c>
      <c r="H279">
        <f t="shared" si="6"/>
        <v>1.5251000000000001E-2</v>
      </c>
      <c r="AA279">
        <f t="shared" si="8"/>
        <v>0.66257668711656426</v>
      </c>
      <c r="AB279">
        <f t="shared" si="8"/>
        <v>0.66257668711656426</v>
      </c>
    </row>
    <row r="280" spans="6:28">
      <c r="F280" s="358">
        <f t="shared" si="9"/>
        <v>4.2000000000000003E-2</v>
      </c>
      <c r="G280" s="358">
        <f t="shared" si="5"/>
        <v>5.5622999999999999E-2</v>
      </c>
      <c r="H280">
        <f t="shared" si="6"/>
        <v>1.3622999999999996E-2</v>
      </c>
      <c r="AA280">
        <f t="shared" si="8"/>
        <v>0.66871165644171759</v>
      </c>
      <c r="AB280">
        <f t="shared" si="8"/>
        <v>0.66871165644171759</v>
      </c>
    </row>
    <row r="281" spans="6:28">
      <c r="F281" s="358">
        <f t="shared" si="9"/>
        <v>3.1E-2</v>
      </c>
      <c r="G281" s="358">
        <f t="shared" si="5"/>
        <v>7.1114999999999998E-2</v>
      </c>
      <c r="H281">
        <f t="shared" si="6"/>
        <v>4.0114999999999998E-2</v>
      </c>
      <c r="AA281">
        <f t="shared" si="8"/>
        <v>0.67484662576687093</v>
      </c>
      <c r="AB281">
        <f t="shared" si="8"/>
        <v>0.67484662576687093</v>
      </c>
    </row>
    <row r="282" spans="6:28">
      <c r="F282" s="358">
        <f t="shared" si="9"/>
        <v>0.123</v>
      </c>
      <c r="G282" s="358">
        <f t="shared" si="5"/>
        <v>0.13206499999999999</v>
      </c>
      <c r="H282">
        <f t="shared" si="6"/>
        <v>9.0649999999999897E-3</v>
      </c>
      <c r="AA282">
        <f t="shared" si="8"/>
        <v>0.68098159509202427</v>
      </c>
      <c r="AB282">
        <f t="shared" si="8"/>
        <v>0.68098159509202427</v>
      </c>
    </row>
    <row r="283" spans="6:28">
      <c r="F283" s="358" t="e">
        <f t="shared" si="9"/>
        <v>#N/A</v>
      </c>
      <c r="G283" s="358" t="e">
        <f t="shared" si="5"/>
        <v>#N/A</v>
      </c>
      <c r="H283" t="e">
        <f t="shared" si="6"/>
        <v>#N/A</v>
      </c>
      <c r="AA283">
        <f t="shared" si="8"/>
        <v>0.68711656441717761</v>
      </c>
      <c r="AB283">
        <f t="shared" si="8"/>
        <v>0.68711656441717761</v>
      </c>
    </row>
    <row r="284" spans="6:28">
      <c r="F284" s="358">
        <f t="shared" si="9"/>
        <v>4.7E-2</v>
      </c>
      <c r="G284" s="358">
        <f t="shared" si="5"/>
        <v>5.6855000000000003E-2</v>
      </c>
      <c r="H284">
        <f t="shared" si="6"/>
        <v>9.8550000000000026E-3</v>
      </c>
      <c r="AA284">
        <f t="shared" si="8"/>
        <v>0.69325153374233095</v>
      </c>
      <c r="AB284">
        <f t="shared" si="8"/>
        <v>0.69325153374233095</v>
      </c>
    </row>
    <row r="285" spans="6:28">
      <c r="F285" s="358">
        <f t="shared" si="9"/>
        <v>5.5E-2</v>
      </c>
      <c r="G285" s="358">
        <f t="shared" si="5"/>
        <v>5.9806999999999999E-2</v>
      </c>
      <c r="H285">
        <f t="shared" si="6"/>
        <v>4.8069999999999988E-3</v>
      </c>
      <c r="AA285">
        <f t="shared" si="8"/>
        <v>0.69938650306748429</v>
      </c>
      <c r="AB285">
        <f t="shared" si="8"/>
        <v>0.69938650306748429</v>
      </c>
    </row>
    <row r="286" spans="6:28">
      <c r="F286" s="358">
        <f t="shared" si="9"/>
        <v>4.2000000000000003E-2</v>
      </c>
      <c r="G286" s="358">
        <f t="shared" si="5"/>
        <v>5.4916E-2</v>
      </c>
      <c r="H286">
        <f t="shared" si="6"/>
        <v>1.2915999999999997E-2</v>
      </c>
      <c r="AA286">
        <f t="shared" si="8"/>
        <v>0.70552147239263763</v>
      </c>
      <c r="AB286">
        <f t="shared" si="8"/>
        <v>0.70552147239263763</v>
      </c>
    </row>
    <row r="287" spans="6:28">
      <c r="F287" s="358">
        <f t="shared" si="9"/>
        <v>4.2000000000000003E-2</v>
      </c>
      <c r="G287" s="358">
        <f t="shared" si="5"/>
        <v>5.9327999999999999E-2</v>
      </c>
      <c r="H287">
        <f t="shared" si="6"/>
        <v>1.7327999999999996E-2</v>
      </c>
      <c r="AA287">
        <f t="shared" si="8"/>
        <v>0.71165644171779097</v>
      </c>
      <c r="AB287">
        <f t="shared" si="8"/>
        <v>0.71165644171779097</v>
      </c>
    </row>
    <row r="288" spans="6:28">
      <c r="F288" s="358">
        <f t="shared" si="9"/>
        <v>2.5999999999999999E-2</v>
      </c>
      <c r="G288" s="358">
        <f t="shared" si="5"/>
        <v>5.8520000000000003E-2</v>
      </c>
      <c r="H288">
        <f t="shared" si="6"/>
        <v>3.2520000000000007E-2</v>
      </c>
      <c r="AA288">
        <f t="shared" si="8"/>
        <v>0.71779141104294431</v>
      </c>
      <c r="AB288">
        <f t="shared" si="8"/>
        <v>0.71779141104294431</v>
      </c>
    </row>
    <row r="289" spans="6:28">
      <c r="F289" s="358">
        <f t="shared" si="9"/>
        <v>3.3000000000000002E-2</v>
      </c>
      <c r="G289" s="358">
        <f t="shared" si="5"/>
        <v>5.6509999999999998E-2</v>
      </c>
      <c r="H289">
        <f t="shared" si="6"/>
        <v>2.3509999999999996E-2</v>
      </c>
      <c r="AA289">
        <f t="shared" si="8"/>
        <v>0.72392638036809764</v>
      </c>
      <c r="AB289">
        <f t="shared" si="8"/>
        <v>0.72392638036809764</v>
      </c>
    </row>
    <row r="290" spans="6:28">
      <c r="F290" s="358">
        <f t="shared" si="9"/>
        <v>4.2999999999999997E-2</v>
      </c>
      <c r="G290" s="358">
        <f t="shared" si="5"/>
        <v>5.3754999999999997E-2</v>
      </c>
      <c r="H290">
        <f t="shared" si="6"/>
        <v>1.0755000000000001E-2</v>
      </c>
      <c r="AA290">
        <f t="shared" si="8"/>
        <v>0.73006134969325098</v>
      </c>
      <c r="AB290">
        <f t="shared" si="8"/>
        <v>0.73006134969325098</v>
      </c>
    </row>
    <row r="291" spans="6:28">
      <c r="F291" s="358">
        <f t="shared" si="9"/>
        <v>0.13400000000000001</v>
      </c>
      <c r="G291" s="358">
        <f t="shared" si="5"/>
        <v>0.128414</v>
      </c>
      <c r="H291">
        <f t="shared" si="6"/>
        <v>-5.5860000000000076E-3</v>
      </c>
      <c r="AA291">
        <f t="shared" si="8"/>
        <v>0.73619631901840432</v>
      </c>
      <c r="AB291">
        <f t="shared" si="8"/>
        <v>0.73619631901840432</v>
      </c>
    </row>
    <row r="292" spans="6:28">
      <c r="F292" s="358">
        <f t="shared" si="9"/>
        <v>0.06</v>
      </c>
      <c r="G292" s="358">
        <f t="shared" si="5"/>
        <v>5.8106999999999999E-2</v>
      </c>
      <c r="H292">
        <f t="shared" si="6"/>
        <v>-1.8929999999999989E-3</v>
      </c>
      <c r="AA292">
        <f t="shared" si="8"/>
        <v>0.74233128834355766</v>
      </c>
      <c r="AB292">
        <f t="shared" si="8"/>
        <v>0.74233128834355766</v>
      </c>
    </row>
    <row r="293" spans="6:28">
      <c r="F293" s="358">
        <f t="shared" si="9"/>
        <v>4.5999999999999999E-2</v>
      </c>
      <c r="G293" s="358">
        <f t="shared" si="5"/>
        <v>5.2110999999999998E-2</v>
      </c>
      <c r="H293">
        <f t="shared" si="6"/>
        <v>6.1109999999999984E-3</v>
      </c>
      <c r="AA293">
        <f t="shared" si="8"/>
        <v>0.748466257668711</v>
      </c>
      <c r="AB293">
        <f t="shared" si="8"/>
        <v>0.748466257668711</v>
      </c>
    </row>
    <row r="294" spans="6:28">
      <c r="F294" s="358">
        <f t="shared" si="9"/>
        <v>0.746</v>
      </c>
      <c r="G294" s="358">
        <f t="shared" si="5"/>
        <v>0.72011899999999995</v>
      </c>
      <c r="H294">
        <f t="shared" si="6"/>
        <v>-2.5881000000000043E-2</v>
      </c>
      <c r="AA294">
        <f t="shared" si="8"/>
        <v>0.75460122699386434</v>
      </c>
      <c r="AB294">
        <f t="shared" si="8"/>
        <v>0.75460122699386434</v>
      </c>
    </row>
    <row r="295" spans="6:28">
      <c r="F295" s="358" t="e">
        <f t="shared" si="9"/>
        <v>#N/A</v>
      </c>
      <c r="G295" s="358">
        <f t="shared" si="5"/>
        <v>7.26102747168033E-2</v>
      </c>
      <c r="H295" t="e">
        <f t="shared" si="6"/>
        <v>#N/A</v>
      </c>
      <c r="AA295">
        <f t="shared" si="8"/>
        <v>0.76073619631901768</v>
      </c>
      <c r="AB295">
        <f t="shared" si="8"/>
        <v>0.76073619631901768</v>
      </c>
    </row>
    <row r="296" spans="6:28">
      <c r="F296" s="358">
        <f t="shared" si="9"/>
        <v>0.156</v>
      </c>
      <c r="G296" s="358">
        <f t="shared" si="5"/>
        <v>0.12942956771973399</v>
      </c>
      <c r="H296">
        <f t="shared" si="6"/>
        <v>-2.657043228026601E-2</v>
      </c>
      <c r="AA296">
        <f t="shared" si="8"/>
        <v>0.76687116564417102</v>
      </c>
      <c r="AB296">
        <f t="shared" si="8"/>
        <v>0.76687116564417102</v>
      </c>
    </row>
    <row r="297" spans="6:28">
      <c r="F297" s="358">
        <f t="shared" si="9"/>
        <v>0.16500000000000001</v>
      </c>
      <c r="G297" s="358">
        <f t="shared" si="5"/>
        <v>0.15450409968669099</v>
      </c>
      <c r="H297">
        <f t="shared" si="6"/>
        <v>-1.049590031330902E-2</v>
      </c>
      <c r="AA297">
        <f t="shared" si="8"/>
        <v>0.77300613496932435</v>
      </c>
      <c r="AB297">
        <f t="shared" si="8"/>
        <v>0.77300613496932435</v>
      </c>
    </row>
    <row r="298" spans="6:28">
      <c r="F298" s="358">
        <f t="shared" si="9"/>
        <v>0.19399999999999901</v>
      </c>
      <c r="G298" s="358">
        <f t="shared" ref="G298:G331" si="10">IF(B131=0,NA(),B131)</f>
        <v>0.13175625539194599</v>
      </c>
      <c r="H298">
        <f t="shared" ref="H298:H331" si="11">G298-F298</f>
        <v>-6.2243744608053014E-2</v>
      </c>
      <c r="AA298">
        <f t="shared" si="8"/>
        <v>0.77914110429447769</v>
      </c>
      <c r="AB298">
        <f t="shared" si="8"/>
        <v>0.77914110429447769</v>
      </c>
    </row>
    <row r="299" spans="6:28">
      <c r="F299" s="358">
        <f t="shared" si="9"/>
        <v>0.158</v>
      </c>
      <c r="G299" s="358">
        <f t="shared" si="10"/>
        <v>0.149605166551735</v>
      </c>
      <c r="H299">
        <f t="shared" si="11"/>
        <v>-8.3948334482649989E-3</v>
      </c>
      <c r="AA299">
        <f t="shared" si="8"/>
        <v>0.78527607361963103</v>
      </c>
      <c r="AB299">
        <f t="shared" si="8"/>
        <v>0.78527607361963103</v>
      </c>
    </row>
    <row r="300" spans="6:28">
      <c r="F300" s="358">
        <f t="shared" si="9"/>
        <v>0.247</v>
      </c>
      <c r="G300" s="358">
        <f t="shared" si="10"/>
        <v>0.23363036315059901</v>
      </c>
      <c r="H300">
        <f t="shared" si="11"/>
        <v>-1.3369636849400984E-2</v>
      </c>
      <c r="AA300">
        <f t="shared" si="8"/>
        <v>0.79141104294478437</v>
      </c>
      <c r="AB300">
        <f t="shared" si="8"/>
        <v>0.79141104294478437</v>
      </c>
    </row>
    <row r="301" spans="6:28">
      <c r="F301" s="358">
        <f t="shared" si="9"/>
        <v>0.15</v>
      </c>
      <c r="G301" s="358">
        <f t="shared" si="10"/>
        <v>0.12805004376222501</v>
      </c>
      <c r="H301">
        <f t="shared" si="11"/>
        <v>-2.1949956237774987E-2</v>
      </c>
      <c r="AA301">
        <f t="shared" si="8"/>
        <v>0.79754601226993771</v>
      </c>
      <c r="AB301">
        <f t="shared" si="8"/>
        <v>0.79754601226993771</v>
      </c>
    </row>
    <row r="302" spans="6:28">
      <c r="F302" s="358">
        <f t="shared" si="9"/>
        <v>0.113</v>
      </c>
      <c r="G302" s="358">
        <f t="shared" si="10"/>
        <v>0.115103978490727</v>
      </c>
      <c r="H302">
        <f t="shared" si="11"/>
        <v>2.1039784907269932E-3</v>
      </c>
      <c r="AA302">
        <f t="shared" si="8"/>
        <v>0.80368098159509105</v>
      </c>
      <c r="AB302">
        <f t="shared" si="8"/>
        <v>0.80368098159509105</v>
      </c>
    </row>
    <row r="303" spans="6:28">
      <c r="F303" s="358" t="e">
        <f t="shared" si="9"/>
        <v>#N/A</v>
      </c>
      <c r="G303" s="358">
        <f t="shared" si="10"/>
        <v>0.232445329431301</v>
      </c>
      <c r="H303" t="e">
        <f t="shared" si="11"/>
        <v>#N/A</v>
      </c>
      <c r="AA303">
        <f t="shared" si="8"/>
        <v>0.80981595092024439</v>
      </c>
      <c r="AB303">
        <f t="shared" si="8"/>
        <v>0.80981595092024439</v>
      </c>
    </row>
    <row r="304" spans="6:28">
      <c r="F304" s="358">
        <f t="shared" si="9"/>
        <v>6.3E-2</v>
      </c>
      <c r="G304" s="358">
        <f t="shared" si="10"/>
        <v>7.7751000000000001E-2</v>
      </c>
      <c r="H304">
        <f t="shared" si="11"/>
        <v>1.4751E-2</v>
      </c>
      <c r="AA304">
        <f t="shared" si="8"/>
        <v>0.81595092024539773</v>
      </c>
      <c r="AB304">
        <f t="shared" si="8"/>
        <v>0.81595092024539773</v>
      </c>
    </row>
    <row r="305" spans="6:28">
      <c r="F305" s="358" t="e">
        <f t="shared" si="9"/>
        <v>#N/A</v>
      </c>
      <c r="G305" s="358">
        <f t="shared" si="10"/>
        <v>9.0177999999999994E-2</v>
      </c>
      <c r="H305" t="e">
        <f t="shared" si="11"/>
        <v>#N/A</v>
      </c>
      <c r="AA305">
        <f t="shared" si="8"/>
        <v>0.82208588957055106</v>
      </c>
      <c r="AB305">
        <f t="shared" si="8"/>
        <v>0.82208588957055106</v>
      </c>
    </row>
    <row r="306" spans="6:28">
      <c r="F306" s="358" t="e">
        <f t="shared" si="9"/>
        <v>#N/A</v>
      </c>
      <c r="G306" s="358">
        <f t="shared" si="10"/>
        <v>5.4230102218448401E-2</v>
      </c>
      <c r="H306" t="e">
        <f t="shared" si="11"/>
        <v>#N/A</v>
      </c>
      <c r="AA306">
        <f t="shared" si="8"/>
        <v>0.8282208588957044</v>
      </c>
      <c r="AB306">
        <f t="shared" si="8"/>
        <v>0.8282208588957044</v>
      </c>
    </row>
    <row r="307" spans="6:28">
      <c r="F307" s="358">
        <f t="shared" si="9"/>
        <v>0.14899999999999999</v>
      </c>
      <c r="G307" s="358">
        <f t="shared" si="10"/>
        <v>0.15962999999999999</v>
      </c>
      <c r="H307">
        <f t="shared" si="11"/>
        <v>1.0630000000000001E-2</v>
      </c>
      <c r="AA307">
        <f t="shared" si="8"/>
        <v>0.83435582822085774</v>
      </c>
      <c r="AB307">
        <f t="shared" si="8"/>
        <v>0.83435582822085774</v>
      </c>
    </row>
    <row r="308" spans="6:28">
      <c r="F308" s="358" t="e">
        <f t="shared" si="9"/>
        <v>#N/A</v>
      </c>
      <c r="G308" s="358">
        <f t="shared" si="10"/>
        <v>9.7415755709861995E-2</v>
      </c>
      <c r="H308" t="e">
        <f t="shared" si="11"/>
        <v>#N/A</v>
      </c>
      <c r="AA308">
        <f t="shared" si="8"/>
        <v>0.84049079754601108</v>
      </c>
      <c r="AB308">
        <f t="shared" si="8"/>
        <v>0.84049079754601108</v>
      </c>
    </row>
    <row r="309" spans="6:28">
      <c r="F309" s="358">
        <f t="shared" si="9"/>
        <v>9.8000000000000004E-2</v>
      </c>
      <c r="G309" s="358">
        <f t="shared" si="10"/>
        <v>9.91045572118541E-2</v>
      </c>
      <c r="H309">
        <f t="shared" si="11"/>
        <v>1.1045572118540958E-3</v>
      </c>
      <c r="AA309">
        <f t="shared" si="8"/>
        <v>0.84662576687116442</v>
      </c>
      <c r="AB309">
        <f t="shared" si="8"/>
        <v>0.84662576687116442</v>
      </c>
    </row>
    <row r="310" spans="6:28">
      <c r="F310" s="358">
        <f t="shared" si="9"/>
        <v>0.34200000000000003</v>
      </c>
      <c r="G310" s="358">
        <f t="shared" si="10"/>
        <v>0.31484960302383502</v>
      </c>
      <c r="H310">
        <f t="shared" si="11"/>
        <v>-2.7150396976165003E-2</v>
      </c>
      <c r="AA310">
        <f t="shared" si="8"/>
        <v>0.85276073619631776</v>
      </c>
      <c r="AB310">
        <f t="shared" si="8"/>
        <v>0.85276073619631776</v>
      </c>
    </row>
    <row r="311" spans="6:28">
      <c r="F311" s="358">
        <f t="shared" si="9"/>
        <v>0.38700000000000001</v>
      </c>
      <c r="G311" s="358">
        <f t="shared" si="10"/>
        <v>0.376305840101119</v>
      </c>
      <c r="H311">
        <f t="shared" si="11"/>
        <v>-1.0694159898881006E-2</v>
      </c>
      <c r="AA311">
        <f t="shared" si="8"/>
        <v>0.8588957055214711</v>
      </c>
      <c r="AB311">
        <f t="shared" si="8"/>
        <v>0.8588957055214711</v>
      </c>
    </row>
    <row r="312" spans="6:28">
      <c r="F312" s="358">
        <f t="shared" si="9"/>
        <v>0.14000000000000001</v>
      </c>
      <c r="G312" s="358">
        <f t="shared" si="10"/>
        <v>0.15549382586952901</v>
      </c>
      <c r="H312">
        <f t="shared" si="11"/>
        <v>1.5493825869528993E-2</v>
      </c>
      <c r="AA312">
        <f t="shared" si="8"/>
        <v>0.86503067484662444</v>
      </c>
      <c r="AB312">
        <f t="shared" si="8"/>
        <v>0.86503067484662444</v>
      </c>
    </row>
    <row r="313" spans="6:28">
      <c r="F313" s="358">
        <f t="shared" si="9"/>
        <v>0.11899999999999999</v>
      </c>
      <c r="G313" s="358">
        <f t="shared" si="10"/>
        <v>0.13174328082891601</v>
      </c>
      <c r="H313">
        <f t="shared" si="11"/>
        <v>1.2743280828916015E-2</v>
      </c>
      <c r="AA313">
        <f t="shared" si="8"/>
        <v>0.87116564417177778</v>
      </c>
      <c r="AB313">
        <f t="shared" si="8"/>
        <v>0.87116564417177778</v>
      </c>
    </row>
    <row r="314" spans="6:28">
      <c r="F314" s="358">
        <f t="shared" si="9"/>
        <v>0.10299999999999999</v>
      </c>
      <c r="G314" s="358">
        <f t="shared" si="10"/>
        <v>0.12895774256172901</v>
      </c>
      <c r="H314">
        <f t="shared" si="11"/>
        <v>2.5957742561729016E-2</v>
      </c>
      <c r="AA314">
        <f t="shared" si="8"/>
        <v>0.87730061349693111</v>
      </c>
      <c r="AB314">
        <f t="shared" si="8"/>
        <v>0.87730061349693111</v>
      </c>
    </row>
    <row r="315" spans="6:28">
      <c r="F315" s="358" t="e">
        <f t="shared" si="9"/>
        <v>#N/A</v>
      </c>
      <c r="G315" s="358">
        <f t="shared" si="10"/>
        <v>5.6307791381785002E-2</v>
      </c>
      <c r="H315" t="e">
        <f t="shared" si="11"/>
        <v>#N/A</v>
      </c>
      <c r="AA315">
        <f t="shared" si="8"/>
        <v>0.88343558282208445</v>
      </c>
      <c r="AB315">
        <f t="shared" si="8"/>
        <v>0.88343558282208445</v>
      </c>
    </row>
    <row r="316" spans="6:28">
      <c r="F316" s="358">
        <f t="shared" si="9"/>
        <v>7.1999999999999995E-2</v>
      </c>
      <c r="G316" s="358">
        <f t="shared" si="10"/>
        <v>6.3816270566472405E-2</v>
      </c>
      <c r="H316">
        <f t="shared" si="11"/>
        <v>-8.1837294335275895E-3</v>
      </c>
      <c r="AA316">
        <f t="shared" si="8"/>
        <v>0.88957055214723779</v>
      </c>
      <c r="AB316">
        <f t="shared" si="8"/>
        <v>0.88957055214723779</v>
      </c>
    </row>
    <row r="317" spans="6:28">
      <c r="F317" s="358">
        <f t="shared" si="9"/>
        <v>6.9000000000000006E-2</v>
      </c>
      <c r="G317" s="358">
        <f t="shared" si="10"/>
        <v>6.72889342177629E-2</v>
      </c>
      <c r="H317">
        <f t="shared" si="11"/>
        <v>-1.7110657822371061E-3</v>
      </c>
      <c r="AA317">
        <f t="shared" si="8"/>
        <v>0.89570552147239113</v>
      </c>
      <c r="AB317">
        <f t="shared" si="8"/>
        <v>0.89570552147239113</v>
      </c>
    </row>
    <row r="318" spans="6:28">
      <c r="F318" s="358">
        <f t="shared" si="9"/>
        <v>5.8999999999999997E-2</v>
      </c>
      <c r="G318" s="358">
        <f t="shared" si="10"/>
        <v>4.4010440698990898E-2</v>
      </c>
      <c r="H318">
        <f t="shared" si="11"/>
        <v>-1.4989559301009099E-2</v>
      </c>
      <c r="AA318">
        <f t="shared" si="8"/>
        <v>0.90184049079754447</v>
      </c>
      <c r="AB318">
        <f t="shared" si="8"/>
        <v>0.90184049079754447</v>
      </c>
    </row>
    <row r="319" spans="6:28">
      <c r="F319" s="358">
        <f t="shared" si="9"/>
        <v>4.7E-2</v>
      </c>
      <c r="G319" s="358">
        <f t="shared" si="10"/>
        <v>5.6302546937190598E-2</v>
      </c>
      <c r="H319">
        <f t="shared" si="11"/>
        <v>9.3025469371905978E-3</v>
      </c>
      <c r="AA319">
        <f t="shared" si="8"/>
        <v>0.90797546012269781</v>
      </c>
      <c r="AB319">
        <f t="shared" si="8"/>
        <v>0.90797546012269781</v>
      </c>
    </row>
    <row r="320" spans="6:28">
      <c r="F320" s="358">
        <f t="shared" si="9"/>
        <v>0.10199999999999999</v>
      </c>
      <c r="G320" s="358">
        <f t="shared" si="10"/>
        <v>8.9191435879868802E-2</v>
      </c>
      <c r="H320">
        <f t="shared" si="11"/>
        <v>-1.2808564120131191E-2</v>
      </c>
      <c r="AA320">
        <f t="shared" si="8"/>
        <v>0.91411042944785115</v>
      </c>
      <c r="AB320">
        <f t="shared" si="8"/>
        <v>0.91411042944785115</v>
      </c>
    </row>
    <row r="321" spans="6:28">
      <c r="F321" s="358">
        <f t="shared" si="9"/>
        <v>0.115</v>
      </c>
      <c r="G321" s="358">
        <f t="shared" si="10"/>
        <v>7.2922806269348994E-2</v>
      </c>
      <c r="H321">
        <f t="shared" si="11"/>
        <v>-4.2077193730651011E-2</v>
      </c>
      <c r="AA321">
        <f t="shared" si="8"/>
        <v>0.92024539877300449</v>
      </c>
      <c r="AB321">
        <f t="shared" si="8"/>
        <v>0.92024539877300449</v>
      </c>
    </row>
    <row r="322" spans="6:28">
      <c r="F322" s="358">
        <f t="shared" si="9"/>
        <v>0.252</v>
      </c>
      <c r="G322" s="358">
        <f t="shared" si="10"/>
        <v>0.233225293693513</v>
      </c>
      <c r="H322">
        <f t="shared" si="11"/>
        <v>-1.8774706306487005E-2</v>
      </c>
      <c r="AA322">
        <f t="shared" si="8"/>
        <v>0.92638036809815782</v>
      </c>
      <c r="AB322">
        <f t="shared" si="8"/>
        <v>0.92638036809815782</v>
      </c>
    </row>
    <row r="323" spans="6:28">
      <c r="F323" s="358">
        <f t="shared" si="9"/>
        <v>0.13300000000000001</v>
      </c>
      <c r="G323" s="358">
        <f t="shared" si="10"/>
        <v>9.4907571359350296E-2</v>
      </c>
      <c r="H323">
        <f t="shared" si="11"/>
        <v>-3.8092428640649711E-2</v>
      </c>
      <c r="AA323">
        <f t="shared" si="8"/>
        <v>0.93251533742331116</v>
      </c>
      <c r="AB323">
        <f t="shared" si="8"/>
        <v>0.93251533742331116</v>
      </c>
    </row>
    <row r="324" spans="6:28">
      <c r="F324" s="358">
        <f t="shared" si="9"/>
        <v>0.16200000000000001</v>
      </c>
      <c r="G324" s="358">
        <f t="shared" si="10"/>
        <v>0.107072843773692</v>
      </c>
      <c r="H324">
        <f t="shared" si="11"/>
        <v>-5.4927156226308005E-2</v>
      </c>
      <c r="AA324">
        <f t="shared" si="8"/>
        <v>0.9386503067484645</v>
      </c>
      <c r="AB324">
        <f t="shared" si="8"/>
        <v>0.9386503067484645</v>
      </c>
    </row>
    <row r="325" spans="6:28">
      <c r="F325" s="358">
        <f t="shared" si="9"/>
        <v>0.161</v>
      </c>
      <c r="G325" s="358">
        <f t="shared" si="10"/>
        <v>0.126534592791264</v>
      </c>
      <c r="H325">
        <f t="shared" si="11"/>
        <v>-3.4465407208736004E-2</v>
      </c>
      <c r="AA325">
        <f t="shared" si="8"/>
        <v>0.94478527607361784</v>
      </c>
      <c r="AB325">
        <f t="shared" si="8"/>
        <v>0.94478527607361784</v>
      </c>
    </row>
    <row r="326" spans="6:28">
      <c r="F326" s="358">
        <f t="shared" si="9"/>
        <v>0.04</v>
      </c>
      <c r="G326" s="358">
        <f t="shared" si="10"/>
        <v>5.3779423694049797E-2</v>
      </c>
      <c r="H326">
        <f t="shared" si="11"/>
        <v>1.3779423694049796E-2</v>
      </c>
      <c r="AA326">
        <f t="shared" si="8"/>
        <v>0.95092024539877118</v>
      </c>
      <c r="AB326">
        <f t="shared" si="8"/>
        <v>0.95092024539877118</v>
      </c>
    </row>
    <row r="327" spans="6:28">
      <c r="F327" s="358" t="e">
        <f t="shared" si="9"/>
        <v>#N/A</v>
      </c>
      <c r="G327" s="358">
        <f t="shared" si="10"/>
        <v>0.13472003303803801</v>
      </c>
      <c r="H327" t="e">
        <f t="shared" si="11"/>
        <v>#N/A</v>
      </c>
      <c r="AA327">
        <f t="shared" ref="AA327:AB336" si="12">AA326+$AA$172</f>
        <v>0.95705521472392452</v>
      </c>
      <c r="AB327">
        <f t="shared" si="12"/>
        <v>0.95705521472392452</v>
      </c>
    </row>
    <row r="328" spans="6:28">
      <c r="F328" s="358">
        <f t="shared" ref="F328:F331" si="13">IF(E161=0,NA(),E161)</f>
        <v>0.17699999999999999</v>
      </c>
      <c r="G328" s="358">
        <f t="shared" si="10"/>
        <v>0.14835543995387299</v>
      </c>
      <c r="H328">
        <f t="shared" si="11"/>
        <v>-2.8644560046127004E-2</v>
      </c>
      <c r="AA328">
        <f t="shared" si="12"/>
        <v>0.96319018404907786</v>
      </c>
      <c r="AB328">
        <f t="shared" si="12"/>
        <v>0.96319018404907786</v>
      </c>
    </row>
    <row r="329" spans="6:28">
      <c r="F329" s="358" t="e">
        <f t="shared" si="13"/>
        <v>#N/A</v>
      </c>
      <c r="G329" s="358" t="e">
        <f t="shared" si="10"/>
        <v>#N/A</v>
      </c>
      <c r="H329" t="e">
        <f t="shared" si="11"/>
        <v>#N/A</v>
      </c>
      <c r="AA329">
        <f t="shared" si="12"/>
        <v>0.9693251533742312</v>
      </c>
      <c r="AB329">
        <f t="shared" si="12"/>
        <v>0.9693251533742312</v>
      </c>
    </row>
    <row r="330" spans="6:28">
      <c r="F330" s="358" t="e">
        <f t="shared" si="13"/>
        <v>#N/A</v>
      </c>
      <c r="G330" s="358">
        <f t="shared" si="10"/>
        <v>5.82884209744551E-2</v>
      </c>
      <c r="H330" t="e">
        <f t="shared" si="11"/>
        <v>#N/A</v>
      </c>
      <c r="AA330">
        <f t="shared" si="12"/>
        <v>0.97546012269938454</v>
      </c>
      <c r="AB330">
        <f t="shared" si="12"/>
        <v>0.97546012269938454</v>
      </c>
    </row>
    <row r="331" spans="6:28">
      <c r="F331" s="358">
        <f t="shared" si="13"/>
        <v>2.7E-2</v>
      </c>
      <c r="G331" s="358">
        <f t="shared" si="10"/>
        <v>2.9136229293112399E-2</v>
      </c>
      <c r="H331">
        <f t="shared" si="11"/>
        <v>2.1362292931123988E-3</v>
      </c>
      <c r="AA331">
        <f t="shared" si="12"/>
        <v>0.98159509202453787</v>
      </c>
      <c r="AB331">
        <f t="shared" si="12"/>
        <v>0.98159509202453787</v>
      </c>
    </row>
    <row r="332" spans="6:28">
      <c r="F332" s="358"/>
      <c r="G332" s="358"/>
      <c r="AA332">
        <f t="shared" si="12"/>
        <v>0.98773006134969121</v>
      </c>
      <c r="AB332">
        <f t="shared" si="12"/>
        <v>0.98773006134969121</v>
      </c>
    </row>
    <row r="333" spans="6:28">
      <c r="F333" s="358"/>
      <c r="G333" s="358"/>
      <c r="AA333">
        <f t="shared" si="12"/>
        <v>0.99386503067484455</v>
      </c>
      <c r="AB333">
        <f t="shared" si="12"/>
        <v>0.99386503067484455</v>
      </c>
    </row>
    <row r="334" spans="6:28">
      <c r="F334" s="358"/>
      <c r="G334" s="358"/>
      <c r="AA334">
        <f t="shared" si="12"/>
        <v>0.99999999999999789</v>
      </c>
      <c r="AB334">
        <f t="shared" si="12"/>
        <v>0.99999999999999789</v>
      </c>
    </row>
    <row r="335" spans="6:28">
      <c r="F335" s="358"/>
      <c r="G335" s="358"/>
    </row>
    <row r="336" spans="6:28">
      <c r="F336" s="358"/>
      <c r="G336" s="358"/>
    </row>
    <row r="337" spans="6:7">
      <c r="F337" s="358"/>
      <c r="G337" s="358"/>
    </row>
    <row r="338" spans="6:7">
      <c r="F338" s="358"/>
      <c r="G338" s="358"/>
    </row>
    <row r="339" spans="6:7">
      <c r="F339" s="358"/>
      <c r="G339" s="358"/>
    </row>
    <row r="340" spans="6:7">
      <c r="F340" s="358"/>
      <c r="G340" s="358"/>
    </row>
    <row r="341" spans="6:7">
      <c r="F341" s="358"/>
      <c r="G341" s="358"/>
    </row>
    <row r="342" spans="6:7">
      <c r="F342" s="358"/>
      <c r="G342" s="358"/>
    </row>
    <row r="343" spans="6:7">
      <c r="F343" s="358"/>
      <c r="G343" s="358"/>
    </row>
    <row r="344" spans="6:7">
      <c r="F344" s="358"/>
      <c r="G344" s="358"/>
    </row>
    <row r="345" spans="6:7">
      <c r="F345" s="358"/>
      <c r="G345" s="358"/>
    </row>
    <row r="346" spans="6:7">
      <c r="F346" s="358"/>
      <c r="G346" s="358"/>
    </row>
    <row r="347" spans="6:7">
      <c r="F347" s="358"/>
      <c r="G347" s="358"/>
    </row>
    <row r="348" spans="6:7">
      <c r="F348" s="358"/>
      <c r="G348" s="358"/>
    </row>
    <row r="349" spans="6:7">
      <c r="F349" s="358"/>
      <c r="G349" s="358"/>
    </row>
    <row r="350" spans="6:7">
      <c r="F350" s="358"/>
      <c r="G350" s="358"/>
    </row>
    <row r="351" spans="6:7">
      <c r="F351" s="358"/>
      <c r="G351" s="358"/>
    </row>
    <row r="352" spans="6:7">
      <c r="F352" s="358"/>
      <c r="G352" s="358"/>
    </row>
    <row r="353" spans="6:7">
      <c r="F353" s="358"/>
      <c r="G353" s="358"/>
    </row>
    <row r="354" spans="6:7">
      <c r="F354" s="358"/>
      <c r="G354" s="358"/>
    </row>
    <row r="355" spans="6:7">
      <c r="F355" s="358"/>
      <c r="G355" s="358"/>
    </row>
    <row r="356" spans="6:7">
      <c r="F356" s="358"/>
      <c r="G356" s="358"/>
    </row>
  </sheetData>
  <mergeCells count="1">
    <mergeCell ref="U11:U12"/>
  </mergeCells>
  <conditionalFormatting sqref="T1:T15 T17:T49 T116 T70:T111 T128:T136 T139:T1048576">
    <cfRule type="containsBlanks" dxfId="7" priority="4">
      <formula>LEN(TRIM(T1))=0</formula>
    </cfRule>
  </conditionalFormatting>
  <conditionalFormatting sqref="T1:T15 T17:T49 T116 T70:T111 T128:T136 T139:T1048576">
    <cfRule type="containsText" dxfId="6" priority="3" operator="containsText" text="y">
      <formula>NOT(ISERROR(SEARCH("y",T1)))</formula>
    </cfRule>
  </conditionalFormatting>
  <conditionalFormatting sqref="T1:T15 T17:T49 T116 T70:T111 T128:T136 T139:T1048576">
    <cfRule type="containsText" dxfId="5" priority="2" operator="containsText" text="n">
      <formula>NOT(ISERROR(SEARCH("n",T1)))</formula>
    </cfRule>
  </conditionalFormatting>
  <conditionalFormatting sqref="R1:R49 R116 R70:R111 R128:R136 R139:R1048576">
    <cfRule type="containsText" dxfId="4" priority="1" operator="containsText" text="99">
      <formula>NOT(ISERROR(SEARCH("99",R1)))</formula>
    </cfRule>
  </conditionalFormatting>
  <hyperlinks>
    <hyperlink ref="Z2" r:id="rId1" xr:uid="{00000000-0004-0000-0100-000000000000}"/>
    <hyperlink ref="AA2" r:id="rId2" xr:uid="{00000000-0004-0000-0100-000001000000}"/>
    <hyperlink ref="Z3" r:id="rId3" xr:uid="{00000000-0004-0000-0100-000002000000}"/>
    <hyperlink ref="AA3" r:id="rId4" xr:uid="{00000000-0004-0000-0100-000003000000}"/>
    <hyperlink ref="Z4" r:id="rId5" xr:uid="{00000000-0004-0000-0100-000004000000}"/>
    <hyperlink ref="AA4" r:id="rId6" xr:uid="{00000000-0004-0000-0100-000005000000}"/>
    <hyperlink ref="Z5" r:id="rId7" xr:uid="{00000000-0004-0000-0100-000006000000}"/>
    <hyperlink ref="AA5" r:id="rId8" xr:uid="{00000000-0004-0000-0100-000007000000}"/>
    <hyperlink ref="Z6" r:id="rId9" xr:uid="{00000000-0004-0000-0100-000008000000}"/>
    <hyperlink ref="AA6" r:id="rId10" xr:uid="{00000000-0004-0000-0100-000009000000}"/>
    <hyperlink ref="Z7" r:id="rId11" xr:uid="{00000000-0004-0000-0100-00000A000000}"/>
    <hyperlink ref="AA7" r:id="rId12" xr:uid="{00000000-0004-0000-0100-00000B000000}"/>
    <hyperlink ref="Z8" r:id="rId13" xr:uid="{00000000-0004-0000-0100-00000C000000}"/>
    <hyperlink ref="AA8" r:id="rId14" xr:uid="{00000000-0004-0000-0100-00000D000000}"/>
    <hyperlink ref="Z9" r:id="rId15" xr:uid="{00000000-0004-0000-0100-00000E000000}"/>
    <hyperlink ref="AA9" r:id="rId16" xr:uid="{00000000-0004-0000-0100-00000F000000}"/>
    <hyperlink ref="Z10" r:id="rId17" xr:uid="{00000000-0004-0000-0100-000010000000}"/>
    <hyperlink ref="AA10" r:id="rId18" xr:uid="{00000000-0004-0000-0100-000011000000}"/>
    <hyperlink ref="Z11" r:id="rId19" xr:uid="{00000000-0004-0000-0100-000012000000}"/>
    <hyperlink ref="AA11" r:id="rId20" xr:uid="{00000000-0004-0000-0100-000013000000}"/>
    <hyperlink ref="Z12" r:id="rId21" xr:uid="{00000000-0004-0000-0100-000014000000}"/>
    <hyperlink ref="AA12" r:id="rId22" xr:uid="{00000000-0004-0000-0100-000015000000}"/>
    <hyperlink ref="Z13" r:id="rId23" xr:uid="{00000000-0004-0000-0100-000016000000}"/>
    <hyperlink ref="AA13" r:id="rId24" xr:uid="{00000000-0004-0000-0100-000017000000}"/>
    <hyperlink ref="Z14" r:id="rId25" xr:uid="{00000000-0004-0000-0100-000018000000}"/>
    <hyperlink ref="AA14" r:id="rId26" xr:uid="{00000000-0004-0000-0100-000019000000}"/>
    <hyperlink ref="Z35" r:id="rId27" xr:uid="{00000000-0004-0000-0100-00001A000000}"/>
    <hyperlink ref="AA35" r:id="rId28" xr:uid="{00000000-0004-0000-0100-00001B000000}"/>
    <hyperlink ref="Z36" r:id="rId29" xr:uid="{00000000-0004-0000-0100-00001C000000}"/>
    <hyperlink ref="AA36" r:id="rId30" xr:uid="{00000000-0004-0000-0100-00001D000000}"/>
    <hyperlink ref="Z37" r:id="rId31" xr:uid="{00000000-0004-0000-0100-00001E000000}"/>
    <hyperlink ref="AA37" r:id="rId32" xr:uid="{00000000-0004-0000-0100-00001F000000}"/>
    <hyperlink ref="Z38" r:id="rId33" xr:uid="{00000000-0004-0000-0100-000020000000}"/>
    <hyperlink ref="AA38" r:id="rId34" xr:uid="{00000000-0004-0000-0100-000021000000}"/>
    <hyperlink ref="Z39" r:id="rId35" xr:uid="{00000000-0004-0000-0100-000022000000}"/>
    <hyperlink ref="AA39" r:id="rId36" xr:uid="{00000000-0004-0000-0100-000023000000}"/>
    <hyperlink ref="Z40" r:id="rId37" xr:uid="{00000000-0004-0000-0100-000024000000}"/>
    <hyperlink ref="AA40" r:id="rId38" xr:uid="{00000000-0004-0000-0100-000025000000}"/>
    <hyperlink ref="Z41" r:id="rId39" xr:uid="{00000000-0004-0000-0100-000026000000}"/>
    <hyperlink ref="AA41" r:id="rId40" xr:uid="{00000000-0004-0000-0100-000027000000}"/>
    <hyperlink ref="Z44" r:id="rId41" xr:uid="{00000000-0004-0000-0100-000028000000}"/>
    <hyperlink ref="AA44" r:id="rId42" xr:uid="{00000000-0004-0000-0100-000029000000}"/>
    <hyperlink ref="Z45" r:id="rId43" xr:uid="{00000000-0004-0000-0100-00002A000000}"/>
    <hyperlink ref="AA45" r:id="rId44" xr:uid="{00000000-0004-0000-0100-00002B000000}"/>
    <hyperlink ref="Z46" r:id="rId45" xr:uid="{00000000-0004-0000-0100-00002C000000}"/>
    <hyperlink ref="AA46" r:id="rId46" xr:uid="{00000000-0004-0000-0100-00002D000000}"/>
    <hyperlink ref="Z47" r:id="rId47" xr:uid="{00000000-0004-0000-0100-00002E000000}"/>
    <hyperlink ref="AA47" r:id="rId48" xr:uid="{00000000-0004-0000-0100-00002F000000}"/>
    <hyperlink ref="Z48" r:id="rId49" xr:uid="{00000000-0004-0000-0100-000030000000}"/>
    <hyperlink ref="AA48" r:id="rId50" xr:uid="{00000000-0004-0000-0100-000031000000}"/>
    <hyperlink ref="Z49" r:id="rId51" xr:uid="{00000000-0004-0000-0100-000032000000}"/>
    <hyperlink ref="AA49" r:id="rId52" xr:uid="{00000000-0004-0000-0100-000033000000}"/>
    <hyperlink ref="Z70" r:id="rId53" xr:uid="{00000000-0004-0000-0100-000034000000}"/>
    <hyperlink ref="AA70" r:id="rId54" xr:uid="{00000000-0004-0000-0100-000035000000}"/>
    <hyperlink ref="Z71" r:id="rId55" xr:uid="{00000000-0004-0000-0100-000036000000}"/>
    <hyperlink ref="AA71" r:id="rId56" xr:uid="{00000000-0004-0000-0100-000037000000}"/>
    <hyperlink ref="Z72" r:id="rId57" xr:uid="{00000000-0004-0000-0100-000038000000}"/>
    <hyperlink ref="AA72" r:id="rId58" xr:uid="{00000000-0004-0000-0100-000039000000}"/>
    <hyperlink ref="Z90" r:id="rId59" xr:uid="{00000000-0004-0000-0100-00003A000000}"/>
    <hyperlink ref="AA90" r:id="rId60" xr:uid="{00000000-0004-0000-0100-00003B000000}"/>
    <hyperlink ref="Z91" r:id="rId61" xr:uid="{00000000-0004-0000-0100-00003C000000}"/>
    <hyperlink ref="AA91" r:id="rId62" xr:uid="{00000000-0004-0000-0100-00003D000000}"/>
    <hyperlink ref="Z92" r:id="rId63" xr:uid="{00000000-0004-0000-0100-00003E000000}"/>
    <hyperlink ref="AA92" r:id="rId64" xr:uid="{00000000-0004-0000-0100-00003F000000}"/>
    <hyperlink ref="Z93" r:id="rId65" xr:uid="{00000000-0004-0000-0100-000040000000}"/>
    <hyperlink ref="AA93" r:id="rId66" xr:uid="{00000000-0004-0000-0100-000041000000}"/>
    <hyperlink ref="Z94" r:id="rId67" xr:uid="{00000000-0004-0000-0100-000042000000}"/>
    <hyperlink ref="AA94" r:id="rId68" xr:uid="{00000000-0004-0000-0100-000043000000}"/>
    <hyperlink ref="Z97" r:id="rId69" xr:uid="{00000000-0004-0000-0100-000044000000}"/>
    <hyperlink ref="AA97" r:id="rId70" xr:uid="{00000000-0004-0000-0100-000045000000}"/>
    <hyperlink ref="Z98" r:id="rId71" xr:uid="{00000000-0004-0000-0100-000046000000}"/>
    <hyperlink ref="AA98" r:id="rId72" xr:uid="{00000000-0004-0000-0100-000047000000}"/>
    <hyperlink ref="Z99" r:id="rId73" xr:uid="{00000000-0004-0000-0100-000048000000}"/>
    <hyperlink ref="AA99" r:id="rId74" xr:uid="{00000000-0004-0000-0100-000049000000}"/>
    <hyperlink ref="Z100" r:id="rId75" xr:uid="{00000000-0004-0000-0100-00004A000000}"/>
    <hyperlink ref="AA100" r:id="rId76" xr:uid="{00000000-0004-0000-0100-00004B000000}"/>
    <hyperlink ref="Z101" r:id="rId77" xr:uid="{00000000-0004-0000-0100-00004C000000}"/>
    <hyperlink ref="AA101" r:id="rId78" xr:uid="{00000000-0004-0000-0100-00004D000000}"/>
    <hyperlink ref="Z102" r:id="rId79" xr:uid="{00000000-0004-0000-0100-00004E000000}"/>
    <hyperlink ref="AA102" r:id="rId80" xr:uid="{00000000-0004-0000-0100-00004F000000}"/>
    <hyperlink ref="Z103" r:id="rId81" xr:uid="{00000000-0004-0000-0100-000050000000}"/>
    <hyperlink ref="AA103" r:id="rId82" xr:uid="{00000000-0004-0000-0100-000051000000}"/>
    <hyperlink ref="Z104" r:id="rId83" xr:uid="{00000000-0004-0000-0100-000052000000}"/>
    <hyperlink ref="AA104" r:id="rId84" xr:uid="{00000000-0004-0000-0100-000053000000}"/>
    <hyperlink ref="Z105" r:id="rId85" xr:uid="{00000000-0004-0000-0100-000054000000}"/>
    <hyperlink ref="AA105" r:id="rId86" xr:uid="{00000000-0004-0000-0100-000055000000}"/>
    <hyperlink ref="Z106" r:id="rId87" xr:uid="{00000000-0004-0000-0100-000056000000}"/>
    <hyperlink ref="AA106" r:id="rId88" xr:uid="{00000000-0004-0000-0100-000057000000}"/>
    <hyperlink ref="Z107" r:id="rId89" xr:uid="{00000000-0004-0000-0100-000058000000}"/>
    <hyperlink ref="AA107" r:id="rId90" xr:uid="{00000000-0004-0000-0100-000059000000}"/>
    <hyperlink ref="Z108" r:id="rId91" xr:uid="{00000000-0004-0000-0100-00005A000000}"/>
    <hyperlink ref="AA108" r:id="rId92" xr:uid="{00000000-0004-0000-0100-00005B000000}"/>
    <hyperlink ref="Z109" r:id="rId93" xr:uid="{00000000-0004-0000-0100-00005C000000}"/>
    <hyperlink ref="AA109" r:id="rId94" xr:uid="{00000000-0004-0000-0100-00005D000000}"/>
    <hyperlink ref="Z110" r:id="rId95" xr:uid="{00000000-0004-0000-0100-00005E000000}"/>
    <hyperlink ref="AA110" r:id="rId96" xr:uid="{00000000-0004-0000-0100-00005F000000}"/>
    <hyperlink ref="Z111" r:id="rId97" xr:uid="{00000000-0004-0000-0100-000060000000}"/>
    <hyperlink ref="AA111" r:id="rId98" xr:uid="{00000000-0004-0000-0100-000061000000}"/>
    <hyperlink ref="Z128" r:id="rId99" xr:uid="{00000000-0004-0000-0100-000062000000}"/>
    <hyperlink ref="AA128" r:id="rId100" xr:uid="{00000000-0004-0000-0100-000063000000}"/>
    <hyperlink ref="Z129" r:id="rId101" xr:uid="{00000000-0004-0000-0100-000064000000}"/>
    <hyperlink ref="AA129" r:id="rId102" xr:uid="{00000000-0004-0000-0100-000065000000}"/>
    <hyperlink ref="Z130" r:id="rId103" xr:uid="{00000000-0004-0000-0100-000066000000}"/>
    <hyperlink ref="AA130" r:id="rId104" xr:uid="{00000000-0004-0000-0100-000067000000}"/>
    <hyperlink ref="Z131" r:id="rId105" xr:uid="{00000000-0004-0000-0100-000068000000}"/>
    <hyperlink ref="AA131" r:id="rId106" xr:uid="{00000000-0004-0000-0100-000069000000}"/>
    <hyperlink ref="Z132" r:id="rId107" xr:uid="{00000000-0004-0000-0100-00006A000000}"/>
    <hyperlink ref="AA132" r:id="rId108" xr:uid="{00000000-0004-0000-0100-00006B000000}"/>
    <hyperlink ref="Z133" r:id="rId109" xr:uid="{00000000-0004-0000-0100-00006C000000}"/>
    <hyperlink ref="AA133" r:id="rId110" xr:uid="{00000000-0004-0000-0100-00006D000000}"/>
    <hyperlink ref="Z134" r:id="rId111" xr:uid="{00000000-0004-0000-0100-00006E000000}"/>
    <hyperlink ref="AA134" r:id="rId112" xr:uid="{00000000-0004-0000-0100-00006F000000}"/>
    <hyperlink ref="Z135" r:id="rId113" xr:uid="{00000000-0004-0000-0100-000070000000}"/>
    <hyperlink ref="AA135" r:id="rId114" xr:uid="{00000000-0004-0000-0100-000071000000}"/>
    <hyperlink ref="Z142" r:id="rId115" xr:uid="{00000000-0004-0000-0100-000072000000}"/>
    <hyperlink ref="AA142" r:id="rId116" xr:uid="{00000000-0004-0000-0100-000073000000}"/>
    <hyperlink ref="Z139" r:id="rId117" xr:uid="{00000000-0004-0000-0100-000074000000}"/>
    <hyperlink ref="AA139" r:id="rId118" xr:uid="{00000000-0004-0000-0100-000075000000}"/>
    <hyperlink ref="Z141" r:id="rId119" xr:uid="{00000000-0004-0000-0100-000076000000}"/>
    <hyperlink ref="AA141" r:id="rId120" xr:uid="{00000000-0004-0000-0100-000077000000}"/>
    <hyperlink ref="Z136" r:id="rId121" xr:uid="{00000000-0004-0000-0100-000078000000}"/>
    <hyperlink ref="AA136" r:id="rId122" xr:uid="{00000000-0004-0000-0100-000079000000}"/>
    <hyperlink ref="Z164" r:id="rId123" xr:uid="{00000000-0004-0000-0100-00007A000000}"/>
    <hyperlink ref="AA164" r:id="rId124" xr:uid="{00000000-0004-0000-0100-00007B000000}"/>
    <hyperlink ref="Z163" r:id="rId125" xr:uid="{00000000-0004-0000-0100-00007C000000}"/>
    <hyperlink ref="AA163" r:id="rId126" xr:uid="{00000000-0004-0000-0100-00007D000000}"/>
    <hyperlink ref="Z161" r:id="rId127" xr:uid="{00000000-0004-0000-0100-00007E000000}"/>
    <hyperlink ref="AA161" r:id="rId128" xr:uid="{00000000-0004-0000-0100-00007F000000}"/>
    <hyperlink ref="Z160" r:id="rId129" xr:uid="{00000000-0004-0000-0100-000080000000}"/>
    <hyperlink ref="AA160" r:id="rId130" xr:uid="{00000000-0004-0000-0100-000081000000}"/>
    <hyperlink ref="Z144" r:id="rId131" xr:uid="{00000000-0004-0000-0100-000082000000}"/>
    <hyperlink ref="AA144" r:id="rId132" xr:uid="{00000000-0004-0000-0100-000083000000}"/>
    <hyperlink ref="Z143" r:id="rId133" xr:uid="{00000000-0004-0000-0100-000084000000}"/>
    <hyperlink ref="AA143" r:id="rId134" xr:uid="{00000000-0004-0000-0100-000085000000}"/>
    <hyperlink ref="Z148" r:id="rId135" xr:uid="{00000000-0004-0000-0100-000086000000}"/>
    <hyperlink ref="AA148" r:id="rId136" xr:uid="{00000000-0004-0000-0100-000087000000}"/>
    <hyperlink ref="Z145" r:id="rId137" xr:uid="{00000000-0004-0000-0100-000088000000}"/>
    <hyperlink ref="AA145" r:id="rId138" xr:uid="{00000000-0004-0000-0100-000089000000}"/>
    <hyperlink ref="Z146" r:id="rId139" xr:uid="{00000000-0004-0000-0100-00008A000000}"/>
    <hyperlink ref="AA146" r:id="rId140" xr:uid="{00000000-0004-0000-0100-00008B000000}"/>
    <hyperlink ref="Z147" r:id="rId141" xr:uid="{00000000-0004-0000-0100-00008C000000}"/>
    <hyperlink ref="AA147" r:id="rId142" xr:uid="{00000000-0004-0000-0100-00008D000000}"/>
    <hyperlink ref="Z149" r:id="rId143" xr:uid="{00000000-0004-0000-0100-00008E000000}"/>
    <hyperlink ref="AA149" r:id="rId144" xr:uid="{00000000-0004-0000-0100-00008F000000}"/>
    <hyperlink ref="Z150" r:id="rId145" xr:uid="{00000000-0004-0000-0100-000090000000}"/>
    <hyperlink ref="AA150" r:id="rId146" xr:uid="{00000000-0004-0000-0100-000091000000}"/>
    <hyperlink ref="Z151" r:id="rId147" xr:uid="{00000000-0004-0000-0100-000092000000}"/>
    <hyperlink ref="AA151" r:id="rId148" xr:uid="{00000000-0004-0000-0100-000093000000}"/>
    <hyperlink ref="Z152" r:id="rId149" xr:uid="{00000000-0004-0000-0100-000094000000}"/>
    <hyperlink ref="AA152" r:id="rId150" xr:uid="{00000000-0004-0000-0100-000095000000}"/>
    <hyperlink ref="Z153" r:id="rId151" xr:uid="{00000000-0004-0000-0100-000096000000}"/>
    <hyperlink ref="AA153" r:id="rId152" xr:uid="{00000000-0004-0000-0100-000097000000}"/>
    <hyperlink ref="Z154" r:id="rId153" xr:uid="{00000000-0004-0000-0100-000098000000}"/>
    <hyperlink ref="AA154" r:id="rId154" xr:uid="{00000000-0004-0000-0100-000099000000}"/>
    <hyperlink ref="Z155" r:id="rId155" xr:uid="{00000000-0004-0000-0100-00009A000000}"/>
    <hyperlink ref="AA155" r:id="rId156" xr:uid="{00000000-0004-0000-0100-00009B000000}"/>
    <hyperlink ref="Z156" r:id="rId157" xr:uid="{00000000-0004-0000-0100-00009C000000}"/>
    <hyperlink ref="AA156" r:id="rId158" xr:uid="{00000000-0004-0000-0100-00009D000000}"/>
    <hyperlink ref="Z157" r:id="rId159" xr:uid="{00000000-0004-0000-0100-00009E000000}"/>
    <hyperlink ref="AA157" r:id="rId160" xr:uid="{00000000-0004-0000-0100-00009F000000}"/>
    <hyperlink ref="Z158" r:id="rId161" xr:uid="{00000000-0004-0000-0100-0000A0000000}"/>
    <hyperlink ref="AA158" r:id="rId162" xr:uid="{00000000-0004-0000-0100-0000A1000000}"/>
    <hyperlink ref="Z159" r:id="rId163" xr:uid="{00000000-0004-0000-0100-0000A2000000}"/>
    <hyperlink ref="AA159" r:id="rId164" xr:uid="{00000000-0004-0000-0100-0000A3000000}"/>
    <hyperlink ref="Z74" r:id="rId165" xr:uid="{00000000-0004-0000-0100-0000A4000000}"/>
    <hyperlink ref="AA74" r:id="rId166" xr:uid="{00000000-0004-0000-0100-0000A5000000}"/>
    <hyperlink ref="AB74" r:id="rId167" xr:uid="{00000000-0004-0000-0100-0000A6000000}"/>
    <hyperlink ref="AA75" r:id="rId168" xr:uid="{00000000-0004-0000-0100-0000A7000000}"/>
    <hyperlink ref="AB75" r:id="rId169" xr:uid="{00000000-0004-0000-0100-0000A8000000}"/>
    <hyperlink ref="Z76" r:id="rId170" xr:uid="{00000000-0004-0000-0100-0000A9000000}"/>
    <hyperlink ref="AA76" r:id="rId171" xr:uid="{00000000-0004-0000-0100-0000AA000000}"/>
    <hyperlink ref="AB76" r:id="rId172" xr:uid="{00000000-0004-0000-0100-0000AB000000}"/>
    <hyperlink ref="Z77" r:id="rId173" xr:uid="{00000000-0004-0000-0100-0000AC000000}"/>
    <hyperlink ref="AA77" r:id="rId174" xr:uid="{00000000-0004-0000-0100-0000AD000000}"/>
    <hyperlink ref="AB77" r:id="rId175" xr:uid="{00000000-0004-0000-0100-0000AE000000}"/>
    <hyperlink ref="Z78" r:id="rId176" xr:uid="{00000000-0004-0000-0100-0000AF000000}"/>
    <hyperlink ref="AA78" r:id="rId177" xr:uid="{00000000-0004-0000-0100-0000B0000000}"/>
    <hyperlink ref="AB78" r:id="rId178" xr:uid="{00000000-0004-0000-0100-0000B1000000}"/>
    <hyperlink ref="Z79" r:id="rId179" xr:uid="{00000000-0004-0000-0100-0000B2000000}"/>
    <hyperlink ref="AA79" r:id="rId180" xr:uid="{00000000-0004-0000-0100-0000B3000000}"/>
    <hyperlink ref="AB79" r:id="rId181" xr:uid="{00000000-0004-0000-0100-0000B4000000}"/>
    <hyperlink ref="Z80" r:id="rId182" xr:uid="{00000000-0004-0000-0100-0000B5000000}"/>
    <hyperlink ref="AA80" r:id="rId183" xr:uid="{00000000-0004-0000-0100-0000B6000000}"/>
    <hyperlink ref="AB80" r:id="rId184" xr:uid="{00000000-0004-0000-0100-0000B7000000}"/>
    <hyperlink ref="Z81" r:id="rId185" xr:uid="{00000000-0004-0000-0100-0000B8000000}"/>
    <hyperlink ref="AA81" r:id="rId186" xr:uid="{00000000-0004-0000-0100-0000B9000000}"/>
    <hyperlink ref="AB81" r:id="rId187" xr:uid="{00000000-0004-0000-0100-0000BA000000}"/>
    <hyperlink ref="Z82" r:id="rId188" xr:uid="{00000000-0004-0000-0100-0000BB000000}"/>
    <hyperlink ref="AA82" r:id="rId189" xr:uid="{00000000-0004-0000-0100-0000BC000000}"/>
    <hyperlink ref="AB82" r:id="rId190" xr:uid="{00000000-0004-0000-0100-0000BD000000}"/>
    <hyperlink ref="Z83" r:id="rId191" xr:uid="{00000000-0004-0000-0100-0000BE000000}"/>
    <hyperlink ref="AA83" r:id="rId192" xr:uid="{00000000-0004-0000-0100-0000BF000000}"/>
    <hyperlink ref="AB83" r:id="rId193" xr:uid="{00000000-0004-0000-0100-0000C0000000}"/>
    <hyperlink ref="Z84" r:id="rId194" xr:uid="{00000000-0004-0000-0100-0000C1000000}"/>
    <hyperlink ref="AA84" r:id="rId195" xr:uid="{00000000-0004-0000-0100-0000C2000000}"/>
    <hyperlink ref="AB84" r:id="rId196" xr:uid="{00000000-0004-0000-0100-0000C3000000}"/>
    <hyperlink ref="Z85" r:id="rId197" xr:uid="{00000000-0004-0000-0100-0000C4000000}"/>
    <hyperlink ref="AA85" r:id="rId198" xr:uid="{00000000-0004-0000-0100-0000C5000000}"/>
    <hyperlink ref="AB85" r:id="rId199" xr:uid="{00000000-0004-0000-0100-0000C6000000}"/>
    <hyperlink ref="Z86" r:id="rId200" xr:uid="{00000000-0004-0000-0100-0000C7000000}"/>
    <hyperlink ref="AA86" r:id="rId201" xr:uid="{00000000-0004-0000-0100-0000C8000000}"/>
    <hyperlink ref="AB86" r:id="rId202" xr:uid="{00000000-0004-0000-0100-0000C9000000}"/>
    <hyperlink ref="Z87" r:id="rId203" xr:uid="{00000000-0004-0000-0100-0000CA000000}"/>
    <hyperlink ref="AA87" r:id="rId204" xr:uid="{00000000-0004-0000-0100-0000CB000000}"/>
    <hyperlink ref="AB87" r:id="rId205" xr:uid="{00000000-0004-0000-0100-0000CC000000}"/>
    <hyperlink ref="Z88" r:id="rId206" xr:uid="{00000000-0004-0000-0100-0000CD000000}"/>
    <hyperlink ref="AA88" r:id="rId207" xr:uid="{00000000-0004-0000-0100-0000CE000000}"/>
    <hyperlink ref="AB88" r:id="rId208" xr:uid="{00000000-0004-0000-0100-0000CF000000}"/>
    <hyperlink ref="Z89" r:id="rId209" xr:uid="{00000000-0004-0000-0100-0000D0000000}"/>
    <hyperlink ref="AA89" r:id="rId210" xr:uid="{00000000-0004-0000-0100-0000D1000000}"/>
    <hyperlink ref="AB89" r:id="rId211" xr:uid="{00000000-0004-0000-0100-0000D2000000}"/>
    <hyperlink ref="Z17" r:id="rId212" xr:uid="{00000000-0004-0000-0100-0000D3000000}"/>
    <hyperlink ref="AA17" r:id="rId213" xr:uid="{00000000-0004-0000-0100-0000D4000000}"/>
    <hyperlink ref="Z18" r:id="rId214" xr:uid="{00000000-0004-0000-0100-0000D5000000}"/>
    <hyperlink ref="Z19" r:id="rId215" xr:uid="{00000000-0004-0000-0100-0000D6000000}"/>
    <hyperlink ref="Z20" r:id="rId216" xr:uid="{00000000-0004-0000-0100-0000D7000000}"/>
    <hyperlink ref="Z21" r:id="rId217" xr:uid="{00000000-0004-0000-0100-0000D8000000}"/>
    <hyperlink ref="Z25" r:id="rId218" xr:uid="{00000000-0004-0000-0100-0000D9000000}"/>
    <hyperlink ref="Z26" r:id="rId219" xr:uid="{00000000-0004-0000-0100-0000DA000000}"/>
    <hyperlink ref="Z27" r:id="rId220" xr:uid="{00000000-0004-0000-0100-0000DB000000}"/>
    <hyperlink ref="AA27" r:id="rId221" xr:uid="{00000000-0004-0000-0100-0000DC000000}"/>
    <hyperlink ref="Z28" r:id="rId222" xr:uid="{00000000-0004-0000-0100-0000DD000000}"/>
    <hyperlink ref="AA28" r:id="rId223" xr:uid="{00000000-0004-0000-0100-0000DE000000}"/>
    <hyperlink ref="AA25" r:id="rId224" xr:uid="{00000000-0004-0000-0100-0000DF000000}"/>
    <hyperlink ref="AA26" r:id="rId225" xr:uid="{00000000-0004-0000-0100-0000E0000000}"/>
    <hyperlink ref="AA21" r:id="rId226" xr:uid="{00000000-0004-0000-0100-0000E1000000}"/>
    <hyperlink ref="Z30" r:id="rId227" xr:uid="{00000000-0004-0000-0100-0000E2000000}"/>
    <hyperlink ref="AA30" r:id="rId228" xr:uid="{00000000-0004-0000-0100-0000E3000000}"/>
    <hyperlink ref="Z75" r:id="rId229" xr:uid="{00000000-0004-0000-0100-0000E4000000}"/>
    <hyperlink ref="Z15" r:id="rId230" xr:uid="{00000000-0004-0000-0100-0000E5000000}"/>
    <hyperlink ref="AA15" r:id="rId231" xr:uid="{00000000-0004-0000-0100-0000E6000000}"/>
    <hyperlink ref="Z16" r:id="rId232" xr:uid="{00000000-0004-0000-0100-0000E7000000}"/>
    <hyperlink ref="AA16" r:id="rId233" xr:uid="{00000000-0004-0000-0100-0000E8000000}"/>
    <hyperlink ref="Z52" r:id="rId234" xr:uid="{00000000-0004-0000-0100-0000E9000000}"/>
    <hyperlink ref="Z53" r:id="rId235" xr:uid="{00000000-0004-0000-0100-0000EA000000}"/>
    <hyperlink ref="Z54" r:id="rId236" xr:uid="{00000000-0004-0000-0100-0000EB000000}"/>
    <hyperlink ref="Z55" r:id="rId237" xr:uid="{00000000-0004-0000-0100-0000EC000000}"/>
    <hyperlink ref="Z56" r:id="rId238" xr:uid="{00000000-0004-0000-0100-0000ED000000}"/>
    <hyperlink ref="Z57" r:id="rId239" xr:uid="{00000000-0004-0000-0100-0000EE000000}"/>
    <hyperlink ref="Z58" r:id="rId240" xr:uid="{00000000-0004-0000-0100-0000EF000000}"/>
    <hyperlink ref="Z59" r:id="rId241" xr:uid="{00000000-0004-0000-0100-0000F0000000}"/>
    <hyperlink ref="Z60" r:id="rId242" xr:uid="{00000000-0004-0000-0100-0000F1000000}"/>
    <hyperlink ref="Z61" r:id="rId243" xr:uid="{00000000-0004-0000-0100-0000F2000000}"/>
    <hyperlink ref="Z62" r:id="rId244" xr:uid="{00000000-0004-0000-0100-0000F3000000}"/>
    <hyperlink ref="Z63" r:id="rId245" xr:uid="{00000000-0004-0000-0100-0000F4000000}"/>
    <hyperlink ref="Z64" r:id="rId246" xr:uid="{00000000-0004-0000-0100-0000F5000000}"/>
    <hyperlink ref="Z65" r:id="rId247" xr:uid="{00000000-0004-0000-0100-0000F6000000}"/>
    <hyperlink ref="Z66" r:id="rId248" xr:uid="{00000000-0004-0000-0100-0000F7000000}"/>
    <hyperlink ref="Z67" r:id="rId249" xr:uid="{00000000-0004-0000-0100-0000F8000000}"/>
    <hyperlink ref="Z68" r:id="rId250" xr:uid="{00000000-0004-0000-0100-0000F9000000}"/>
    <hyperlink ref="Z69" r:id="rId251" xr:uid="{00000000-0004-0000-0100-0000FA000000}"/>
    <hyperlink ref="Z50" r:id="rId252" xr:uid="{00000000-0004-0000-0100-0000FB000000}"/>
    <hyperlink ref="Z51" r:id="rId253" xr:uid="{00000000-0004-0000-0100-0000FC000000}"/>
    <hyperlink ref="AA50" r:id="rId254" xr:uid="{00000000-0004-0000-0100-0000FD000000}"/>
    <hyperlink ref="AA51" r:id="rId255" xr:uid="{00000000-0004-0000-0100-0000FE000000}"/>
    <hyperlink ref="AA52" r:id="rId256" xr:uid="{00000000-0004-0000-0100-0000FF000000}"/>
    <hyperlink ref="AA53" r:id="rId257" xr:uid="{00000000-0004-0000-0100-000000010000}"/>
    <hyperlink ref="AA54" r:id="rId258" xr:uid="{00000000-0004-0000-0100-000001010000}"/>
    <hyperlink ref="AA55" r:id="rId259" xr:uid="{00000000-0004-0000-0100-000002010000}"/>
    <hyperlink ref="AA56" r:id="rId260" xr:uid="{00000000-0004-0000-0100-000003010000}"/>
    <hyperlink ref="AA57" r:id="rId261" xr:uid="{00000000-0004-0000-0100-000004010000}"/>
    <hyperlink ref="AA58" r:id="rId262" xr:uid="{00000000-0004-0000-0100-000005010000}"/>
    <hyperlink ref="AA59" r:id="rId263" xr:uid="{00000000-0004-0000-0100-000006010000}"/>
    <hyperlink ref="AA60" r:id="rId264" xr:uid="{00000000-0004-0000-0100-000007010000}"/>
    <hyperlink ref="AA61" r:id="rId265" xr:uid="{00000000-0004-0000-0100-000008010000}"/>
    <hyperlink ref="AA62" r:id="rId266" xr:uid="{00000000-0004-0000-0100-000009010000}"/>
    <hyperlink ref="AA63" r:id="rId267" xr:uid="{00000000-0004-0000-0100-00000A010000}"/>
    <hyperlink ref="AA64" r:id="rId268" xr:uid="{00000000-0004-0000-0100-00000B010000}"/>
    <hyperlink ref="AA65" r:id="rId269" xr:uid="{00000000-0004-0000-0100-00000C010000}"/>
    <hyperlink ref="AA66" r:id="rId270" xr:uid="{00000000-0004-0000-0100-00000D010000}"/>
    <hyperlink ref="AA67" r:id="rId271" xr:uid="{00000000-0004-0000-0100-00000E010000}"/>
    <hyperlink ref="AA68" r:id="rId272" xr:uid="{00000000-0004-0000-0100-00000F010000}"/>
    <hyperlink ref="AA69" r:id="rId273" xr:uid="{00000000-0004-0000-0100-000010010000}"/>
    <hyperlink ref="Z34" r:id="rId274" display="https://services1.arcgis.com/0j6vZbECadDEXdAS/arcgis/rest/services/GEDI_Footprint_1_trees/FeatureServer/0/98/attachments/30?token=ao52L_k31BAKY8Blc2HzENw..O9GosqdA_uLMr3_qcHp1IExuwOyNhBhE2kaJtWGrkrfU_7PxE-CbCmoS6xuVQ8-RpV3svAW4k--oZty_ddXwUYMPCXQYgwAfghLlc9_L7Xzjg_09ryHXrxQNlNZbjp4D9tgeMLw3Oz9bVLaj2CcnAHrdsq31S_0-iZNMVbrJPclTNM4CfF_KA8jU1fxI0H34fbwceJYm3yRpywB6NT_lTmaTJyGaYirf7UmC_iVIyMY5ouQtagS0uMPkARx3Hbxm798eN_pLBisiETqbp9SpG-VbtNEXDGcfn0WWTk6DYwYcAw87XMFuBJwDOPJNvaGris9giDDOaf2yM4xQJSR3" xr:uid="{00000000-0004-0000-0100-000011010000}"/>
    <hyperlink ref="Z112" r:id="rId275" xr:uid="{00000000-0004-0000-0100-000012010000}"/>
    <hyperlink ref="AA112" r:id="rId276" xr:uid="{00000000-0004-0000-0100-000013010000}"/>
    <hyperlink ref="Z113" r:id="rId277" xr:uid="{00000000-0004-0000-0100-000014010000}"/>
    <hyperlink ref="AA113" r:id="rId278" xr:uid="{00000000-0004-0000-0100-000015010000}"/>
    <hyperlink ref="Z114" r:id="rId279" xr:uid="{00000000-0004-0000-0100-000016010000}"/>
    <hyperlink ref="AA114" r:id="rId280" xr:uid="{00000000-0004-0000-0100-000017010000}"/>
    <hyperlink ref="AI113" r:id="rId281" display="https://services1.arcgis.com/0j6vZbECadDEXdAS/arcgis/rest/services/GEDI_Footprint_1_trees/FeatureServer/0/50/attachments/39?token=a4ScKDTipBjXN_Oqldylu4w..UgkQi_pE2TXisCb5jSTUnpixVgv0hqjaSApOkQg75dwShQYGf_twWwpGGF1P6BCN926pawb04AGvOVX8YrrC8G4VlcZ5E2bC6D8tVqT4NVzoz6lwYM3uYtjyPSAv7yfl5WCm6m-1yIpA7C_jsX1wKLfEJl6mUXzQ11UOpx4tzXSi0pfnZSJisMZTwOy25urJqdN3gkt_PKGY6JaHF91JM8b4BQ3fClU2CxnN2zxlWjhq3lVyYE83s6jl17JTdY_dniGWoW8KM_TaEwEg2fMK497-XzBZ7eztH73B7lIYmey8ySaKD5FvZCLQlW-QPyPz_wT5lulo19V9W6Zuk8mc&amp;s=455078" xr:uid="{00000000-0004-0000-0100-000018010000}"/>
    <hyperlink ref="Z115" r:id="rId282" xr:uid="{00000000-0004-0000-0100-000019010000}"/>
    <hyperlink ref="AA115" r:id="rId283" xr:uid="{00000000-0004-0000-0100-00001A010000}"/>
    <hyperlink ref="AI115" r:id="rId284" display="https://services1.arcgis.com/0j6vZbECadDEXdAS/arcgis/rest/services/GEDI_Footprint_1_trees/FeatureServer/0/49/attachments/42?token=abSypVu6DLSDSfkNbwn8yiw..1YtW_stEWnveCwxuWHb554rKL8Hu0KKBgwsNi4y7N9D8aEfe6TyTsFYLWXbW-C1LH5Q9fSakJMFVlH6w51AnZ0FApoWOiu5ozUXWLt1ItgoiHFj8Kdrb8xijvSQVFl01T7jNf3QbIKe_eL8LxZqgvOeHRw3lwqUruvnICnwyeJjXzCNXLAo5EJQjnZpEGxbX7Gz2TFo1uvbmMJVbisnTIhOFAKANYGUU8fziN159jpJiN_AoPlzckimImAyazeOrPOT_APsBbvzN0-Dj5iaacziJBLQuc3R8Xk8ymgTniCXNiUT6CCvJTnZ_e_aw-HAObGPQnxlPS4FJG2D_VDVu&amp;s=815744" xr:uid="{00000000-0004-0000-0100-00001B010000}"/>
    <hyperlink ref="Z117" r:id="rId285" xr:uid="{00000000-0004-0000-0100-00001C010000}"/>
    <hyperlink ref="Z118" r:id="rId286" xr:uid="{00000000-0004-0000-0100-00001D010000}"/>
    <hyperlink ref="Z119" r:id="rId287" xr:uid="{00000000-0004-0000-0100-00001E010000}"/>
    <hyperlink ref="Z120" r:id="rId288" xr:uid="{00000000-0004-0000-0100-00001F010000}"/>
    <hyperlink ref="Z121" r:id="rId289" xr:uid="{00000000-0004-0000-0100-000020010000}"/>
    <hyperlink ref="AA117" r:id="rId290" xr:uid="{00000000-0004-0000-0100-000021010000}"/>
    <hyperlink ref="AA118" r:id="rId291" xr:uid="{00000000-0004-0000-0100-000022010000}"/>
    <hyperlink ref="AA119" r:id="rId292" xr:uid="{00000000-0004-0000-0100-000023010000}"/>
    <hyperlink ref="AA120" r:id="rId293" xr:uid="{00000000-0004-0000-0100-000024010000}"/>
    <hyperlink ref="AA121" r:id="rId294" xr:uid="{00000000-0004-0000-0100-000025010000}"/>
    <hyperlink ref="Z122" r:id="rId295" xr:uid="{00000000-0004-0000-0100-000026010000}"/>
    <hyperlink ref="AA122" r:id="rId296" xr:uid="{00000000-0004-0000-0100-000027010000}"/>
    <hyperlink ref="AI117" r:id="rId297" display="https://services1.arcgis.com/0j6vZbECadDEXdAS/arcgis/rest/services/GEDI_Footprint_1_trees/FeatureServer/0/51/attachments/43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" xr:uid="{00000000-0004-0000-0100-000028010000}"/>
    <hyperlink ref="AI118" r:id="rId298" display="https://services1.arcgis.com/0j6vZbECadDEXdAS/arcgis/rest/services/GEDI_Footprint_1_trees/FeatureServer/0/51/attachments/44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" xr:uid="{00000000-0004-0000-0100-000029010000}"/>
    <hyperlink ref="Z123" r:id="rId299" xr:uid="{00000000-0004-0000-0100-00002A010000}"/>
    <hyperlink ref="AA123" r:id="rId300" xr:uid="{00000000-0004-0000-0100-00002B010000}"/>
    <hyperlink ref="AI123" r:id="rId301" display="https://services1.arcgis.com/0j6vZbECadDEXdAS/arcgis/rest/services/GEDI_Footprint_1_trees/FeatureServer/0/52/attachments/45?token=aWp1DvdCm4yGiUfgkB3VSEA..Dd9a_BgH_lB7DT6SJGD_1zl-QUWTl62_YjMM30Gs7w_X6HbaZf8lPHGPGhHgIDZ8K0sJwGT8c4GUnWYC-abp9oDeOGYygQHtURW8gwnSj7OjYM5jtxHV3s3HfoQhBgByt_bl1dZTOtJ7WpG10kT7arnif7wNp3NohUtZhm3hrPvgpr3X9pmGSjlSU7bopQ1zdF5soToRASXOjdR6L9CKTWKv32RmiZMmaxHlyOSt9CiT-VMLTUUQFgglhOitdGSEgvVC6dNoMRGeXjkuXGmFBNQWTqgeKwHTc-javsb4g7j7O5o8_gLFCokLKOQBuDVBmfuXUGu16Mut5rVZSBT2&amp;s=853981" xr:uid="{00000000-0004-0000-0100-00002C010000}"/>
    <hyperlink ref="Z124" r:id="rId302" xr:uid="{00000000-0004-0000-0100-00002D010000}"/>
    <hyperlink ref="AA124" r:id="rId303" xr:uid="{00000000-0004-0000-0100-00002E010000}"/>
    <hyperlink ref="AI124" r:id="rId304" display="https://services1.arcgis.com/0j6vZbECadDEXdAS/arcgis/rest/services/GEDI_Footprint_1_trees/FeatureServer/0/53/attachments/46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&amp;s=841895" xr:uid="{00000000-0004-0000-0100-00002F010000}"/>
    <hyperlink ref="Z125" r:id="rId305" xr:uid="{00000000-0004-0000-0100-000030010000}"/>
    <hyperlink ref="AA125" r:id="rId306" xr:uid="{00000000-0004-0000-0100-000031010000}"/>
    <hyperlink ref="AI125" r:id="rId307" display="https://services1.arcgis.com/0j6vZbECadDEXdAS/arcgis/rest/services/GEDI_Footprint_1_trees/FeatureServer/0/54/attachments/47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&amp;s=865712" xr:uid="{00000000-0004-0000-0100-000032010000}"/>
    <hyperlink ref="Z126" r:id="rId308" xr:uid="{00000000-0004-0000-0100-000033010000}"/>
    <hyperlink ref="AA126" r:id="rId309" xr:uid="{00000000-0004-0000-0100-000034010000}"/>
    <hyperlink ref="Z127" r:id="rId310" xr:uid="{00000000-0004-0000-0100-000035010000}"/>
    <hyperlink ref="AA127" r:id="rId311" xr:uid="{00000000-0004-0000-0100-000036010000}"/>
    <hyperlink ref="AI127" r:id="rId312" display="https://services1.arcgis.com/0j6vZbECadDEXdAS/arcgis/rest/services/GEDI_Footprint_1_trees/FeatureServer/0/108/attachments/37?token=a0CGL3BY9eVTsxiXaUG1s6A..mHqYf40ZrdVJtux3-2fy2TEig5qEOiEQn1vB6B1nXPdcbPgiSweTnJK3e1X3oBe-R6W9G_WcuemvTTFwJ6n-zlnaCHMg4hMQw5IKPA6imStj6T8O-2agy6uxDrNFug0Ea0ZI46xkvALU1qAH8PtsJb33Ha3J_DZLG-_pE4PZ4QjWkkllQfbubkfT1fGmczt2o_4lNzAiA_l5AGQPOlmmfjxmlRU4lt3YLuQsljj-n9rOEGzENWZstWO-Zy1Gg0amRGdoG_0uwR-pCx_PFnvVKJc4jVnu_uKLhTIjCuZatrjpQEK3umbno-8afnN6pqaGR83dp70yFAtYndoJZx3W" xr:uid="{00000000-0004-0000-0100-000037010000}"/>
    <hyperlink ref="AI128" r:id="rId313" display="https://services1.arcgis.com/0j6vZbECadDEXdAS/arcgis/rest/services/GEDI_Footprint_1_trees/FeatureServer/0/55/attachments/1?token=arWipgykShC9z9IYhMlwNeg..uPPHcQXCQLbYhDIHMKA_AsmeNe6NpRWqtabULTKVxATw6PJgB8KFJrLSVddeQVaPKPlFgo9-AII1azyMzoNrojIPnPrl8OOzBoC7zxzJxRK3Fbw8Cgq2zDfjlNIIGFeSqiUcTbtyZXdIVPL3akV5TCdsOnuEJ9VJ6NZAZ95pxVmkFAF4PZ3nsHukYnbNcA0OU1dSeoW5eGxTDkw-3kspG3SK4fmdZYCSkHsuT4sF0rVXtUnm7wc30ZmlWOgctboDvItiOVOBlBFzS88k9J_fZDzxBBBPP-I0OuK8oRZNhg4HEUbyqVpH39R6hBTGcaXbIEEPGiNLwHx6y8AJEvwi&amp;s=818684" xr:uid="{00000000-0004-0000-0100-000038010000}"/>
    <hyperlink ref="Z137" r:id="rId314" xr:uid="{00000000-0004-0000-0100-000039010000}"/>
    <hyperlink ref="AA137" r:id="rId315" xr:uid="{00000000-0004-0000-0100-00003A010000}"/>
    <hyperlink ref="Z138" r:id="rId316" xr:uid="{00000000-0004-0000-0100-00003B010000}"/>
    <hyperlink ref="AA138" r:id="rId317" xr:uid="{00000000-0004-0000-0100-00003C010000}"/>
    <hyperlink ref="Z140" r:id="rId318" xr:uid="{00000000-0004-0000-0100-00003D010000}"/>
    <hyperlink ref="AA140" r:id="rId319" xr:uid="{00000000-0004-0000-0100-00003E010000}"/>
  </hyperlinks>
  <pageMargins left="0.7" right="0.7" top="0.75" bottom="0.75" header="0.3" footer="0.3"/>
  <drawing r:id="rId3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144"/>
  <sheetViews>
    <sheetView workbookViewId="0">
      <pane ySplit="1" topLeftCell="W7" activePane="bottomLeft" state="frozen"/>
      <selection pane="bottomLeft" activeCell="AI20" sqref="AI20"/>
    </sheetView>
  </sheetViews>
  <sheetFormatPr defaultRowHeight="15" customHeight="1"/>
  <cols>
    <col min="1" max="1" width="4.42578125" customWidth="1"/>
    <col min="2" max="3" width="5.140625" customWidth="1"/>
    <col min="4" max="4" width="9.140625" customWidth="1"/>
    <col min="5" max="5" width="9.140625" style="78"/>
    <col min="6" max="6" width="23.7109375" style="78" customWidth="1"/>
    <col min="7" max="7" width="34.7109375" customWidth="1"/>
    <col min="8" max="8" width="11.140625" style="78" customWidth="1"/>
    <col min="9" max="9" width="12.28515625" style="78" customWidth="1"/>
    <col min="10" max="10" width="9.140625" style="78"/>
    <col min="11" max="11" width="11.7109375" style="78" customWidth="1"/>
    <col min="12" max="12" width="27.28515625" customWidth="1"/>
    <col min="13" max="13" width="20.42578125" customWidth="1"/>
    <col min="14" max="14" width="5.140625" style="78" customWidth="1"/>
    <col min="15" max="15" width="36.85546875" customWidth="1"/>
    <col min="16" max="16" width="14.42578125" customWidth="1"/>
    <col min="17" max="17" width="9.5703125" style="78" customWidth="1"/>
    <col min="18" max="18" width="18.42578125" customWidth="1"/>
    <col min="19" max="20" width="16.28515625" customWidth="1"/>
    <col min="21" max="21" width="58.42578125" customWidth="1"/>
    <col min="22" max="23" width="14.5703125" style="655" customWidth="1"/>
  </cols>
  <sheetData>
    <row r="1" spans="1:37" s="175" customFormat="1">
      <c r="A1" s="175" t="s">
        <v>1565</v>
      </c>
      <c r="B1" s="175" t="s">
        <v>1566</v>
      </c>
      <c r="C1" s="175" t="s">
        <v>1567</v>
      </c>
      <c r="D1" s="175" t="s">
        <v>15</v>
      </c>
      <c r="E1" s="344" t="s">
        <v>1568</v>
      </c>
      <c r="F1" s="344"/>
      <c r="G1" s="175" t="s">
        <v>1569</v>
      </c>
      <c r="H1" s="78" t="s">
        <v>1570</v>
      </c>
      <c r="I1" s="344" t="s">
        <v>1571</v>
      </c>
      <c r="J1" s="344" t="s">
        <v>4</v>
      </c>
      <c r="K1" s="344" t="s">
        <v>1572</v>
      </c>
      <c r="L1" s="175" t="s">
        <v>1573</v>
      </c>
      <c r="M1" s="175" t="s">
        <v>1574</v>
      </c>
      <c r="N1" s="644" t="s">
        <v>1575</v>
      </c>
      <c r="O1" s="175" t="s">
        <v>1576</v>
      </c>
      <c r="P1" s="175" t="s">
        <v>1577</v>
      </c>
      <c r="Q1" s="644" t="s">
        <v>1578</v>
      </c>
      <c r="R1" s="175" t="s">
        <v>1579</v>
      </c>
      <c r="S1" s="175" t="s">
        <v>1580</v>
      </c>
      <c r="U1" s="175" t="s">
        <v>1581</v>
      </c>
      <c r="V1" s="656" t="s">
        <v>1582</v>
      </c>
      <c r="W1" s="656" t="s">
        <v>1583</v>
      </c>
      <c r="X1" s="175" t="s">
        <v>1584</v>
      </c>
      <c r="Y1" s="175" t="s">
        <v>1585</v>
      </c>
    </row>
    <row r="2" spans="1:37">
      <c r="A2" cm="1">
        <f t="array" ref="A2:B82">_xlfn.UNIQUE(_xlfn._xlws.FILTER('Footprint Trees'!P2:Q1036, 'Footprint Trees'!P2:P1036&lt;&gt;""))</f>
        <v>1</v>
      </c>
      <c r="B2">
        <v>1</v>
      </c>
      <c r="C2" cm="1">
        <f t="array" ref="C2">MAX(IF(('Footprint Trees'!$P$2:$P$1036=A2)*('Footprint Trees'!$Q$2:$Q$1036=B2),'Footprint Trees'!$R$2:$R$1036))</f>
        <v>7</v>
      </c>
      <c r="D2" cm="1">
        <f t="array" ref="D2">_xlfn._xlws.FILTER('Footprint Trees'!S2:S1037, ('Footprint Trees'!P2:P1037=A2)*('Footprint Trees'!Q2:Q1037=B2)*('Footprint Trees'!R2:R1037=C2))</f>
        <v>1</v>
      </c>
      <c r="E2" s="78" t="str" cm="1">
        <f t="array" ref="E2:E100">A2:A100&amp; "." &amp;B2:B100&amp; "." &amp;C2:C100</f>
        <v>1.1.7</v>
      </c>
      <c r="F2" t="str" cm="1">
        <f t="array" ref="F2">_xlfn._xlws.FILTER('Footprint Trees'!X2:X1037, ('Footprint Trees'!$P$2:$P$1037=$A2)*('Footprint Trees'!$Q$2:$Q$1037=$B2)*('Footprint Trees'!$R$2:$R$1037=$C2))</f>
        <v>weeping bottlebrush</v>
      </c>
      <c r="G2" t="str" cm="1">
        <f t="array" ref="G2">_xlfn._xlws.FILTER('Footprint Trees'!Y2:Y1037, ('Footprint Trees'!P2:P1037=A2)*('Footprint Trees'!Q2:Q1037=B2)*('Footprint Trees'!R2:R1037=C2))</f>
        <v>Callistemon viminalis</v>
      </c>
      <c r="H2" s="88" cm="1">
        <f t="array" ref="H2">SQRT(SUMPRODUCT((('Footprint Trees'!$P$2:$P$1036='Biomass Calcs'!A2)*('Footprint Trees'!$Q$2:$Q$1036='Biomass Calcs'!B2))*('Footprint Trees'!$B$2:$B$1036)^2))</f>
        <v>0.26250847860996457</v>
      </c>
      <c r="I2" s="345" cm="1">
        <f t="array" ref="I2:I82">_xlfn._xlws.FILTER('Footprint Trees'!D2:D1037, 'Footprint Trees'!R2:R1037=1)</f>
        <v>9.8815746307372994</v>
      </c>
      <c r="J2" s="88" cm="1">
        <f t="array" ref="J2">SQRT(SUMPRODUCT((('Footprint Trees'!$P$2:$P$1036='Biomass Calcs'!A2)*('Footprint Trees'!$Q$2:$Q$1036='Biomass Calcs'!B2))*('Footprint Trees'!$E$2:$E$1036)^2))</f>
        <v>0.29537772427859177</v>
      </c>
      <c r="K2" s="345" cm="1">
        <f t="array" ref="K2:K82">_xlfn._xlws.FILTER('Footprint Trees'!F2:F1037, 'Footprint Trees'!R2:R1037=1)</f>
        <v>10.8</v>
      </c>
      <c r="L2" t="s">
        <v>1586</v>
      </c>
      <c r="M2" t="s">
        <v>1587</v>
      </c>
      <c r="N2" s="78" t="s">
        <v>1588</v>
      </c>
      <c r="O2" t="s">
        <v>1589</v>
      </c>
      <c r="P2">
        <v>690</v>
      </c>
      <c r="R2" s="2">
        <f>0.0001967*((J2*100)^(1.951853))*((K2)^(0.664255))*P2</f>
        <v>488.73287215820318</v>
      </c>
      <c r="S2" s="2">
        <f>0.0001967*((H2*100)^(1.951853))*((I2)^(0.664255))*P2</f>
        <v>365.95768706483977</v>
      </c>
      <c r="T2" s="291">
        <v>365.96</v>
      </c>
      <c r="U2" s="641"/>
      <c r="V2" s="655">
        <f>_xlfn.AGGREGATE(9,6,L89:L170)</f>
        <v>36816.97</v>
      </c>
      <c r="W2" s="655">
        <f>_xlfn.AGGREGATE(9,6,M89:M180)</f>
        <v>32661.510000000006</v>
      </c>
      <c r="X2">
        <f>COUNT(B:B)</f>
        <v>81</v>
      </c>
      <c r="Y2">
        <f>MAX(A:A)</f>
        <v>39</v>
      </c>
    </row>
    <row r="3" spans="1:37">
      <c r="A3">
        <v>2</v>
      </c>
      <c r="B3">
        <v>1</v>
      </c>
      <c r="C3" cm="1">
        <f t="array" ref="C3">MAX(IF(('Footprint Trees'!$P$2:$P$1036=A3)*('Footprint Trees'!$Q$2:$Q$1036=B3),'Footprint Trees'!$R$2:$R$1036))</f>
        <v>1</v>
      </c>
      <c r="D3" cm="1">
        <f t="array" ref="D3">_xlfn._xlws.FILTER('Footprint Trees'!S3:S1038, ('Footprint Trees'!P3:P1038=A3)*('Footprint Trees'!Q3:Q1038=B3)*('Footprint Trees'!R3:R1038=C3))</f>
        <v>1</v>
      </c>
      <c r="E3" s="78" t="str">
        <v>2.1.1</v>
      </c>
      <c r="F3" t="str" cm="1">
        <f t="array" ref="F3">_xlfn._xlws.FILTER('Footprint Trees'!X3:X1038, ('Footprint Trees'!P3:P1038=A3)*('Footprint Trees'!Q3:Q1038=B3)*('Footprint Trees'!R3:R1038=C3))</f>
        <v>punk tree / broad-leafed paperbark</v>
      </c>
      <c r="G3" t="str" cm="1">
        <f t="array" ref="G3">_xlfn._xlws.FILTER('Footprint Trees'!Y3:Y1038, ('Footprint Trees'!P3:P1038=A3)*('Footprint Trees'!Q3:Q1038=B3)*('Footprint Trees'!R3:R1038=C3))</f>
        <v>Melaleuca quinquenervia</v>
      </c>
      <c r="H3" s="88" cm="1">
        <f t="array" ref="H3">SQRT(SUMPRODUCT((('Footprint Trees'!$P$2:$P$1036='Biomass Calcs'!A3)*('Footprint Trees'!$Q$2:$Q$1036='Biomass Calcs'!B3))*('Footprint Trees'!$B$2:$B$1036)^2))</f>
        <v>0.17142462468964201</v>
      </c>
      <c r="I3" s="345">
        <v>10.6524505615234</v>
      </c>
      <c r="J3" s="88" cm="1">
        <f t="array" ref="J3">SQRT(SUMPRODUCT((('Footprint Trees'!$P$2:$P$1036='Biomass Calcs'!A3)*('Footprint Trees'!$Q$2:$Q$1036='Biomass Calcs'!B3))*('Footprint Trees'!$E$2:$E$1036)^2))</f>
        <v>0.16699999999999901</v>
      </c>
      <c r="K3" s="345">
        <v>10</v>
      </c>
      <c r="L3" t="s">
        <v>1586</v>
      </c>
      <c r="M3" t="s">
        <v>1590</v>
      </c>
      <c r="N3" s="78" t="s">
        <v>1588</v>
      </c>
      <c r="O3" t="s">
        <v>1591</v>
      </c>
      <c r="P3">
        <v>520</v>
      </c>
      <c r="R3" s="2">
        <f>EXP(-1.83+2.01*LN(J3*100))</f>
        <v>46.015188466267588</v>
      </c>
      <c r="S3" s="2">
        <f>EXP(-1.83+2.01*LN(H3*100))</f>
        <v>48.498493099341609</v>
      </c>
      <c r="T3" s="291">
        <v>48.5</v>
      </c>
      <c r="U3" s="641"/>
      <c r="X3" t="s">
        <v>1592</v>
      </c>
    </row>
    <row r="4" spans="1:37">
      <c r="A4">
        <v>2</v>
      </c>
      <c r="B4">
        <v>2</v>
      </c>
      <c r="C4" cm="1">
        <f t="array" ref="C4">MAX(IF(('Footprint Trees'!$P$2:$P$1036=A4)*('Footprint Trees'!$Q$2:$Q$1036=B4),'Footprint Trees'!$R$2:$R$1036))</f>
        <v>1</v>
      </c>
      <c r="D4" cm="1">
        <f t="array" ref="D4">_xlfn._xlws.FILTER('Footprint Trees'!S4:S1039, ('Footprint Trees'!P4:P1039=A4)*('Footprint Trees'!Q4:Q1039=B4)*('Footprint Trees'!R4:R1039=C4))</f>
        <v>1</v>
      </c>
      <c r="E4" s="78" t="str">
        <v>2.2.1</v>
      </c>
      <c r="F4" t="str" cm="1">
        <f t="array" ref="F4">_xlfn._xlws.FILTER('Footprint Trees'!X4:X1039, ('Footprint Trees'!P4:P1039=A4)*('Footprint Trees'!Q4:Q1039=B4)*('Footprint Trees'!R4:R1039=C4))</f>
        <v>punk tree / broad-leafed paperbark</v>
      </c>
      <c r="G4" t="str" cm="1">
        <f t="array" ref="G4">_xlfn._xlws.FILTER('Footprint Trees'!Y4:Y1039, ('Footprint Trees'!P4:P1039=A4)*('Footprint Trees'!Q4:Q1039=B4)*('Footprint Trees'!R4:R1039=C4))</f>
        <v>Melaleuca quinquenervia</v>
      </c>
      <c r="H4" s="88" cm="1">
        <f t="array" ref="H4">SQRT(SUMPRODUCT((('Footprint Trees'!$P$2:$P$1036='Biomass Calcs'!A4)*('Footprint Trees'!$Q$2:$Q$1036='Biomass Calcs'!B4))*('Footprint Trees'!$B$2:$B$1036)^2))</f>
        <v>0.32065579972712399</v>
      </c>
      <c r="I4" s="345">
        <v>13.2140302658081</v>
      </c>
      <c r="J4" s="88" cm="1">
        <f t="array" ref="J4">SQRT(SUMPRODUCT((('Footprint Trees'!$P$2:$P$1036='Biomass Calcs'!A4)*('Footprint Trees'!$Q$2:$Q$1036='Biomass Calcs'!B4))*('Footprint Trees'!$E$2:$E$1036)^2))</f>
        <v>0.32799999999999901</v>
      </c>
      <c r="K4" s="345">
        <v>13.7</v>
      </c>
      <c r="L4" t="s">
        <v>1586</v>
      </c>
      <c r="M4" t="s">
        <v>1590</v>
      </c>
      <c r="N4" s="78" t="s">
        <v>1500</v>
      </c>
      <c r="O4" t="s">
        <v>1591</v>
      </c>
      <c r="P4">
        <v>520</v>
      </c>
      <c r="R4" s="2">
        <f>EXP(-1.83+2.01*LN(J4*100))</f>
        <v>178.70945236645161</v>
      </c>
      <c r="S4" s="2">
        <f>EXP(-1.83+2.01*LN(H4*100))</f>
        <v>170.75746074896907</v>
      </c>
      <c r="T4" s="291">
        <v>170.76</v>
      </c>
      <c r="U4" s="641"/>
      <c r="X4" t="s">
        <v>1593</v>
      </c>
    </row>
    <row r="5" spans="1:37">
      <c r="A5">
        <v>3</v>
      </c>
      <c r="B5">
        <v>1</v>
      </c>
      <c r="C5" cm="1">
        <f t="array" ref="C5">MAX(IF(('Footprint Trees'!$P$2:$P$1036=A5)*('Footprint Trees'!$Q$2:$Q$1036=B5),'Footprint Trees'!$R$2:$R$1036))</f>
        <v>2</v>
      </c>
      <c r="D5" cm="1">
        <f t="array" ref="D5">_xlfn._xlws.FILTER('Footprint Trees'!S5:S1040, ('Footprint Trees'!P5:P1040=A5)*('Footprint Trees'!Q5:Q1040=B5)*('Footprint Trees'!R5:R1040=C5))</f>
        <v>1</v>
      </c>
      <c r="E5" s="78" t="str">
        <v>3.1.2</v>
      </c>
      <c r="F5" t="str" cm="1">
        <f t="array" ref="F5">_xlfn._xlws.FILTER('Footprint Trees'!X5:X1040, ('Footprint Trees'!P5:P1040=A5)*('Footprint Trees'!Q5:Q1040=B5)*('Footprint Trees'!R5:R1040=C5))</f>
        <v>Australian coral tree</v>
      </c>
      <c r="G5" t="str" cm="1">
        <f t="array" ref="G5">_xlfn._xlws.FILTER('Footprint Trees'!Y5:Y1040, ('Footprint Trees'!P5:P1040=A5)*('Footprint Trees'!Q5:Q1040=B5)*('Footprint Trees'!R5:R1040=C5))</f>
        <v>Erythrina × sykesii</v>
      </c>
      <c r="H5" s="88" cm="1">
        <f t="array" ref="H5">SQRT(SUMPRODUCT((('Footprint Trees'!$P$2:$P$1036='Biomass Calcs'!A5)*('Footprint Trees'!$Q$2:$Q$1036='Biomass Calcs'!B5))*('Footprint Trees'!$B$2:$B$1036)^2))</f>
        <v>0.81144906992620658</v>
      </c>
      <c r="I5" s="345">
        <v>13.1925754547119</v>
      </c>
      <c r="J5" s="88" cm="1">
        <f t="array" ref="J5">SQRT(SUMPRODUCT((('Footprint Trees'!$P$2:$P$1036='Biomass Calcs'!A5)*('Footprint Trees'!$Q$2:$Q$1036='Biomass Calcs'!B5))*('Footprint Trees'!$E$2:$E$1036)^2))</f>
        <v>0.97744565066299216</v>
      </c>
      <c r="K5" s="345">
        <v>13.3</v>
      </c>
      <c r="L5" t="s">
        <v>1594</v>
      </c>
      <c r="M5" t="s">
        <v>1595</v>
      </c>
      <c r="N5" s="78" t="s">
        <v>1588</v>
      </c>
      <c r="O5" t="s">
        <v>1596</v>
      </c>
      <c r="P5">
        <v>260</v>
      </c>
      <c r="R5" s="2">
        <f>0.112*((P5/1000)*((J5*100)^2)*K5)^0.916</f>
        <v>1543.9434506730388</v>
      </c>
      <c r="S5" s="2">
        <f>0.112*((P5/1000)*((H5*100)^2)*I5)^0.916</f>
        <v>1089.7381414282374</v>
      </c>
      <c r="T5" s="291">
        <v>1089.74</v>
      </c>
      <c r="U5" s="641"/>
    </row>
    <row r="6" spans="1:37">
      <c r="A6">
        <v>4</v>
      </c>
      <c r="B6">
        <v>1</v>
      </c>
      <c r="C6" cm="1">
        <f t="array" ref="C6">MAX(IF(('Footprint Trees'!$P$2:$P$1036=A6)*('Footprint Trees'!$Q$2:$Q$1036=B6),'Footprint Trees'!$R$2:$R$1036))</f>
        <v>1</v>
      </c>
      <c r="D6" cm="1">
        <f t="array" ref="D6">_xlfn._xlws.FILTER('Footprint Trees'!S6:S1041, ('Footprint Trees'!P6:P1041=A6)*('Footprint Trees'!Q6:Q1041=B6)*('Footprint Trees'!R6:R1041=C6))</f>
        <v>1</v>
      </c>
      <c r="E6" s="78" t="str">
        <v>4.1.1</v>
      </c>
      <c r="F6" t="str" cm="1">
        <f t="array" ref="F6">_xlfn._xlws.FILTER('Footprint Trees'!X6:X1041, ('Footprint Trees'!P6:P1041=A6)*('Footprint Trees'!Q6:Q1041=B6)*('Footprint Trees'!R6:R1041=C6))</f>
        <v>dawn redwood</v>
      </c>
      <c r="G6" t="str" cm="1">
        <f t="array" ref="G6">_xlfn._xlws.FILTER('Footprint Trees'!Y6:Y1041, ('Footprint Trees'!P6:P1041=A6)*('Footprint Trees'!Q6:Q1041=B6)*('Footprint Trees'!R6:R1041=C6))</f>
        <v>Metasequoia glyptostroboides</v>
      </c>
      <c r="H6" s="141" cm="1">
        <f t="array" ref="H6">SQRT(SUMPRODUCT((('Footprint Trees'!$P$2:$P$1036='Biomass Calcs'!A6)*('Footprint Trees'!$Q$2:$Q$1036='Biomass Calcs'!B6))*('Footprint Trees'!$B$2:$B$1036)^2))</f>
        <v>8.4026724883578E-2</v>
      </c>
      <c r="I6" s="345">
        <v>14.3659677505493</v>
      </c>
      <c r="J6" s="88" cm="1">
        <f t="array" ref="J6">SQRT(SUMPRODUCT((('Footprint Trees'!$P$2:$P$1036='Biomass Calcs'!A6)*('Footprint Trees'!$Q$2:$Q$1036='Biomass Calcs'!B6))*('Footprint Trees'!$E$2:$E$1036)^2))</f>
        <v>0.35699999999999998</v>
      </c>
      <c r="K6" s="345">
        <v>13.9</v>
      </c>
      <c r="L6" t="s">
        <v>1597</v>
      </c>
      <c r="M6" t="s">
        <v>1598</v>
      </c>
      <c r="N6" s="78" t="s">
        <v>1588</v>
      </c>
      <c r="O6" t="s">
        <v>1599</v>
      </c>
      <c r="P6">
        <v>320</v>
      </c>
      <c r="R6" s="2">
        <f>EXP(-2.0336+2.2592*LN(J6*100))</f>
        <v>421.31485829942375</v>
      </c>
      <c r="S6" s="2">
        <f>EXP(-2.0336+2.2592*LN(H6*100))</f>
        <v>16.042151512612001</v>
      </c>
      <c r="T6" s="291">
        <v>16.04</v>
      </c>
      <c r="U6" s="641"/>
      <c r="X6">
        <f>81-16</f>
        <v>65</v>
      </c>
    </row>
    <row r="7" spans="1:37">
      <c r="A7">
        <v>5</v>
      </c>
      <c r="B7">
        <v>1</v>
      </c>
      <c r="C7" cm="1">
        <f t="array" ref="C7">MAX(IF(('Footprint Trees'!$P$2:$P$1036=A7)*('Footprint Trees'!$Q$2:$Q$1036=B7),'Footprint Trees'!$R$2:$R$1036))</f>
        <v>1</v>
      </c>
      <c r="D7" cm="1">
        <f t="array" ref="D7">_xlfn._xlws.FILTER('Footprint Trees'!S7:S1042, ('Footprint Trees'!P7:P1042=A7)*('Footprint Trees'!Q7:Q1042=B7)*('Footprint Trees'!R7:R1042=C7))</f>
        <v>1</v>
      </c>
      <c r="E7" s="78" t="str">
        <v>5.1.1</v>
      </c>
      <c r="F7" t="str" cm="1">
        <f t="array" ref="F7">_xlfn._xlws.FILTER('Footprint Trees'!X7:X1042, ('Footprint Trees'!P7:P1042=A7)*('Footprint Trees'!Q7:Q1042=B7)*('Footprint Trees'!R7:R1042=C7))</f>
        <v>coast redwood</v>
      </c>
      <c r="G7" t="str" cm="1">
        <f t="array" ref="G7">_xlfn._xlws.FILTER('Footprint Trees'!Y7:Y1042, ('Footprint Trees'!P7:P1042=A7)*('Footprint Trees'!Q7:Q1042=B7)*('Footprint Trees'!R7:R1042=C7))</f>
        <v>Sequoia sempervirens</v>
      </c>
      <c r="H7" s="88" cm="1">
        <f t="array" ref="H7">SQRT(SUMPRODUCT((('Footprint Trees'!$P$2:$P$1036='Biomass Calcs'!A7)*('Footprint Trees'!$Q$2:$Q$1036='Biomass Calcs'!B7))*('Footprint Trees'!$B$2:$B$1036)^2))</f>
        <v>0.32580039488486101</v>
      </c>
      <c r="I7" s="345">
        <v>11.0961189270019</v>
      </c>
      <c r="J7" s="88" cm="1">
        <f t="array" ref="J7">SQRT(SUMPRODUCT((('Footprint Trees'!$P$2:$P$1036='Biomass Calcs'!A7)*('Footprint Trees'!$Q$2:$Q$1036='Biomass Calcs'!B7))*('Footprint Trees'!$E$2:$E$1036)^2))</f>
        <v>0.33100000000000002</v>
      </c>
      <c r="K7" s="345">
        <v>10.5</v>
      </c>
      <c r="L7" t="s">
        <v>1597</v>
      </c>
      <c r="M7" t="s">
        <v>1598</v>
      </c>
      <c r="N7" s="78" t="s">
        <v>1588</v>
      </c>
      <c r="O7" t="s">
        <v>1599</v>
      </c>
      <c r="P7">
        <v>360</v>
      </c>
      <c r="R7" s="2">
        <f>EXP(-2.0336+2.2592*LN(J7*100))</f>
        <v>355.15190222965401</v>
      </c>
      <c r="S7" s="2">
        <f>EXP(-2.0336+2.2592*LN(H7*100))</f>
        <v>342.67230878764326</v>
      </c>
      <c r="T7" s="291">
        <v>342.67</v>
      </c>
      <c r="U7" s="641" t="s">
        <v>1600</v>
      </c>
    </row>
    <row r="8" spans="1:37">
      <c r="A8">
        <v>5</v>
      </c>
      <c r="B8">
        <v>2</v>
      </c>
      <c r="C8" cm="1">
        <f t="array" ref="C8">MAX(IF(('Footprint Trees'!$P$2:$P$1036=A8)*('Footprint Trees'!$Q$2:$Q$1036=B8),'Footprint Trees'!$R$2:$R$1036))</f>
        <v>1</v>
      </c>
      <c r="D8" cm="1">
        <f t="array" ref="D8">_xlfn._xlws.FILTER('Footprint Trees'!S8:S1043, ('Footprint Trees'!P8:P1043=A8)*('Footprint Trees'!Q8:Q1043=B8)*('Footprint Trees'!R8:R1043=C8))</f>
        <v>1</v>
      </c>
      <c r="E8" s="78" t="str">
        <v>5.2.1</v>
      </c>
      <c r="F8" t="str" cm="1">
        <f t="array" ref="F8">_xlfn._xlws.FILTER('Footprint Trees'!X8:X1043, ('Footprint Trees'!P8:P1043=A8)*('Footprint Trees'!Q8:Q1043=B8)*('Footprint Trees'!R8:R1043=C8))</f>
        <v>coast redwood</v>
      </c>
      <c r="G8" t="str" cm="1">
        <f t="array" ref="G8">_xlfn._xlws.FILTER('Footprint Trees'!Y8:Y1043, ('Footprint Trees'!P8:P1043=A8)*('Footprint Trees'!Q8:Q1043=B8)*('Footprint Trees'!R8:R1043=C8))</f>
        <v>Sequoia sempervirens</v>
      </c>
      <c r="H8" s="88" cm="1">
        <f t="array" ref="H8">SQRT(SUMPRODUCT((('Footprint Trees'!$P$2:$P$1036='Biomass Calcs'!A8)*('Footprint Trees'!$Q$2:$Q$1036='Biomass Calcs'!B8))*('Footprint Trees'!$B$2:$B$1036)^2))</f>
        <v>0.95415399999999995</v>
      </c>
      <c r="I8" s="345">
        <v>20.15184</v>
      </c>
      <c r="J8" s="88" cm="1">
        <f t="array" ref="J8">SQRT(SUMPRODUCT((('Footprint Trees'!$P$2:$P$1036='Biomass Calcs'!A8)*('Footprint Trees'!$Q$2:$Q$1036='Biomass Calcs'!B8))*('Footprint Trees'!$E$2:$E$1036)^2))</f>
        <v>0.98</v>
      </c>
      <c r="K8" s="345">
        <v>19.5</v>
      </c>
      <c r="L8" t="s">
        <v>1597</v>
      </c>
      <c r="M8" t="s">
        <v>1598</v>
      </c>
      <c r="N8" s="78" t="s">
        <v>1588</v>
      </c>
      <c r="O8" t="s">
        <v>1599</v>
      </c>
      <c r="P8">
        <v>360</v>
      </c>
      <c r="R8" s="2">
        <f>EXP(-2.0336+2.2592*LN(J8*100))</f>
        <v>4124.7410779320535</v>
      </c>
      <c r="S8" s="2">
        <f>EXP(-2.0336+2.2592*LN(H8*100))</f>
        <v>3883.0483744917869</v>
      </c>
      <c r="T8" s="291">
        <v>3883.05</v>
      </c>
      <c r="U8" s="641" t="s">
        <v>1601</v>
      </c>
      <c r="AE8" t="s">
        <v>1602</v>
      </c>
    </row>
    <row r="9" spans="1:37">
      <c r="A9">
        <v>6</v>
      </c>
      <c r="B9">
        <v>1</v>
      </c>
      <c r="C9" cm="1">
        <f t="array" ref="C9">MAX(IF(('Footprint Trees'!$P$2:$P$1036=A9)*('Footprint Trees'!$Q$2:$Q$1036=B9),'Footprint Trees'!$R$2:$R$1036))</f>
        <v>5</v>
      </c>
      <c r="D9" cm="1">
        <f t="array" ref="D9">_xlfn._xlws.FILTER('Footprint Trees'!S9:S1044, ('Footprint Trees'!P9:P1044=A9)*('Footprint Trees'!Q9:Q1044=B9)*('Footprint Trees'!R9:R1044=C9))</f>
        <v>1</v>
      </c>
      <c r="E9" s="78" t="str">
        <v>6.1.5</v>
      </c>
      <c r="F9" t="str" cm="1">
        <f t="array" ref="F9">_xlfn._xlws.FILTER('Footprint Trees'!X9:X1044, ('Footprint Trees'!P9:P1044=A9)*('Footprint Trees'!Q9:Q1044=B9)*('Footprint Trees'!R9:R1044=C9))</f>
        <v>lemon bottlebrush</v>
      </c>
      <c r="G9" t="str" cm="1">
        <f t="array" ref="G9">_xlfn._xlws.FILTER('Footprint Trees'!Y9:Y1044, ('Footprint Trees'!P9:P1044=A9)*('Footprint Trees'!Q9:Q1044=B9)*('Footprint Trees'!R9:R1044=C9))</f>
        <v>callistemon citrinus</v>
      </c>
      <c r="H9" s="88" cm="1">
        <f t="array" ref="H9">SQRT(SUMPRODUCT((('Footprint Trees'!$P$2:$P$1036='Biomass Calcs'!A9)*('Footprint Trees'!$Q$2:$Q$1036='Biomass Calcs'!B9))*('Footprint Trees'!$B$2:$B$1036)^2))</f>
        <v>0.43854785542401187</v>
      </c>
      <c r="I9" s="345">
        <v>5.4205170000000003</v>
      </c>
      <c r="J9" s="88" cm="1">
        <f t="array" ref="J9">SQRT(SUMPRODUCT((('Footprint Trees'!$P$2:$P$1036='Biomass Calcs'!A9)*('Footprint Trees'!$Q$2:$Q$1036='Biomass Calcs'!B9))*('Footprint Trees'!$E$2:$E$1036)^2))</f>
        <v>0.36683000149933209</v>
      </c>
      <c r="K9" s="345">
        <v>5.2</v>
      </c>
      <c r="L9" t="s">
        <v>1586</v>
      </c>
      <c r="M9" t="s">
        <v>1587</v>
      </c>
      <c r="N9" s="78" t="s">
        <v>1588</v>
      </c>
      <c r="O9" t="s">
        <v>1589</v>
      </c>
      <c r="P9">
        <v>690</v>
      </c>
      <c r="R9" s="2">
        <f>0.0001967*((J9*100)^(1.951853))*((K9)^(0.664255))*P9</f>
        <v>459.0581031690885</v>
      </c>
      <c r="S9" s="2">
        <f>0.0001967*((H9*100)^(1.951853))*((I9)^(0.664255))*P9</f>
        <v>668.6817248878998</v>
      </c>
      <c r="T9" s="291">
        <v>668.68</v>
      </c>
      <c r="U9" s="641"/>
    </row>
    <row r="10" spans="1:37">
      <c r="A10">
        <v>7</v>
      </c>
      <c r="B10">
        <v>1</v>
      </c>
      <c r="C10" cm="1">
        <f t="array" ref="C10">MAX(IF(('Footprint Trees'!$P$2:$P$1036=A10)*('Footprint Trees'!$Q$2:$Q$1036=B10),'Footprint Trees'!$R$2:$R$1036))</f>
        <v>1</v>
      </c>
      <c r="D10" cm="1">
        <f t="array" ref="D10">_xlfn._xlws.FILTER('Footprint Trees'!S10:S1045, ('Footprint Trees'!P10:P1045=A10)*('Footprint Trees'!Q10:Q1045=B10)*('Footprint Trees'!R10:R1045=C10))</f>
        <v>1</v>
      </c>
      <c r="E10" s="78" t="str">
        <v>7.1.1</v>
      </c>
      <c r="F10" t="str" cm="1">
        <f t="array" ref="F10">_xlfn._xlws.FILTER('Footprint Trees'!X10:X1045, ('Footprint Trees'!P10:P1045=A10)*('Footprint Trees'!Q10:Q1045=B10)*('Footprint Trees'!R10:R1045=C10))</f>
        <v>acacia</v>
      </c>
      <c r="G10" t="str" cm="1">
        <f t="array" ref="G10">_xlfn._xlws.FILTER('Footprint Trees'!Y10:Y1045, ('Footprint Trees'!P10:P1045=A10)*('Footprint Trees'!Q10:Q1045=B10)*('Footprint Trees'!R10:R1045=C10))</f>
        <v>Acacia boormanii</v>
      </c>
      <c r="H10" s="88" cm="1">
        <f t="array" ref="H10">SQRT(SUMPRODUCT((('Footprint Trees'!$P$2:$P$1036='Biomass Calcs'!A10)*('Footprint Trees'!$Q$2:$Q$1036='Biomass Calcs'!B10))*('Footprint Trees'!$B$2:$B$1036)^2))</f>
        <v>7.5853000000000004E-2</v>
      </c>
      <c r="I10" s="345">
        <v>9.5770389999999992</v>
      </c>
      <c r="J10" s="88" cm="1">
        <f t="array" ref="J10">SQRT(SUMPRODUCT((('Footprint Trees'!$P$2:$P$1036='Biomass Calcs'!A10)*('Footprint Trees'!$Q$2:$Q$1036='Biomass Calcs'!B10))*('Footprint Trees'!$E$2:$E$1036)^2))</f>
        <v>6.2E-2</v>
      </c>
      <c r="K10" s="345">
        <v>8.1999999999999993</v>
      </c>
      <c r="L10" t="s">
        <v>1603</v>
      </c>
      <c r="M10" t="s">
        <v>1604</v>
      </c>
      <c r="N10" s="78" t="s">
        <v>1588</v>
      </c>
      <c r="O10" t="s">
        <v>1605</v>
      </c>
      <c r="P10">
        <v>600</v>
      </c>
      <c r="R10" s="2">
        <f>EXP(-1.59+2.19*LN(J10*100))*1.05</f>
        <v>11.641230080761382</v>
      </c>
      <c r="S10" s="2">
        <f>EXP(-1.59+2.19*LN(H10*100))*1.05</f>
        <v>18.105120572416904</v>
      </c>
      <c r="T10" s="291">
        <v>18.11</v>
      </c>
      <c r="U10" s="641"/>
    </row>
    <row r="11" spans="1:37">
      <c r="A11">
        <v>1</v>
      </c>
      <c r="B11">
        <v>2</v>
      </c>
      <c r="C11" cm="1">
        <f t="array" ref="C11">MAX(IF(('Footprint Trees'!$P$2:$P$1036=A11)*('Footprint Trees'!$Q$2:$Q$1036=B11),'Footprint Trees'!$R$2:$R$1036))</f>
        <v>3</v>
      </c>
      <c r="D11" cm="1">
        <f t="array" ref="D11">_xlfn._xlws.FILTER('Footprint Trees'!S11:S1046, ('Footprint Trees'!P11:P1046=A11)*('Footprint Trees'!Q11:Q1046=B11)*('Footprint Trees'!R11:R1046=C11))</f>
        <v>1</v>
      </c>
      <c r="E11" s="78" t="str">
        <v>1.2.3</v>
      </c>
      <c r="F11" t="str" cm="1">
        <f t="array" ref="F11">_xlfn._xlws.FILTER('Footprint Trees'!X11:X1046, ('Footprint Trees'!P11:P1046=A11)*('Footprint Trees'!Q11:Q1046=B11)*('Footprint Trees'!R11:R1046=C11))</f>
        <v>weeping bottlebrush</v>
      </c>
      <c r="G11" t="str" cm="1">
        <f t="array" ref="G11">_xlfn._xlws.FILTER('Footprint Trees'!Y11:Y1046, ('Footprint Trees'!P11:P1046=A11)*('Footprint Trees'!Q11:Q1046=B11)*('Footprint Trees'!R11:R1046=C11))</f>
        <v>Callistemon viminalis</v>
      </c>
      <c r="H11" s="88" cm="1">
        <f t="array" ref="H11">SQRT(SUMPRODUCT((('Footprint Trees'!$P$2:$P$1036='Biomass Calcs'!A11)*('Footprint Trees'!$Q$2:$Q$1036='Biomass Calcs'!B11))*('Footprint Trees'!$B$2:$B$1036)^2))</f>
        <v>0.14711550019287567</v>
      </c>
      <c r="I11" s="345">
        <v>8.8925149999999995</v>
      </c>
      <c r="J11" s="88" cm="1">
        <f t="array" ref="J11">SQRT(SUMPRODUCT((('Footprint Trees'!$P$2:$P$1036='Biomass Calcs'!A11)*('Footprint Trees'!$Q$2:$Q$1036='Biomass Calcs'!B11))*('Footprint Trees'!$E$2:$E$1036)^2))</f>
        <v>0.15855992558020454</v>
      </c>
      <c r="K11" s="345">
        <v>8.1999999999999993</v>
      </c>
      <c r="L11" t="s">
        <v>1586</v>
      </c>
      <c r="M11" t="s">
        <v>1587</v>
      </c>
      <c r="N11" s="78" t="s">
        <v>1588</v>
      </c>
      <c r="O11" t="s">
        <v>1589</v>
      </c>
      <c r="P11">
        <v>690</v>
      </c>
      <c r="R11" s="2">
        <f>0.0001967*((J11*100)^(1.951853))*((K11)^(0.664255))*P11</f>
        <v>120.85372043870865</v>
      </c>
      <c r="S11" s="2">
        <f>0.0001967*((H11*100)^(1.951853))*((I11)^(0.664255))*P11</f>
        <v>110.19081759618628</v>
      </c>
      <c r="T11" s="291">
        <v>110.19</v>
      </c>
      <c r="U11" s="641" t="s">
        <v>1606</v>
      </c>
    </row>
    <row r="12" spans="1:37">
      <c r="A12">
        <v>8</v>
      </c>
      <c r="B12">
        <v>1</v>
      </c>
      <c r="C12" cm="1">
        <f t="array" ref="C12">MAX(IF(('Footprint Trees'!$P$2:$P$1036=A12)*('Footprint Trees'!$Q$2:$Q$1036=B12),'Footprint Trees'!$R$2:$R$1036))</f>
        <v>1</v>
      </c>
      <c r="D12" cm="1">
        <f t="array" ref="D12">_xlfn._xlws.FILTER('Footprint Trees'!S12:S1047, ('Footprint Trees'!P12:P1047=A12)*('Footprint Trees'!Q12:Q1047=B12)*('Footprint Trees'!R12:R1047=C12))</f>
        <v>1</v>
      </c>
      <c r="E12" s="78" t="str">
        <v>8.1.1</v>
      </c>
      <c r="F12" t="str" cm="1">
        <f t="array" ref="F12">_xlfn._xlws.FILTER('Footprint Trees'!X12:X1047, ('Footprint Trees'!P12:P1047=A12)*('Footprint Trees'!Q12:Q1047=B12)*('Footprint Trees'!R12:R1047=C12))</f>
        <v>bunya bunya</v>
      </c>
      <c r="G12" t="str" cm="1">
        <f t="array" ref="G12">_xlfn._xlws.FILTER('Footprint Trees'!Y12:Y1047, ('Footprint Trees'!P12:P1047=A12)*('Footprint Trees'!Q12:Q1047=B12)*('Footprint Trees'!R12:R1047=C12))</f>
        <v>Araucaria bidwillii</v>
      </c>
      <c r="H12" s="88" cm="1">
        <f t="array" ref="H12">SQRT(SUMPRODUCT((('Footprint Trees'!$P$2:$P$1036='Biomass Calcs'!A12)*('Footprint Trees'!$Q$2:$Q$1036='Biomass Calcs'!B12))*('Footprint Trees'!$B$2:$B$1036)^2))</f>
        <v>9.8658999999999997E-2</v>
      </c>
      <c r="I12" s="345">
        <v>4.456283</v>
      </c>
      <c r="J12" s="88" cm="1">
        <f t="array" ref="J12">SQRT(SUMPRODUCT((('Footprint Trees'!$P$2:$P$1036='Biomass Calcs'!A12)*('Footprint Trees'!$Q$2:$Q$1036='Biomass Calcs'!B12))*('Footprint Trees'!$E$2:$E$1036)^2))</f>
        <v>0.10050000000000001</v>
      </c>
      <c r="K12" s="345">
        <v>4.0999999999999996</v>
      </c>
      <c r="L12" t="s">
        <v>1607</v>
      </c>
      <c r="N12" s="78" t="s">
        <v>1588</v>
      </c>
      <c r="O12" t="s">
        <v>1608</v>
      </c>
      <c r="P12">
        <v>410</v>
      </c>
      <c r="R12" s="2">
        <f>0.0673*((P12/1000)*((J12*100)^2)*K12)^0.976</f>
        <v>10.101766021164115</v>
      </c>
      <c r="S12" s="2">
        <f>0.0673*((P12/1000)*((H12*100)^2)*I12)^0.976</f>
        <v>10.569255135766106</v>
      </c>
      <c r="T12" s="291">
        <v>10.57</v>
      </c>
      <c r="U12" s="641"/>
    </row>
    <row r="13" spans="1:37">
      <c r="A13">
        <v>8</v>
      </c>
      <c r="B13">
        <v>2</v>
      </c>
      <c r="C13" cm="1">
        <f t="array" ref="C13">MAX(IF(('Footprint Trees'!$P$2:$P$1036=A13)*('Footprint Trees'!$Q$2:$Q$1036=B13),'Footprint Trees'!$R$2:$R$1036))</f>
        <v>1</v>
      </c>
      <c r="D13" cm="1">
        <f t="array" ref="D13">_xlfn._xlws.FILTER('Footprint Trees'!S13:S1048, ('Footprint Trees'!P13:P1048=A13)*('Footprint Trees'!Q13:Q1048=B13)*('Footprint Trees'!R13:R1048=C13))</f>
        <v>1</v>
      </c>
      <c r="E13" s="78" t="str">
        <v>8.2.1</v>
      </c>
      <c r="F13" t="str" cm="1">
        <f t="array" ref="F13">_xlfn._xlws.FILTER('Footprint Trees'!X13:X1048, ('Footprint Trees'!P13:P1048=A13)*('Footprint Trees'!Q13:Q1048=B13)*('Footprint Trees'!R13:R1048=C13))</f>
        <v>bunya bunya</v>
      </c>
      <c r="G13" t="str" cm="1">
        <f t="array" ref="G13">_xlfn._xlws.FILTER('Footprint Trees'!Y13:Y1048, ('Footprint Trees'!P13:P1048=A13)*('Footprint Trees'!Q13:Q1048=B13)*('Footprint Trees'!R13:R1048=C13))</f>
        <v>Araucaria bidwillii</v>
      </c>
      <c r="H13" s="88" cm="1">
        <f t="array" ref="H13">SQRT(SUMPRODUCT((('Footprint Trees'!$P$2:$P$1036='Biomass Calcs'!A13)*('Footprint Trees'!$Q$2:$Q$1036='Biomass Calcs'!B13))*('Footprint Trees'!$B$2:$B$1036)^2))</f>
        <v>3.2521000000000001E-2</v>
      </c>
      <c r="I13" s="345">
        <v>4.1664709999999996</v>
      </c>
      <c r="J13" s="88" cm="1">
        <f t="array" ref="J13">SQRT(SUMPRODUCT((('Footprint Trees'!$P$2:$P$1036='Biomass Calcs'!A13)*('Footprint Trees'!$Q$2:$Q$1036='Biomass Calcs'!B13))*('Footprint Trees'!$E$2:$E$1036)^2))</f>
        <v>9.5000000000000001E-2</v>
      </c>
      <c r="K13" s="345">
        <v>4.2</v>
      </c>
      <c r="L13" t="s">
        <v>1607</v>
      </c>
      <c r="N13" s="78" t="s">
        <v>1588</v>
      </c>
      <c r="O13" t="s">
        <v>1608</v>
      </c>
      <c r="P13">
        <v>410</v>
      </c>
      <c r="R13" s="2">
        <f>0.0673*((P13/1000)*((J13*100)^2)*K13)^0.976</f>
        <v>9.2661620991110993</v>
      </c>
      <c r="S13" s="2">
        <f>0.0673*((P13/1000)*((H13*100)^2)*I13)^0.976</f>
        <v>1.134305262688825</v>
      </c>
      <c r="T13" s="291">
        <v>1.1299999999999999</v>
      </c>
      <c r="U13" s="641"/>
      <c r="Z13" s="175" t="s">
        <v>15</v>
      </c>
      <c r="AA13" s="175" t="s">
        <v>1579</v>
      </c>
      <c r="AB13" s="175" t="s">
        <v>1580</v>
      </c>
      <c r="AC13" s="175" t="s">
        <v>1609</v>
      </c>
      <c r="AD13" t="s">
        <v>1610</v>
      </c>
      <c r="AE13" t="s">
        <v>1611</v>
      </c>
      <c r="AF13" t="s">
        <v>1612</v>
      </c>
      <c r="AH13" t="s">
        <v>1613</v>
      </c>
      <c r="AI13" t="s">
        <v>1614</v>
      </c>
      <c r="AJ13" t="s">
        <v>1615</v>
      </c>
      <c r="AK13" t="s">
        <v>1616</v>
      </c>
    </row>
    <row r="14" spans="1:37">
      <c r="A14">
        <v>9</v>
      </c>
      <c r="B14">
        <v>1</v>
      </c>
      <c r="C14" cm="1">
        <f t="array" ref="C14">MAX(IF(('Footprint Trees'!$P$2:$P$1036=A14)*('Footprint Trees'!$Q$2:$Q$1036=B14),'Footprint Trees'!$R$2:$R$1036))</f>
        <v>2</v>
      </c>
      <c r="D14" cm="1">
        <f t="array" ref="D14">_xlfn._xlws.FILTER('Footprint Trees'!S14:S1049, ('Footprint Trees'!P14:P1049=A14)*('Footprint Trees'!Q14:Q1049=B14)*('Footprint Trees'!R14:R1049=C14))</f>
        <v>1</v>
      </c>
      <c r="E14" s="78" t="str">
        <v>9.1.2</v>
      </c>
      <c r="F14" t="str" cm="1">
        <f t="array" ref="F14">_xlfn._xlws.FILTER('Footprint Trees'!X14:X1049, ('Footprint Trees'!P14:P1049=A14)*('Footprint Trees'!Q14:Q1049=B14)*('Footprint Trees'!R14:R1049=C14))</f>
        <v>white bottlebrush</v>
      </c>
      <c r="G14" t="str" cm="1">
        <f t="array" ref="G14">_xlfn._xlws.FILTER('Footprint Trees'!Y14:Y1049, ('Footprint Trees'!P14:P1049=A14)*('Footprint Trees'!Q14:Q1049=B14)*('Footprint Trees'!R14:R1049=C14))</f>
        <v>Banksia integrifolia</v>
      </c>
      <c r="H14" s="88" cm="1">
        <f t="array" ref="H14">SQRT(SUMPRODUCT((('Footprint Trees'!$P$2:$P$1036='Biomass Calcs'!A14)*('Footprint Trees'!$Q$2:$Q$1036='Biomass Calcs'!B14))*('Footprint Trees'!$B$2:$B$1036)^2))</f>
        <v>0.19994032073596363</v>
      </c>
      <c r="I14" s="345">
        <v>12.53917</v>
      </c>
      <c r="J14" s="88" cm="1">
        <f t="array" ref="J14">SQRT(SUMPRODUCT((('Footprint Trees'!$P$2:$P$1036='Biomass Calcs'!A14)*('Footprint Trees'!$Q$2:$Q$1036='Biomass Calcs'!B14))*('Footprint Trees'!$E$2:$E$1036)^2))</f>
        <v>0.21232286735064596</v>
      </c>
      <c r="K14" s="345">
        <v>11.3</v>
      </c>
      <c r="L14" t="s">
        <v>1586</v>
      </c>
      <c r="M14" t="s">
        <v>1587</v>
      </c>
      <c r="N14" s="78" t="s">
        <v>1588</v>
      </c>
      <c r="O14" t="s">
        <v>1589</v>
      </c>
      <c r="P14">
        <v>500</v>
      </c>
      <c r="R14" s="2">
        <f>0.0001967*((J14*100)^(1.951853))*((K14)^(0.664255))*P14</f>
        <v>191.59740087981902</v>
      </c>
      <c r="S14" s="2">
        <f>0.0001967*((H14*100)^(1.951853))*((I14)^(0.664255))*P14</f>
        <v>182.58757375137307</v>
      </c>
      <c r="T14" s="291">
        <v>182.59</v>
      </c>
      <c r="U14" s="641" t="s">
        <v>1606</v>
      </c>
      <c r="Z14">
        <v>1</v>
      </c>
      <c r="AA14" s="655">
        <v>8952.0064674366622</v>
      </c>
      <c r="AB14" s="655">
        <v>8495.7541285827665</v>
      </c>
      <c r="AC14">
        <v>2260.11</v>
      </c>
      <c r="AD14">
        <v>0</v>
      </c>
      <c r="AE14">
        <v>1</v>
      </c>
      <c r="AF14">
        <v>1</v>
      </c>
      <c r="AG14">
        <v>2260.11</v>
      </c>
      <c r="AH14">
        <f>COUNTIF(D:D, "1")</f>
        <v>19</v>
      </c>
      <c r="AI14">
        <v>16</v>
      </c>
      <c r="AJ14">
        <v>20</v>
      </c>
      <c r="AK14">
        <v>13</v>
      </c>
    </row>
    <row r="15" spans="1:37">
      <c r="A15">
        <v>2</v>
      </c>
      <c r="B15">
        <v>3</v>
      </c>
      <c r="C15" cm="1">
        <f t="array" ref="C15">MAX(IF(('Footprint Trees'!$P$2:$P$1036=A15)*('Footprint Trees'!$Q$2:$Q$1036=B15),'Footprint Trees'!$R$2:$R$1036))</f>
        <v>1</v>
      </c>
      <c r="D15" cm="1">
        <f t="array" ref="D15">_xlfn._xlws.FILTER('Footprint Trees'!S15:S1050, ('Footprint Trees'!P15:P1050=A15)*('Footprint Trees'!Q15:Q1050=B15)*('Footprint Trees'!R15:R1050=C15))</f>
        <v>1</v>
      </c>
      <c r="E15" s="78" t="str">
        <v>2.3.1</v>
      </c>
      <c r="F15" t="str" cm="1">
        <f t="array" ref="F15">_xlfn._xlws.FILTER('Footprint Trees'!X15:X1050, ('Footprint Trees'!P15:P1050=A15)*('Footprint Trees'!Q15:Q1050=B15)*('Footprint Trees'!R15:R1050=C15))</f>
        <v>punk tree / broad-leafed paperbark</v>
      </c>
      <c r="G15" t="str" cm="1">
        <f t="array" ref="G15">_xlfn._xlws.FILTER('Footprint Trees'!Y15:Y1050, ('Footprint Trees'!P15:P1050=A15)*('Footprint Trees'!Q15:Q1050=B15)*('Footprint Trees'!R15:R1050=C15))</f>
        <v>Melaleuca quinquenervia</v>
      </c>
      <c r="H15" s="88" cm="1">
        <f t="array" ref="H15">SQRT(SUMPRODUCT((('Footprint Trees'!$P$2:$P$1036='Biomass Calcs'!A15)*('Footprint Trees'!$Q$2:$Q$1036='Biomass Calcs'!B15))*('Footprint Trees'!$B$2:$B$1036)^2))</f>
        <v>0.17761199999999999</v>
      </c>
      <c r="I15" s="345">
        <v>8.4869979999999998</v>
      </c>
      <c r="J15" s="88" cm="1">
        <f t="array" ref="J15">SQRT(SUMPRODUCT((('Footprint Trees'!$P$2:$P$1036='Biomass Calcs'!A15)*('Footprint Trees'!$Q$2:$Q$1036='Biomass Calcs'!B15))*('Footprint Trees'!$E$2:$E$1036)^2))</f>
        <v>0.14899999999999999</v>
      </c>
      <c r="K15" s="345">
        <v>8.3000000000000007</v>
      </c>
      <c r="L15" t="s">
        <v>1586</v>
      </c>
      <c r="M15" t="s">
        <v>1590</v>
      </c>
      <c r="N15" s="78" t="s">
        <v>1500</v>
      </c>
      <c r="O15" t="s">
        <v>1591</v>
      </c>
      <c r="P15">
        <v>520</v>
      </c>
      <c r="R15" s="2">
        <f>EXP(-1.83+2.01*LN(J15*100))</f>
        <v>36.588575176597011</v>
      </c>
      <c r="S15" s="2">
        <f>EXP(-1.83+2.01*LN(H15*100))</f>
        <v>52.081133836970082</v>
      </c>
      <c r="T15" s="291">
        <v>52.08</v>
      </c>
      <c r="U15" s="641"/>
      <c r="Z15">
        <v>2</v>
      </c>
      <c r="AA15" s="655">
        <v>2271.1376230973101</v>
      </c>
      <c r="AB15" s="655">
        <v>2022.1832069298334</v>
      </c>
      <c r="AC15" s="364">
        <v>556.04999999999995</v>
      </c>
      <c r="AD15">
        <v>1</v>
      </c>
      <c r="AE15">
        <v>2</v>
      </c>
      <c r="AF15">
        <v>2</v>
      </c>
      <c r="AG15">
        <v>556.04999999999995</v>
      </c>
      <c r="AH15">
        <f>COUNTIF(D:D, "2")</f>
        <v>9</v>
      </c>
      <c r="AI15">
        <v>6</v>
      </c>
      <c r="AJ15">
        <v>8</v>
      </c>
      <c r="AK15">
        <v>7</v>
      </c>
    </row>
    <row r="16" spans="1:37">
      <c r="A16">
        <v>10</v>
      </c>
      <c r="B16">
        <v>1</v>
      </c>
      <c r="C16" cm="1">
        <f t="array" ref="C16">MAX(IF(('Footprint Trees'!$P$2:$P$1036=A16)*('Footprint Trees'!$Q$2:$Q$1036=B16),'Footprint Trees'!$R$2:$R$1036))</f>
        <v>1</v>
      </c>
      <c r="D16" cm="1">
        <f t="array" ref="D16">_xlfn._xlws.FILTER('Footprint Trees'!S16:S1051, ('Footprint Trees'!P16:P1051=A16)*('Footprint Trees'!Q16:Q1051=B16)*('Footprint Trees'!R16:R1051=C16))</f>
        <v>1</v>
      </c>
      <c r="E16" s="78" t="str">
        <v>10.1.1</v>
      </c>
      <c r="F16" t="str" cm="1">
        <f t="array" ref="F16">_xlfn._xlws.FILTER('Footprint Trees'!X16:X1051, ('Footprint Trees'!P16:P1051=A16)*('Footprint Trees'!Q16:Q1051=B16)*('Footprint Trees'!R16:R1051=C16))</f>
        <v>bald cypress</v>
      </c>
      <c r="G16" t="str" cm="1">
        <f t="array" ref="G16">_xlfn._xlws.FILTER('Footprint Trees'!Y16:Y1051, ('Footprint Trees'!P16:P1051=A16)*('Footprint Trees'!Q16:Q1051=B16)*('Footprint Trees'!R16:R1051=C16))</f>
        <v>Taxodium distichum</v>
      </c>
      <c r="H16" s="88" cm="1">
        <f t="array" ref="H16">SQRT(SUMPRODUCT((('Footprint Trees'!$P$2:$P$1036='Biomass Calcs'!A16)*('Footprint Trees'!$Q$2:$Q$1036='Biomass Calcs'!B16))*('Footprint Trees'!$B$2:$B$1036)^2))</f>
        <v>8.6301000000000003E-2</v>
      </c>
      <c r="I16" s="345">
        <v>6.6151340000000003</v>
      </c>
      <c r="J16" s="88" cm="1">
        <f t="array" ref="J16">SQRT(SUMPRODUCT((('Footprint Trees'!$P$2:$P$1036='Biomass Calcs'!A16)*('Footprint Trees'!$Q$2:$Q$1036='Biomass Calcs'!B16))*('Footprint Trees'!$E$2:$E$1036)^2))</f>
        <v>0.104</v>
      </c>
      <c r="K16" s="345">
        <v>6.2</v>
      </c>
      <c r="L16" t="s">
        <v>1597</v>
      </c>
      <c r="M16" t="s">
        <v>1598</v>
      </c>
      <c r="N16" s="78" t="s">
        <v>1588</v>
      </c>
      <c r="O16" t="s">
        <v>1599</v>
      </c>
      <c r="P16">
        <v>410</v>
      </c>
      <c r="R16" s="2">
        <f>EXP(-2.0336+2.2592*LN(J16*100))</f>
        <v>25.97170502732904</v>
      </c>
      <c r="S16" s="2">
        <f>EXP(-2.0336+2.2592*LN(H16*100))</f>
        <v>17.039847370094773</v>
      </c>
      <c r="T16" s="291">
        <v>17.04</v>
      </c>
      <c r="U16" s="641" t="s">
        <v>1600</v>
      </c>
      <c r="Z16">
        <v>3</v>
      </c>
      <c r="AA16" s="655">
        <v>6971.2548773263752</v>
      </c>
      <c r="AB16" s="655">
        <v>6239.4159427885606</v>
      </c>
      <c r="AC16">
        <v>2394.56</v>
      </c>
      <c r="AD16">
        <v>0</v>
      </c>
      <c r="AE16">
        <v>3</v>
      </c>
      <c r="AF16">
        <v>3</v>
      </c>
      <c r="AG16">
        <v>2394.56</v>
      </c>
      <c r="AH16">
        <f>COUNTIF(D:D, "3")</f>
        <v>6</v>
      </c>
      <c r="AI16">
        <v>5</v>
      </c>
      <c r="AJ16">
        <v>13</v>
      </c>
      <c r="AK16">
        <v>11</v>
      </c>
    </row>
    <row r="17" spans="1:37">
      <c r="A17">
        <v>5</v>
      </c>
      <c r="B17">
        <v>3</v>
      </c>
      <c r="C17" cm="1">
        <f t="array" ref="C17">MAX(IF(('Footprint Trees'!$P$2:$P$1036=A17)*('Footprint Trees'!$Q$2:$Q$1036=B17),'Footprint Trees'!$R$2:$R$1036))</f>
        <v>1</v>
      </c>
      <c r="D17" cm="1">
        <f t="array" ref="D17">_xlfn._xlws.FILTER('Footprint Trees'!S17:S1052, ('Footprint Trees'!P17:P1052=A17)*('Footprint Trees'!Q17:Q1052=B17)*('Footprint Trees'!R17:R1052=C17))</f>
        <v>1</v>
      </c>
      <c r="E17" s="78" t="str">
        <v>5.3.1</v>
      </c>
      <c r="F17" t="str" cm="1">
        <f t="array" ref="F17">_xlfn._xlws.FILTER('Footprint Trees'!X17:X1052, ('Footprint Trees'!P17:P1052=A17)*('Footprint Trees'!Q17:Q1052=B17)*('Footprint Trees'!R17:R1052=C17))</f>
        <v>coast redwood</v>
      </c>
      <c r="G17" t="str" cm="1">
        <f t="array" ref="G17">_xlfn._xlws.FILTER('Footprint Trees'!Y17:Y1052, ('Footprint Trees'!P17:P1052=A17)*('Footprint Trees'!Q17:Q1052=B17)*('Footprint Trees'!R17:R1052=C17))</f>
        <v>Sequoia sempervirens</v>
      </c>
      <c r="H17" s="88" cm="1">
        <f t="array" ref="H17">SQRT(SUMPRODUCT((('Footprint Trees'!$P$2:$P$1036='Biomass Calcs'!A17)*('Footprint Trees'!$Q$2:$Q$1036='Biomass Calcs'!B17))*('Footprint Trees'!$B$2:$B$1036)^2))</f>
        <v>0.31379400000000002</v>
      </c>
      <c r="I17" s="345">
        <v>10.370570000000001</v>
      </c>
      <c r="J17" s="88" cm="1">
        <f t="array" ref="J17">SQRT(SUMPRODUCT((('Footprint Trees'!$P$2:$P$1036='Biomass Calcs'!A17)*('Footprint Trees'!$Q$2:$Q$1036='Biomass Calcs'!B17))*('Footprint Trees'!$E$2:$E$1036)^2))</f>
        <v>0.33700000000000002</v>
      </c>
      <c r="K17" s="345">
        <v>10.5</v>
      </c>
      <c r="L17" t="s">
        <v>1597</v>
      </c>
      <c r="M17" t="s">
        <v>1598</v>
      </c>
      <c r="N17" s="78" t="s">
        <v>1588</v>
      </c>
      <c r="O17" t="s">
        <v>1599</v>
      </c>
      <c r="P17">
        <v>360</v>
      </c>
      <c r="R17" s="2">
        <f>EXP(-2.0336+2.2592*LN(J17*100))</f>
        <v>369.86242573593955</v>
      </c>
      <c r="S17" s="2">
        <f>EXP(-2.0336+2.2592*LN(H17*100))</f>
        <v>314.80259346348782</v>
      </c>
      <c r="T17" s="291">
        <v>314.8</v>
      </c>
      <c r="U17" s="641" t="s">
        <v>1600</v>
      </c>
      <c r="Z17">
        <v>4</v>
      </c>
      <c r="AA17" s="655">
        <v>8611.5243154588879</v>
      </c>
      <c r="AB17" s="655">
        <v>7706.338304242634</v>
      </c>
      <c r="AC17">
        <v>647.99</v>
      </c>
      <c r="AD17">
        <v>0</v>
      </c>
      <c r="AE17">
        <v>4</v>
      </c>
      <c r="AF17">
        <v>4</v>
      </c>
      <c r="AG17">
        <v>647.99</v>
      </c>
      <c r="AH17">
        <f>COUNTIF(D:D, "4")</f>
        <v>24</v>
      </c>
      <c r="AI17">
        <v>20</v>
      </c>
      <c r="AJ17">
        <v>15</v>
      </c>
      <c r="AK17">
        <v>12</v>
      </c>
    </row>
    <row r="18" spans="1:37">
      <c r="A18">
        <v>5</v>
      </c>
      <c r="B18">
        <v>4</v>
      </c>
      <c r="C18" cm="1">
        <f t="array" ref="C18">MAX(IF(('Footprint Trees'!$P$2:$P$1036=A18)*('Footprint Trees'!$Q$2:$Q$1036=B18),'Footprint Trees'!$R$2:$R$1036))</f>
        <v>1</v>
      </c>
      <c r="D18" cm="1">
        <f t="array" ref="D18">_xlfn._xlws.FILTER('Footprint Trees'!S18:S1053, ('Footprint Trees'!P18:P1053=A18)*('Footprint Trees'!Q18:Q1053=B18)*('Footprint Trees'!R18:R1053=C18))</f>
        <v>1</v>
      </c>
      <c r="E18" s="78" t="str">
        <v>5.4.1</v>
      </c>
      <c r="F18" t="str" cm="1">
        <f t="array" ref="F18">_xlfn._xlws.FILTER('Footprint Trees'!X18:X1053, ('Footprint Trees'!P18:P1053=A18)*('Footprint Trees'!Q18:Q1053=B18)*('Footprint Trees'!R18:R1053=C18))</f>
        <v>coast redwood</v>
      </c>
      <c r="G18" t="str" cm="1">
        <f t="array" ref="G18">_xlfn._xlws.FILTER('Footprint Trees'!Y18:Y1053, ('Footprint Trees'!P18:P1053=A18)*('Footprint Trees'!Q18:Q1053=B18)*('Footprint Trees'!R18:R1053=C18))</f>
        <v>Sequoia sempervirens</v>
      </c>
      <c r="H18" s="88" cm="1">
        <f t="array" ref="H18">SQRT(SUMPRODUCT((('Footprint Trees'!$P$2:$P$1036='Biomass Calcs'!A18)*('Footprint Trees'!$Q$2:$Q$1036='Biomass Calcs'!B18))*('Footprint Trees'!$B$2:$B$1036)^2))</f>
        <v>0.26653300000000002</v>
      </c>
      <c r="I18" s="345">
        <v>10.902290000000001</v>
      </c>
      <c r="J18" s="88" cm="1">
        <f t="array" ref="J18">SQRT(SUMPRODUCT((('Footprint Trees'!$P$2:$P$1036='Biomass Calcs'!A18)*('Footprint Trees'!$Q$2:$Q$1036='Biomass Calcs'!B18))*('Footprint Trees'!$E$2:$E$1036)^2))</f>
        <v>0.31900000000000001</v>
      </c>
      <c r="K18" s="345">
        <v>9.6</v>
      </c>
      <c r="L18" t="s">
        <v>1597</v>
      </c>
      <c r="M18" t="s">
        <v>1598</v>
      </c>
      <c r="N18" s="78" t="s">
        <v>1588</v>
      </c>
      <c r="O18" t="s">
        <v>1599</v>
      </c>
      <c r="P18">
        <v>360</v>
      </c>
      <c r="R18" s="2">
        <f>EXP(-2.0336+2.2592*LN(J18*100))</f>
        <v>326.72521525835225</v>
      </c>
      <c r="S18" s="2">
        <f>EXP(-2.0336+2.2592*LN(H18*100))</f>
        <v>217.70849358904761</v>
      </c>
      <c r="T18" s="291">
        <v>217.71</v>
      </c>
      <c r="U18" s="641" t="s">
        <v>1600</v>
      </c>
      <c r="Z18">
        <v>5</v>
      </c>
      <c r="AA18" s="655">
        <v>2130.4212381130842</v>
      </c>
      <c r="AB18" s="655">
        <v>2034.0708372261806</v>
      </c>
      <c r="AC18" s="364">
        <v>1604.76</v>
      </c>
      <c r="AD18">
        <v>1</v>
      </c>
      <c r="AE18">
        <v>6</v>
      </c>
      <c r="AF18">
        <v>5</v>
      </c>
      <c r="AG18">
        <v>1604.76</v>
      </c>
      <c r="AH18">
        <f>COUNTIF(D:D, "5")</f>
        <v>10</v>
      </c>
      <c r="AI18">
        <v>9</v>
      </c>
      <c r="AJ18">
        <v>22</v>
      </c>
      <c r="AK18">
        <v>16</v>
      </c>
    </row>
    <row r="19" spans="1:37">
      <c r="A19">
        <v>5</v>
      </c>
      <c r="B19">
        <v>5</v>
      </c>
      <c r="C19" cm="1">
        <f t="array" ref="C19">MAX(IF(('Footprint Trees'!$P$2:$P$1036=A19)*('Footprint Trees'!$Q$2:$Q$1036=B19),'Footprint Trees'!$R$2:$R$1036))</f>
        <v>1</v>
      </c>
      <c r="D19" cm="1">
        <f t="array" ref="D19">_xlfn._xlws.FILTER('Footprint Trees'!S19:S1054, ('Footprint Trees'!P19:P1054=A19)*('Footprint Trees'!Q19:Q1054=B19)*('Footprint Trees'!R19:R1054=C19))</f>
        <v>1</v>
      </c>
      <c r="E19" s="78" t="str">
        <v>5.5.1</v>
      </c>
      <c r="F19" t="str" cm="1">
        <f t="array" ref="F19">_xlfn._xlws.FILTER('Footprint Trees'!X19:X1054, ('Footprint Trees'!P19:P1054=A19)*('Footprint Trees'!Q19:Q1054=B19)*('Footprint Trees'!R19:R1054=C19))</f>
        <v>coast redwood</v>
      </c>
      <c r="G19" t="str" cm="1">
        <f t="array" ref="G19">_xlfn._xlws.FILTER('Footprint Trees'!Y19:Y1054, ('Footprint Trees'!P19:P1054=A19)*('Footprint Trees'!Q19:Q1054=B19)*('Footprint Trees'!R19:R1054=C19))</f>
        <v>Sequoia sempervirens</v>
      </c>
      <c r="H19" s="88" cm="1">
        <f t="array" ref="H19">SQRT(SUMPRODUCT((('Footprint Trees'!$P$2:$P$1036='Biomass Calcs'!A19)*('Footprint Trees'!$Q$2:$Q$1036='Biomass Calcs'!B19))*('Footprint Trees'!$B$2:$B$1036)^2))</f>
        <v>0.52017199999999997</v>
      </c>
      <c r="I19" s="345">
        <v>8.0154589999999999</v>
      </c>
      <c r="J19" s="88" cm="1">
        <f t="array" ref="J19">SQRT(SUMPRODUCT((('Footprint Trees'!$P$2:$P$1036='Biomass Calcs'!A19)*('Footprint Trees'!$Q$2:$Q$1036='Biomass Calcs'!B19))*('Footprint Trees'!$E$2:$E$1036)^2))</f>
        <v>0.27400000000000002</v>
      </c>
      <c r="K19" s="345">
        <v>7.7</v>
      </c>
      <c r="L19" t="s">
        <v>1597</v>
      </c>
      <c r="M19" t="s">
        <v>1598</v>
      </c>
      <c r="N19" s="78" t="s">
        <v>1588</v>
      </c>
      <c r="O19" t="s">
        <v>1599</v>
      </c>
      <c r="P19">
        <v>360</v>
      </c>
      <c r="R19" s="2">
        <f>EXP(-2.0336+2.2592*LN(J19*100))</f>
        <v>231.73136142469897</v>
      </c>
      <c r="S19" s="2">
        <f>EXP(-2.0336+2.2592*LN(H19*100))</f>
        <v>986.13864598340479</v>
      </c>
      <c r="T19" s="291">
        <v>986.14</v>
      </c>
      <c r="U19" s="641" t="s">
        <v>1600</v>
      </c>
      <c r="Z19">
        <v>6</v>
      </c>
      <c r="AA19" s="655">
        <v>8166.7496524244252</v>
      </c>
      <c r="AB19" s="655">
        <v>6557.4419466969703</v>
      </c>
      <c r="AC19">
        <v>3858.69</v>
      </c>
      <c r="AD19">
        <v>0</v>
      </c>
      <c r="AE19">
        <v>5</v>
      </c>
      <c r="AF19">
        <v>6</v>
      </c>
      <c r="AG19">
        <v>3858.69</v>
      </c>
      <c r="AH19">
        <f>COUNTIF(D:D, "6")</f>
        <v>12</v>
      </c>
      <c r="AI19">
        <v>10</v>
      </c>
      <c r="AJ19">
        <v>12</v>
      </c>
      <c r="AK19">
        <v>10</v>
      </c>
    </row>
    <row r="20" spans="1:37" s="175" customFormat="1">
      <c r="A20" s="175">
        <v>11</v>
      </c>
      <c r="B20" s="175">
        <v>1</v>
      </c>
      <c r="C20" s="175" cm="1">
        <f t="array" ref="C20">MAX(IF(('Footprint Trees'!$P$2:$P$1036=A20)*('Footprint Trees'!$Q$2:$Q$1036=B20),'Footprint Trees'!$R$2:$R$1036))</f>
        <v>1</v>
      </c>
      <c r="D20" s="175" cm="1">
        <f t="array" ref="D20">_xlfn._xlws.FILTER('Footprint Trees'!S20:S1055, ('Footprint Trees'!P20:P1055=A20)*('Footprint Trees'!Q20:Q1055=B20)*('Footprint Trees'!R20:R1055=C20))</f>
        <v>1</v>
      </c>
      <c r="E20" s="344" t="str">
        <v>11.1.1</v>
      </c>
      <c r="F20" s="175" t="str" cm="1">
        <f t="array" ref="F20">_xlfn._xlws.FILTER('Footprint Trees'!X20:X1055, ('Footprint Trees'!P20:P1055=A20)*('Footprint Trees'!Q20:Q1055=B20)*('Footprint Trees'!R20:R1055=C20))</f>
        <v>acacia?</v>
      </c>
      <c r="G20" s="175" t="str" cm="1">
        <f t="array" ref="G20">_xlfn._xlws.FILTER('Footprint Trees'!Y20:Y1055, ('Footprint Trees'!P20:P1055=A20)*('Footprint Trees'!Q20:Q1055=B20)*('Footprint Trees'!R20:R1055=C20))</f>
        <v>spec. unk</v>
      </c>
      <c r="H20" s="354" cm="1">
        <f t="array" ref="H20">SQRT(SUMPRODUCT((('Footprint Trees'!$P$2:$P$1036='Biomass Calcs'!A20)*('Footprint Trees'!$Q$2:$Q$1036='Biomass Calcs'!B20))*('Footprint Trees'!$B$2:$B$1036)^2))</f>
        <v>0</v>
      </c>
      <c r="I20" s="356">
        <v>0</v>
      </c>
      <c r="J20" s="354" cm="1">
        <f t="array" ref="J20">SQRT(SUMPRODUCT((('Footprint Trees'!$P$2:$P$1036='Biomass Calcs'!A20)*('Footprint Trees'!$Q$2:$Q$1036='Biomass Calcs'!B20))*('Footprint Trees'!$E$2:$E$1036)^2))</f>
        <v>0</v>
      </c>
      <c r="K20" s="356">
        <v>0</v>
      </c>
      <c r="L20" s="175" t="s">
        <v>1597</v>
      </c>
      <c r="M20" s="175" t="s">
        <v>1598</v>
      </c>
      <c r="N20" s="344" t="s">
        <v>1588</v>
      </c>
      <c r="O20" s="175" t="s">
        <v>1599</v>
      </c>
      <c r="P20" s="175">
        <v>360</v>
      </c>
      <c r="Q20" s="344"/>
      <c r="S20" s="640"/>
      <c r="T20" s="663">
        <v>1</v>
      </c>
      <c r="U20" s="648" t="s">
        <v>1617</v>
      </c>
      <c r="V20" s="656" cm="1">
        <f t="array" ref="V20">SUMPRODUCT(($D$2:$D$82=1)*IFERROR($R$2:$R$82,0))</f>
        <v>8952.0064674366622</v>
      </c>
      <c r="W20" s="656" cm="1">
        <f t="array" ref="W20">SUMPRODUCT(($D$2:$D$1000=1)*IFERROR($S$2:$S$1000,0))</f>
        <v>8495.7541285827665</v>
      </c>
    </row>
    <row r="21" spans="1:37">
      <c r="A21">
        <v>5</v>
      </c>
      <c r="B21">
        <v>6</v>
      </c>
      <c r="C21" cm="1">
        <f t="array" ref="C21">MAX(IF(('Footprint Trees'!$P$2:$P$1036=A21)*('Footprint Trees'!$Q$2:$Q$1036=B21),'Footprint Trees'!$R$2:$R$1036))</f>
        <v>1</v>
      </c>
      <c r="D21" cm="1">
        <f t="array" ref="D21">_xlfn._xlws.FILTER('Footprint Trees'!S21:S1056, ('Footprint Trees'!P21:P1056=A21)*('Footprint Trees'!Q21:Q1056=B21)*('Footprint Trees'!R21:R1056=C21))</f>
        <v>2</v>
      </c>
      <c r="E21" s="78" t="str">
        <v>5.6.1</v>
      </c>
      <c r="F21" t="str" cm="1">
        <f t="array" ref="F21">_xlfn._xlws.FILTER('Footprint Trees'!X21:X1056, ('Footprint Trees'!P21:P1056=A21)*('Footprint Trees'!Q21:Q1056=B21)*('Footprint Trees'!R21:R1056=C21))</f>
        <v>coast redwood</v>
      </c>
      <c r="G21" t="str" cm="1">
        <f t="array" ref="G21">_xlfn._xlws.FILTER('Footprint Trees'!Y21:Y1056, ('Footprint Trees'!P21:P1056=A21)*('Footprint Trees'!Q21:Q1056=B21)*('Footprint Trees'!R21:R1056=C21))</f>
        <v>Sequoia sempervirens</v>
      </c>
      <c r="H21" s="88" cm="1">
        <f t="array" ref="H21">SQRT(SUMPRODUCT((('Footprint Trees'!$P$2:$P$1036='Biomass Calcs'!A21)*('Footprint Trees'!$Q$2:$Q$1036='Biomass Calcs'!B21))*('Footprint Trees'!$B$2:$B$1036)^2))</f>
        <v>0.50263159058756701</v>
      </c>
      <c r="I21" s="345">
        <v>16.0622043609619</v>
      </c>
      <c r="J21" s="88" cm="1">
        <f t="array" ref="J21">SQRT(SUMPRODUCT((('Footprint Trees'!$P$2:$P$1036='Biomass Calcs'!A21)*('Footprint Trees'!$Q$2:$Q$1036='Biomass Calcs'!B21))*('Footprint Trees'!$E$2:$E$1036)^2))</f>
        <v>0.54</v>
      </c>
      <c r="K21" s="345">
        <v>15</v>
      </c>
      <c r="L21" t="s">
        <v>1597</v>
      </c>
      <c r="M21" t="s">
        <v>1598</v>
      </c>
      <c r="N21" s="78" t="s">
        <v>1588</v>
      </c>
      <c r="O21" t="s">
        <v>1599</v>
      </c>
      <c r="P21">
        <v>360</v>
      </c>
      <c r="R21" s="2">
        <f>EXP(-2.0336+2.2592*LN(J21*100))</f>
        <v>1073.1062487491661</v>
      </c>
      <c r="S21" s="2">
        <f>EXP(-2.0336+2.2592*LN(H21*100))</f>
        <v>912.60374395615872</v>
      </c>
      <c r="T21" s="291">
        <v>912.6</v>
      </c>
      <c r="U21" s="641" t="s">
        <v>1600</v>
      </c>
    </row>
    <row r="22" spans="1:37">
      <c r="A22">
        <v>5</v>
      </c>
      <c r="B22">
        <v>7</v>
      </c>
      <c r="C22" cm="1">
        <f t="array" ref="C22">MAX(IF(('Footprint Trees'!$P$2:$P$1036=A22)*('Footprint Trees'!$Q$2:$Q$1036=B22),'Footprint Trees'!$R$2:$R$1036))</f>
        <v>1</v>
      </c>
      <c r="D22" cm="1">
        <f t="array" ref="D22">_xlfn._xlws.FILTER('Footprint Trees'!S22:S1057, ('Footprint Trees'!P22:P1057=A22)*('Footprint Trees'!Q22:Q1057=B22)*('Footprint Trees'!R22:R1057=C22))</f>
        <v>2</v>
      </c>
      <c r="E22" s="78" t="str">
        <v>5.7.1</v>
      </c>
      <c r="F22" t="str" cm="1">
        <f t="array" ref="F22">_xlfn._xlws.FILTER('Footprint Trees'!X22:X1057, ('Footprint Trees'!P22:P1057=A22)*('Footprint Trees'!Q22:Q1057=B22)*('Footprint Trees'!R22:R1057=C22))</f>
        <v>coast redwood</v>
      </c>
      <c r="G22" t="str" cm="1">
        <f t="array" ref="G22">_xlfn._xlws.FILTER('Footprint Trees'!Y22:Y1057, ('Footprint Trees'!P22:P1057=A22)*('Footprint Trees'!Q22:Q1057=B22)*('Footprint Trees'!R22:R1057=C22))</f>
        <v>Sequoia sempervirens</v>
      </c>
      <c r="H22" s="88" cm="1">
        <f t="array" ref="H22">SQRT(SUMPRODUCT((('Footprint Trees'!$P$2:$P$1036='Biomass Calcs'!A22)*('Footprint Trees'!$Q$2:$Q$1036='Biomass Calcs'!B22))*('Footprint Trees'!$B$2:$B$1036)^2))</f>
        <v>0.39947534756974001</v>
      </c>
      <c r="I22" s="345">
        <v>14.0765838623046</v>
      </c>
      <c r="J22" s="88" cm="1">
        <f t="array" ref="J22">SQRT(SUMPRODUCT((('Footprint Trees'!$P$2:$P$1036='Biomass Calcs'!A22)*('Footprint Trees'!$Q$2:$Q$1036='Biomass Calcs'!B22))*('Footprint Trees'!$E$2:$E$1036)^2))</f>
        <v>0.41099999999999998</v>
      </c>
      <c r="K22" s="345">
        <v>13.7</v>
      </c>
      <c r="L22" t="s">
        <v>1597</v>
      </c>
      <c r="M22" t="s">
        <v>1598</v>
      </c>
      <c r="N22" s="78" t="s">
        <v>1588</v>
      </c>
      <c r="O22" t="s">
        <v>1599</v>
      </c>
      <c r="P22">
        <v>360</v>
      </c>
      <c r="R22" s="2">
        <f>EXP(-2.0336+2.2592*LN(J22*100))</f>
        <v>579.17550442759568</v>
      </c>
      <c r="S22" s="2">
        <f>EXP(-2.0336+2.2592*LN(H22*100))</f>
        <v>543.13140063041305</v>
      </c>
      <c r="T22" s="291">
        <v>543.13</v>
      </c>
      <c r="U22" s="641" t="s">
        <v>1600</v>
      </c>
    </row>
    <row r="23" spans="1:37">
      <c r="A23">
        <v>12</v>
      </c>
      <c r="B23">
        <v>1</v>
      </c>
      <c r="C23" cm="1">
        <f t="array" ref="C23">MAX(IF(('Footprint Trees'!$P$2:$P$1036=A23)*('Footprint Trees'!$Q$2:$Q$1036=B23),'Footprint Trees'!$R$2:$R$1036))</f>
        <v>1</v>
      </c>
      <c r="D23" cm="1">
        <f t="array" ref="D23">_xlfn._xlws.FILTER('Footprint Trees'!S23:S1058, ('Footprint Trees'!P23:P1058=A23)*('Footprint Trees'!Q23:Q1058=B23)*('Footprint Trees'!R23:R1058=C23))</f>
        <v>2</v>
      </c>
      <c r="E23" s="78" t="str">
        <v>12.1.1</v>
      </c>
      <c r="F23" t="str" cm="1">
        <f t="array" ref="F23">_xlfn._xlws.FILTER('Footprint Trees'!X23:X1058, ('Footprint Trees'!P23:P1058=A23)*('Footprint Trees'!Q23:Q1058=B23)*('Footprint Trees'!R23:R1058=C23))</f>
        <v>filoli redwood</v>
      </c>
      <c r="G23" t="str" cm="1">
        <f t="array" ref="G23">_xlfn._xlws.FILTER('Footprint Trees'!Y23:Y1058, ('Footprint Trees'!P23:P1058=A23)*('Footprint Trees'!Q23:Q1058=B23)*('Footprint Trees'!R23:R1058=C23))</f>
        <v>sequoia sempervirens 'filoli'</v>
      </c>
      <c r="H23" s="88" cm="1">
        <f t="array" ref="H23">SQRT(SUMPRODUCT((('Footprint Trees'!$P$2:$P$1036='Biomass Calcs'!A23)*('Footprint Trees'!$Q$2:$Q$1036='Biomass Calcs'!B23))*('Footprint Trees'!$B$2:$B$1036)^2))</f>
        <v>0.290196681076764</v>
      </c>
      <c r="I23" s="345">
        <v>12.2070198059082</v>
      </c>
      <c r="J23" s="88" cm="1">
        <f t="array" ref="J23">SQRT(SUMPRODUCT((('Footprint Trees'!$P$2:$P$1036='Biomass Calcs'!A23)*('Footprint Trees'!$Q$2:$Q$1036='Biomass Calcs'!B23))*('Footprint Trees'!$E$2:$E$1036)^2))</f>
        <v>0.318</v>
      </c>
      <c r="K23" s="345">
        <v>12.2</v>
      </c>
      <c r="L23" t="s">
        <v>1597</v>
      </c>
      <c r="M23" t="s">
        <v>1598</v>
      </c>
      <c r="N23" s="78" t="s">
        <v>1588</v>
      </c>
      <c r="O23" t="s">
        <v>1599</v>
      </c>
      <c r="P23">
        <v>360</v>
      </c>
      <c r="R23" s="2">
        <f>EXP(-2.0336+2.2592*LN(J23*100))</f>
        <v>324.41586992054607</v>
      </c>
      <c r="S23" s="2">
        <f>EXP(-2.0336+2.2592*LN(H23*100))</f>
        <v>263.83566629376213</v>
      </c>
      <c r="T23" s="291">
        <v>263.83999999999997</v>
      </c>
      <c r="U23" s="641" t="s">
        <v>1600</v>
      </c>
    </row>
    <row r="24" spans="1:37">
      <c r="A24">
        <v>13</v>
      </c>
      <c r="B24">
        <v>1</v>
      </c>
      <c r="C24" cm="1">
        <f t="array" ref="C24">MAX(IF(('Footprint Trees'!$P$2:$P$1036=A24)*('Footprint Trees'!$Q$2:$Q$1036=B24),'Footprint Trees'!$R$2:$R$1036))</f>
        <v>1</v>
      </c>
      <c r="D24" cm="1">
        <f t="array" ref="D24">_xlfn._xlws.FILTER('Footprint Trees'!S24:S1059, ('Footprint Trees'!P24:P1059=A24)*('Footprint Trees'!Q24:Q1059=B24)*('Footprint Trees'!R24:R1059=C24))</f>
        <v>2</v>
      </c>
      <c r="E24" s="78" t="str">
        <v>13.1.1</v>
      </c>
      <c r="F24" t="str" cm="1">
        <f t="array" ref="F24">_xlfn._xlws.FILTER('Footprint Trees'!X24:X1059, ('Footprint Trees'!P24:P1059=A24)*('Footprint Trees'!Q24:Q1059=B24)*('Footprint Trees'!R24:R1059=C24))</f>
        <v>MEXICAN BLUE PALM</v>
      </c>
      <c r="G24" t="str" cm="1">
        <f t="array" ref="G24">_xlfn._xlws.FILTER('Footprint Trees'!Y24:Y1059, ('Footprint Trees'!P24:P1059=A24)*('Footprint Trees'!Q24:Q1059=B24)*('Footprint Trees'!R24:R1059=C24))</f>
        <v>Coccothrinax argentata</v>
      </c>
      <c r="H24" s="88" cm="1">
        <f t="array" ref="H24">SQRT(SUMPRODUCT((('Footprint Trees'!$P$2:$P$1036='Biomass Calcs'!A24)*('Footprint Trees'!$Q$2:$Q$1036='Biomass Calcs'!B24))*('Footprint Trees'!$B$2:$B$1036)^2))</f>
        <v>0.57481053796556703</v>
      </c>
      <c r="I24" s="345">
        <v>4.4393973350524902</v>
      </c>
      <c r="J24" s="88" cm="1">
        <f t="array" ref="J24">SQRT(SUMPRODUCT((('Footprint Trees'!$P$2:$P$1036='Biomass Calcs'!A24)*('Footprint Trees'!$Q$2:$Q$1036='Biomass Calcs'!B24))*('Footprint Trees'!$E$2:$E$1036)^2))</f>
        <v>0.57799999999999996</v>
      </c>
      <c r="K24" s="345">
        <v>4.3</v>
      </c>
      <c r="L24" t="s">
        <v>1586</v>
      </c>
      <c r="M24" t="s">
        <v>1618</v>
      </c>
      <c r="N24" s="78" t="s">
        <v>1588</v>
      </c>
      <c r="O24" t="s">
        <v>1619</v>
      </c>
      <c r="R24" s="2">
        <f t="shared" ref="R24" si="0">(6*K24+0.8)+(0.8*K24+0.9)</f>
        <v>30.939999999999998</v>
      </c>
      <c r="S24" s="2">
        <f t="shared" ref="S24" si="1">(6*I24+0.8)+(0.8*I24+0.9)</f>
        <v>31.887901878356935</v>
      </c>
      <c r="T24" s="291">
        <v>31.89</v>
      </c>
      <c r="U24" s="641"/>
    </row>
    <row r="25" spans="1:37">
      <c r="A25">
        <v>14</v>
      </c>
      <c r="B25">
        <v>1</v>
      </c>
      <c r="C25" cm="1">
        <f t="array" ref="C25">MAX(IF(('Footprint Trees'!$P$2:$P$1036=A25)*('Footprint Trees'!$Q$2:$Q$1036=B25),'Footprint Trees'!$R$2:$R$1036))</f>
        <v>1</v>
      </c>
      <c r="D25" cm="1">
        <f t="array" ref="D25">_xlfn._xlws.FILTER('Footprint Trees'!S25:S1060, ('Footprint Trees'!P25:P1060=A25)*('Footprint Trees'!Q25:Q1060=B25)*('Footprint Trees'!R25:R1060=C25))</f>
        <v>2</v>
      </c>
      <c r="E25" s="78" t="str">
        <v>14.1.1</v>
      </c>
      <c r="F25" t="str" cm="1">
        <f t="array" ref="F25">_xlfn._xlws.FILTER('Footprint Trees'!X25:X1060, ('Footprint Trees'!P25:P1060=A25)*('Footprint Trees'!Q25:Q1060=B25)*('Footprint Trees'!R25:R1060=C25))</f>
        <v>MEXICAN FAN PALM</v>
      </c>
      <c r="G25" t="str" cm="1">
        <f t="array" ref="G25">_xlfn._xlws.FILTER('Footprint Trees'!Y25:Y1060, ('Footprint Trees'!P25:P1060=A25)*('Footprint Trees'!Q25:Q1060=B25)*('Footprint Trees'!R25:R1060=C25))</f>
        <v>Washingtonia robusta</v>
      </c>
      <c r="H25" s="88" cm="1">
        <f t="array" ref="H25">SQRT(SUMPRODUCT((('Footprint Trees'!$P$2:$P$1036='Biomass Calcs'!A25)*('Footprint Trees'!$Q$2:$Q$1036='Biomass Calcs'!B25))*('Footprint Trees'!$B$2:$B$1036)^2))</f>
        <v>0.359674810764049</v>
      </c>
      <c r="I25" s="345">
        <v>24.813697814941399</v>
      </c>
      <c r="J25" s="88" cm="1">
        <f t="array" ref="J25">SQRT(SUMPRODUCT((('Footprint Trees'!$P$2:$P$1036='Biomass Calcs'!A25)*('Footprint Trees'!$Q$2:$Q$1036='Biomass Calcs'!B25))*('Footprint Trees'!$E$2:$E$1036)^2))</f>
        <v>0.46899999999999997</v>
      </c>
      <c r="K25" s="345">
        <v>23.7</v>
      </c>
      <c r="L25" t="s">
        <v>1586</v>
      </c>
      <c r="M25" t="s">
        <v>1618</v>
      </c>
      <c r="N25" s="78" t="s">
        <v>1588</v>
      </c>
      <c r="O25" t="s">
        <v>1619</v>
      </c>
      <c r="P25">
        <v>370</v>
      </c>
      <c r="R25" s="641">
        <f>(6*K25+0.8)+(0.8*K25+0.9)</f>
        <v>162.86000000000001</v>
      </c>
      <c r="S25" s="641">
        <f>(6*I25+0.8)+(0.8*I25+0.9)</f>
        <v>170.4331451416015</v>
      </c>
      <c r="T25" s="663">
        <v>2</v>
      </c>
      <c r="U25" s="641" t="s">
        <v>1620</v>
      </c>
    </row>
    <row r="26" spans="1:37">
      <c r="A26">
        <v>15</v>
      </c>
      <c r="B26">
        <v>1</v>
      </c>
      <c r="C26" cm="1">
        <f t="array" ref="C26">MAX(IF(('Footprint Trees'!$P$2:$P$1036=A26)*('Footprint Trees'!$Q$2:$Q$1036=B26),'Footprint Trees'!$R$2:$R$1036))</f>
        <v>1</v>
      </c>
      <c r="D26" cm="1">
        <f t="array" ref="D26">_xlfn._xlws.FILTER('Footprint Trees'!S26:S1061, ('Footprint Trees'!P26:P1061=A26)*('Footprint Trees'!Q26:Q1061=B26)*('Footprint Trees'!R26:R1061=C26))</f>
        <v>2</v>
      </c>
      <c r="E26" s="78" t="str">
        <v>15.1.1</v>
      </c>
      <c r="F26" t="str" cm="1">
        <f t="array" ref="F26">_xlfn._xlws.FILTER('Footprint Trees'!X26:X1061, ('Footprint Trees'!P26:P1061=A26)*('Footprint Trees'!Q26:Q1061=B26)*('Footprint Trees'!R26:R1061=C26))</f>
        <v>GIANT YUCCA</v>
      </c>
      <c r="G26" t="str" cm="1">
        <f t="array" ref="G26">_xlfn._xlws.FILTER('Footprint Trees'!Y26:Y1061, ('Footprint Trees'!P26:P1061=A26)*('Footprint Trees'!Q26:Q1061=B26)*('Footprint Trees'!R26:R1061=C26))</f>
        <v>Yucca gigantea</v>
      </c>
      <c r="H26" s="88" t="s">
        <v>599</v>
      </c>
      <c r="I26" s="345">
        <v>6.5767874717712402</v>
      </c>
      <c r="J26" s="88" cm="1">
        <f t="array" ref="J26">SQRT(SUMPRODUCT((('Footprint Trees'!$P$2:$P$1036='Biomass Calcs'!A26)*('Footprint Trees'!$Q$2:$Q$1036='Biomass Calcs'!B26))*('Footprint Trees'!$E$2:$E$1036)^2))</f>
        <v>0</v>
      </c>
      <c r="K26" s="345">
        <v>6.5</v>
      </c>
      <c r="L26" t="s">
        <v>1586</v>
      </c>
      <c r="M26" t="s">
        <v>1618</v>
      </c>
      <c r="N26" s="78" t="s">
        <v>1588</v>
      </c>
      <c r="O26" t="s">
        <v>1619</v>
      </c>
      <c r="R26" s="2">
        <f>((6*K26+0.8)+(0.8*K26+0.9))</f>
        <v>45.9</v>
      </c>
      <c r="S26" s="2">
        <f>((6*I26+0.8)+(0.8*I26+0.9))</f>
        <v>46.422154808044432</v>
      </c>
      <c r="T26" s="663">
        <v>3</v>
      </c>
      <c r="U26" s="641" t="s">
        <v>1621</v>
      </c>
    </row>
    <row r="27" spans="1:37">
      <c r="A27">
        <v>13</v>
      </c>
      <c r="B27">
        <v>2</v>
      </c>
      <c r="C27" cm="1">
        <f t="array" ref="C27">MAX(IF(('Footprint Trees'!$P$2:$P$1036=A27)*('Footprint Trees'!$Q$2:$Q$1036=B27),'Footprint Trees'!$R$2:$R$1036))</f>
        <v>1</v>
      </c>
      <c r="D27" cm="1">
        <f t="array" ref="D27">_xlfn._xlws.FILTER('Footprint Trees'!S27:S1062, ('Footprint Trees'!P27:P1062=A27)*('Footprint Trees'!Q27:Q1062=B27)*('Footprint Trees'!R27:R1062=C27))</f>
        <v>2</v>
      </c>
      <c r="E27" s="78" t="str">
        <v>13.2.1</v>
      </c>
      <c r="F27" t="str" cm="1">
        <f t="array" ref="F27">_xlfn._xlws.FILTER('Footprint Trees'!X27:X1062, ('Footprint Trees'!P27:P1062=A27)*('Footprint Trees'!Q27:Q1062=B27)*('Footprint Trees'!R27:R1062=C27))</f>
        <v>MEXICAN BLUE PALM</v>
      </c>
      <c r="G27" t="str" cm="1">
        <f t="array" ref="G27">_xlfn._xlws.FILTER('Footprint Trees'!Y27:Y1062, ('Footprint Trees'!P27:P1062=A27)*('Footprint Trees'!Q27:Q1062=B27)*('Footprint Trees'!R27:R1062=C27))</f>
        <v>Coccothrinax argentata</v>
      </c>
      <c r="H27" s="88" cm="1">
        <f t="array" ref="H27">SQRT(SUMPRODUCT((('Footprint Trees'!$P$2:$P$1036='Biomass Calcs'!A27)*('Footprint Trees'!$Q$2:$Q$1036='Biomass Calcs'!B27))*('Footprint Trees'!$B$2:$B$1036)^2))</f>
        <v>0.43879488173376602</v>
      </c>
      <c r="I27" s="345">
        <v>7.6719403266906703</v>
      </c>
      <c r="J27" s="88" cm="1">
        <f t="array" ref="J27">SQRT(SUMPRODUCT((('Footprint Trees'!$P$2:$P$1036='Biomass Calcs'!A27)*('Footprint Trees'!$Q$2:$Q$1036='Biomass Calcs'!B27))*('Footprint Trees'!$E$2:$E$1036)^2))</f>
        <v>0.48199999999999998</v>
      </c>
      <c r="K27" s="345">
        <v>7.8</v>
      </c>
      <c r="L27" t="s">
        <v>1586</v>
      </c>
      <c r="M27" t="s">
        <v>1618</v>
      </c>
      <c r="N27" s="78" t="s">
        <v>1588</v>
      </c>
      <c r="O27" t="s">
        <v>1619</v>
      </c>
      <c r="R27" s="2">
        <f>(6*K27+0.8)+(0.8*K27+0.9)</f>
        <v>54.739999999999995</v>
      </c>
      <c r="S27" s="2">
        <f>(6*I27+0.8)+(0.8*I27+0.9)</f>
        <v>53.869194221496556</v>
      </c>
      <c r="T27" s="291">
        <v>53.87</v>
      </c>
      <c r="U27" s="641"/>
    </row>
    <row r="28" spans="1:37">
      <c r="A28">
        <v>16</v>
      </c>
      <c r="B28">
        <v>4</v>
      </c>
      <c r="C28" cm="1">
        <f t="array" ref="C28">MAX(IF(('Footprint Trees'!$P$2:$P$1036=A28)*('Footprint Trees'!$Q$2:$Q$1036=B28),'Footprint Trees'!$R$2:$R$1036))</f>
        <v>1</v>
      </c>
      <c r="D28" cm="1">
        <f t="array" ref="D28">_xlfn._xlws.FILTER('Footprint Trees'!S28:S1063, ('Footprint Trees'!P28:P1063=A28)*('Footprint Trees'!Q28:Q1063=B28)*('Footprint Trees'!R28:R1063=C28))</f>
        <v>2</v>
      </c>
      <c r="E28" s="78" t="str">
        <v>16.4.1</v>
      </c>
      <c r="F28" t="str" cm="1">
        <f t="array" ref="F28">_xlfn._xlws.FILTER('Footprint Trees'!X28:X1063, ('Footprint Trees'!P28:P1063=A28)*('Footprint Trees'!Q28:Q1063=B28)*('Footprint Trees'!R28:R1063=C28))</f>
        <v>PYGMY DATE PALM</v>
      </c>
      <c r="G28" t="str" cm="1">
        <f t="array" ref="G28">_xlfn._xlws.FILTER('Footprint Trees'!Y28:Y1063, ('Footprint Trees'!P28:P1063=A28)*('Footprint Trees'!Q28:Q1063=B28)*('Footprint Trees'!R28:R1063=C28))</f>
        <v>Phoenix roebelenii</v>
      </c>
      <c r="H28" s="88" cm="1">
        <f t="array" ref="H28">SQRT(SUMPRODUCT((('Footprint Trees'!$P$2:$P$1036='Biomass Calcs'!A28)*('Footprint Trees'!$Q$2:$Q$1036='Biomass Calcs'!B28))*('Footprint Trees'!$B$2:$B$1036)^2))</f>
        <v>0</v>
      </c>
      <c r="I28" s="345">
        <v>0</v>
      </c>
      <c r="J28" s="88" cm="1">
        <f t="array" ref="J28">SQRT(SUMPRODUCT((('Footprint Trees'!$P$2:$P$1036='Biomass Calcs'!A28)*('Footprint Trees'!$Q$2:$Q$1036='Biomass Calcs'!B28))*('Footprint Trees'!$E$2:$E$1036)^2))</f>
        <v>0</v>
      </c>
      <c r="K28" s="345">
        <v>0</v>
      </c>
      <c r="L28" t="s">
        <v>1586</v>
      </c>
      <c r="M28" t="s">
        <v>1618</v>
      </c>
      <c r="N28" s="78" t="s">
        <v>1588</v>
      </c>
      <c r="O28" t="s">
        <v>1619</v>
      </c>
      <c r="S28" s="639"/>
      <c r="T28" s="663">
        <v>4</v>
      </c>
      <c r="U28" s="649" t="s">
        <v>1622</v>
      </c>
    </row>
    <row r="29" spans="1:37" s="175" customFormat="1">
      <c r="A29" s="175">
        <v>5</v>
      </c>
      <c r="B29" s="175">
        <v>8</v>
      </c>
      <c r="C29" s="175" cm="1">
        <f t="array" ref="C29">MAX(IF(('Footprint Trees'!$P$2:$P$1036=A29)*('Footprint Trees'!$Q$2:$Q$1036=B29),'Footprint Trees'!$R$2:$R$1036))</f>
        <v>1</v>
      </c>
      <c r="D29" s="175" cm="1">
        <f t="array" ref="D29">_xlfn._xlws.FILTER('Footprint Trees'!S29:S1064, ('Footprint Trees'!P29:P1064=A29)*('Footprint Trees'!Q29:Q1064=B29)*('Footprint Trees'!R29:R1064=C29))</f>
        <v>2</v>
      </c>
      <c r="E29" s="344" t="str">
        <v>5.8.1</v>
      </c>
      <c r="F29" s="175" t="str" cm="1">
        <f t="array" ref="F29">_xlfn._xlws.FILTER('Footprint Trees'!X29:X1064, ('Footprint Trees'!P29:P1064=A29)*('Footprint Trees'!Q29:Q1064=B29)*('Footprint Trees'!R29:R1064=C29))</f>
        <v>redwood</v>
      </c>
      <c r="G29" s="175" t="str" cm="1">
        <f t="array" ref="G29">_xlfn._xlws.FILTER('Footprint Trees'!Y29:Y1064, ('Footprint Trees'!P29:P1064=A29)*('Footprint Trees'!Q29:Q1064=B29)*('Footprint Trees'!R29:R1064=C29))</f>
        <v>Sequoia sempervirens</v>
      </c>
      <c r="H29" s="354" cm="1">
        <f t="array" ref="H29">SQRT(SUMPRODUCT((('Footprint Trees'!$P$2:$P$1036='Biomass Calcs'!A29)*('Footprint Trees'!$Q$2:$Q$1036='Biomass Calcs'!B29))*('Footprint Trees'!$B$2:$B$1036)^2))</f>
        <v>0</v>
      </c>
      <c r="I29" s="356">
        <v>6.6830124855041504</v>
      </c>
      <c r="J29" s="354" cm="1">
        <f t="array" ref="J29">SQRT(SUMPRODUCT((('Footprint Trees'!$P$2:$P$1036='Biomass Calcs'!A29)*('Footprint Trees'!$Q$2:$Q$1036='Biomass Calcs'!B29))*('Footprint Trees'!$E$2:$E$1036)^2))</f>
        <v>0</v>
      </c>
      <c r="K29" s="356">
        <v>6.2</v>
      </c>
      <c r="L29" s="175" t="s">
        <v>1597</v>
      </c>
      <c r="M29" s="175" t="s">
        <v>1598</v>
      </c>
      <c r="N29" s="344" t="s">
        <v>1588</v>
      </c>
      <c r="O29" s="175" t="s">
        <v>1599</v>
      </c>
      <c r="P29" s="175">
        <v>360</v>
      </c>
      <c r="Q29" s="344"/>
      <c r="S29" s="357"/>
      <c r="T29" s="663">
        <v>5</v>
      </c>
      <c r="U29" s="643" t="s">
        <v>1623</v>
      </c>
      <c r="V29" s="656" cm="1">
        <f t="array" ref="V29">SUMPRODUCT(($D$2:$D$82=2)*IFERROR($R$2:$R$82,0))</f>
        <v>2271.1376230973078</v>
      </c>
      <c r="W29" s="656" cm="1">
        <f t="array" ref="W29">SUMPRODUCT(($D$2:$D$1000=2)*IFERROR($S$2:$S$1000,0))</f>
        <v>2022.1832069298334</v>
      </c>
    </row>
    <row r="30" spans="1:37">
      <c r="A30">
        <v>17</v>
      </c>
      <c r="B30">
        <v>1</v>
      </c>
      <c r="C30" cm="1">
        <f t="array" ref="C30">MAX(IF(('Footprint Trees'!$P$2:$P$1036=A30)*('Footprint Trees'!$Q$2:$Q$1036=B30),'Footprint Trees'!$R$2:$R$1036))</f>
        <v>1</v>
      </c>
      <c r="D30" cm="1">
        <f t="array" ref="D30">_xlfn._xlws.FILTER('Footprint Trees'!S30:S1065, ('Footprint Trees'!P30:P1065=A30)*('Footprint Trees'!Q30:Q1065=B30)*('Footprint Trees'!R30:R1065=C30))</f>
        <v>3</v>
      </c>
      <c r="E30" s="78" t="str">
        <v>17.1.1</v>
      </c>
      <c r="F30" t="str" cm="1">
        <f t="array" ref="F30">_xlfn._xlws.FILTER('Footprint Trees'!X30:X1065, ('Footprint Trees'!P30:P1065=A30)*('Footprint Trees'!Q30:Q1065=B30)*('Footprint Trees'!R30:R1065=C30))</f>
        <v>coastal live oak</v>
      </c>
      <c r="G30" t="str" cm="1">
        <f t="array" ref="G30">_xlfn._xlws.FILTER('Footprint Trees'!Y30:Y1065, ('Footprint Trees'!P30:P1065=A30)*('Footprint Trees'!Q30:Q1065=B30)*('Footprint Trees'!R30:R1065=C30))</f>
        <v>quercus agrifolia</v>
      </c>
      <c r="H30" s="88" cm="1">
        <f t="array" ref="H30">SQRT(SUMPRODUCT((('Footprint Trees'!$P$2:$P$1036='Biomass Calcs'!A30)*('Footprint Trees'!$Q$2:$Q$1036='Biomass Calcs'!B30))*('Footprint Trees'!$B$2:$B$1036)^2))</f>
        <v>0.52420286499511304</v>
      </c>
      <c r="I30" s="345">
        <v>13.056458473205501</v>
      </c>
      <c r="J30" s="88" cm="1">
        <f t="array" ref="J30">SQRT(SUMPRODUCT((('Footprint Trees'!$P$2:$P$1036='Biomass Calcs'!A30)*('Footprint Trees'!$Q$2:$Q$1036='Biomass Calcs'!B30))*('Footprint Trees'!$E$2:$E$1036)^2))</f>
        <v>0.55600000000000005</v>
      </c>
      <c r="K30" s="345">
        <v>13.1</v>
      </c>
      <c r="L30" t="s">
        <v>1586</v>
      </c>
      <c r="M30" t="s">
        <v>1624</v>
      </c>
      <c r="N30" s="78" t="s">
        <v>1500</v>
      </c>
      <c r="O30" t="s">
        <v>1625</v>
      </c>
      <c r="P30">
        <v>590</v>
      </c>
      <c r="Q30" s="78" t="s">
        <v>1500</v>
      </c>
      <c r="R30" s="642">
        <f>0.0000447*((J30*100)^(2.31958))*((K30)^(0.62528))*P30</f>
        <v>1470.9825323142707</v>
      </c>
      <c r="S30" s="642">
        <f>0.0000447*((H30*100)^(2.31958))*((I30)^(0.62528))*P30</f>
        <v>1280.4989636763814</v>
      </c>
      <c r="T30" s="291">
        <v>1280.5</v>
      </c>
      <c r="U30" s="641"/>
    </row>
    <row r="31" spans="1:37">
      <c r="A31">
        <v>17</v>
      </c>
      <c r="B31">
        <v>2</v>
      </c>
      <c r="C31" cm="1">
        <f t="array" ref="C31">MAX(IF(('Footprint Trees'!$P$2:$P$1036=A31)*('Footprint Trees'!$Q$2:$Q$1036=B31),'Footprint Trees'!$R$2:$R$1036))</f>
        <v>1</v>
      </c>
      <c r="D31" cm="1">
        <f t="array" ref="D31">_xlfn._xlws.FILTER('Footprint Trees'!S31:S1066, ('Footprint Trees'!P31:P1066=A31)*('Footprint Trees'!Q31:Q1066=B31)*('Footprint Trees'!R31:R1066=C31))</f>
        <v>3</v>
      </c>
      <c r="E31" s="78" t="str">
        <v>17.2.1</v>
      </c>
      <c r="F31" t="str" cm="1">
        <f t="array" ref="F31">_xlfn._xlws.FILTER('Footprint Trees'!X31:X1066, ('Footprint Trees'!P31:P1066=A31)*('Footprint Trees'!Q31:Q1066=B31)*('Footprint Trees'!R31:R1066=C31))</f>
        <v>coastal live oak</v>
      </c>
      <c r="G31" t="str" cm="1">
        <f t="array" ref="G31">_xlfn._xlws.FILTER('Footprint Trees'!Y31:Y1066, ('Footprint Trees'!P31:P1066=A31)*('Footprint Trees'!Q31:Q1066=B31)*('Footprint Trees'!R31:R1066=C31))</f>
        <v>quercus agrifolia</v>
      </c>
      <c r="H31" s="88" cm="1">
        <f t="array" ref="H31">SQRT(SUMPRODUCT((('Footprint Trees'!$P$2:$P$1036='Biomass Calcs'!A31)*('Footprint Trees'!$Q$2:$Q$1036='Biomass Calcs'!B31))*('Footprint Trees'!$B$2:$B$1036)^2))</f>
        <v>0.448922766648643</v>
      </c>
      <c r="I31" s="345">
        <v>15.740143775939901</v>
      </c>
      <c r="J31" s="88" cm="1">
        <f t="array" ref="J31">SQRT(SUMPRODUCT((('Footprint Trees'!$P$2:$P$1036='Biomass Calcs'!A31)*('Footprint Trees'!$Q$2:$Q$1036='Biomass Calcs'!B31))*('Footprint Trees'!$E$2:$E$1036)^2))</f>
        <v>0.437</v>
      </c>
      <c r="K31" s="345">
        <v>15.2</v>
      </c>
      <c r="L31" t="s">
        <v>1586</v>
      </c>
      <c r="M31" t="s">
        <v>1624</v>
      </c>
      <c r="N31" s="78" t="s">
        <v>1500</v>
      </c>
      <c r="O31" t="s">
        <v>1625</v>
      </c>
      <c r="P31">
        <v>590</v>
      </c>
      <c r="Q31" s="78" t="s">
        <v>1500</v>
      </c>
      <c r="R31" s="642">
        <f>0.0000447*((J31*100)^(2.31958))*((K31)^(0.62528))*P31</f>
        <v>923.35908161967689</v>
      </c>
      <c r="S31" s="642">
        <f>0.0000447*((H31*100)^(2.31958))*((I31)^(0.62528))*P31</f>
        <v>1004.5450150680149</v>
      </c>
      <c r="T31" s="291">
        <v>1004.55</v>
      </c>
      <c r="U31" s="641"/>
    </row>
    <row r="32" spans="1:37">
      <c r="A32">
        <v>17</v>
      </c>
      <c r="B32">
        <v>3</v>
      </c>
      <c r="C32" cm="1">
        <f t="array" ref="C32">MAX(IF(('Footprint Trees'!$P$2:$P$1036=A32)*('Footprint Trees'!$Q$2:$Q$1036=B32),'Footprint Trees'!$R$2:$R$1036))</f>
        <v>4</v>
      </c>
      <c r="D32" cm="1">
        <f t="array" ref="D32">_xlfn._xlws.FILTER('Footprint Trees'!S32:S1067, ('Footprint Trees'!P32:P1067=A32)*('Footprint Trees'!Q32:Q1067=B32)*('Footprint Trees'!R32:R1067=C32))</f>
        <v>3</v>
      </c>
      <c r="E32" s="78" t="str">
        <v>17.3.4</v>
      </c>
      <c r="F32" t="str" cm="1">
        <f t="array" ref="F32">_xlfn._xlws.FILTER('Footprint Trees'!X32:X1067, ('Footprint Trees'!P32:P1067=A32)*('Footprint Trees'!Q32:Q1067=B32)*('Footprint Trees'!R32:R1067=C32))</f>
        <v>coastal live oak</v>
      </c>
      <c r="G32" t="str" cm="1">
        <f t="array" ref="G32">_xlfn._xlws.FILTER('Footprint Trees'!Y32:Y1067, ('Footprint Trees'!P32:P1067=A32)*('Footprint Trees'!Q32:Q1067=B32)*('Footprint Trees'!R32:R1067=C32))</f>
        <v>quercus agrifolia</v>
      </c>
      <c r="H32" s="88" cm="1">
        <f t="array" ref="H32">SQRT(SUMPRODUCT((('Footprint Trees'!$P$2:$P$1036='Biomass Calcs'!A32)*('Footprint Trees'!$Q$2:$Q$1036='Biomass Calcs'!B32))*('Footprint Trees'!$B$2:$B$1036)^2))</f>
        <v>0.61061580782171276</v>
      </c>
      <c r="I32" s="345">
        <v>13.365461349487299</v>
      </c>
      <c r="J32" s="88" cm="1">
        <f t="array" ref="J32">SQRT(SUMPRODUCT((('Footprint Trees'!$P$2:$P$1036='Biomass Calcs'!A32)*('Footprint Trees'!$Q$2:$Q$1036='Biomass Calcs'!B32))*('Footprint Trees'!$E$2:$E$1036)^2))</f>
        <v>0.63856479702532931</v>
      </c>
      <c r="K32" s="345">
        <v>13.5</v>
      </c>
      <c r="L32" t="s">
        <v>1586</v>
      </c>
      <c r="M32" t="s">
        <v>1624</v>
      </c>
      <c r="N32" s="78" t="s">
        <v>1500</v>
      </c>
      <c r="O32" t="s">
        <v>1625</v>
      </c>
      <c r="P32">
        <v>590</v>
      </c>
      <c r="Q32" s="78" t="s">
        <v>1500</v>
      </c>
      <c r="R32" s="642">
        <f t="shared" ref="R32" si="2">0.0000447*((J32*100)^(2.31958))*((K32)^(0.62528))*P32</f>
        <v>2066.5788706525514</v>
      </c>
      <c r="S32" s="642">
        <f t="shared" ref="S32" si="3">0.0000447*((H32*100)^(2.31958))*((I32)^(0.62528))*P32</f>
        <v>1851.1713471227065</v>
      </c>
      <c r="T32" s="291">
        <v>1851.17</v>
      </c>
      <c r="U32" s="2"/>
    </row>
    <row r="33" spans="1:23">
      <c r="A33">
        <v>18</v>
      </c>
      <c r="B33">
        <v>1</v>
      </c>
      <c r="C33" cm="1">
        <f t="array" ref="C33">MAX(IF(('Footprint Trees'!$P$2:$P$1036=A33)*('Footprint Trees'!$Q$2:$Q$1036=B33),'Footprint Trees'!$R$2:$R$1036))</f>
        <v>20</v>
      </c>
      <c r="D33" cm="1">
        <f t="array" ref="D33">_xlfn._xlws.FILTER('Footprint Trees'!S33:S1068, ('Footprint Trees'!P33:P1068=A33)*('Footprint Trees'!Q33:Q1068=B33)*('Footprint Trees'!R33:R1068=C33))</f>
        <v>3</v>
      </c>
      <c r="E33" s="78" t="str">
        <v>18.1.20</v>
      </c>
      <c r="F33" t="str" cm="1">
        <f t="array" ref="F33">_xlfn._xlws.FILTER('Footprint Trees'!X33:X1068, ('Footprint Trees'!P33:P1068=A33)*('Footprint Trees'!Q33:Q1068=B33)*('Footprint Trees'!R33:R1068=C33))</f>
        <v>channel island scrub oak</v>
      </c>
      <c r="G33" t="str" cm="1">
        <f t="array" ref="G33">_xlfn._xlws.FILTER('Footprint Trees'!Y33:Y1068, ('Footprint Trees'!P33:P1068=A33)*('Footprint Trees'!Q33:Q1068=B33)*('Footprint Trees'!R33:R1068=C33))</f>
        <v>Quercus pacifica</v>
      </c>
      <c r="H33" s="88" cm="1">
        <f t="array" ref="H33">SQRT(SUMPRODUCT((('Footprint Trees'!$P$2:$P$1036='Biomass Calcs'!A33)*('Footprint Trees'!$Q$2:$Q$1036='Biomass Calcs'!B33))*('Footprint Trees'!$B$2:$B$1036)^2))</f>
        <v>0.31250432941480988</v>
      </c>
      <c r="I33" s="345">
        <v>4.8240850000000002</v>
      </c>
      <c r="J33" s="88" cm="1">
        <f t="array" ref="J33">SQRT(SUMPRODUCT((('Footprint Trees'!$P$2:$P$1036='Biomass Calcs'!A33)*('Footprint Trees'!$Q$2:$Q$1036='Biomass Calcs'!B33))*('Footprint Trees'!$E$2:$E$1036)^2))</f>
        <v>0.30429919487241502</v>
      </c>
      <c r="K33" s="345">
        <v>5.0999999999999996</v>
      </c>
      <c r="L33" t="s">
        <v>1626</v>
      </c>
      <c r="M33" t="s">
        <v>1627</v>
      </c>
      <c r="N33" s="78" t="s">
        <v>1588</v>
      </c>
      <c r="O33" t="s">
        <v>1628</v>
      </c>
      <c r="P33">
        <v>580</v>
      </c>
      <c r="Q33" s="78" t="s">
        <v>1588</v>
      </c>
      <c r="R33" s="650">
        <f>EXP(-2.2198)*((J33*100)^2.441)</f>
        <v>453.61809446321234</v>
      </c>
      <c r="S33" s="650">
        <f>EXP(-2.2198)*((H33*100)^2.441)</f>
        <v>484.05721616754823</v>
      </c>
      <c r="T33" s="291">
        <v>484.06</v>
      </c>
      <c r="U33" s="641"/>
    </row>
    <row r="34" spans="1:23">
      <c r="A34">
        <v>19</v>
      </c>
      <c r="B34">
        <v>1</v>
      </c>
      <c r="C34" cm="1">
        <f t="array" ref="C34">MAX(IF(('Footprint Trees'!$P$2:$P$1036=A34)*('Footprint Trees'!$Q$2:$Q$1036=B34),'Footprint Trees'!$R$2:$R$1036))</f>
        <v>3</v>
      </c>
      <c r="D34" cm="1">
        <f t="array" ref="D34">_xlfn._xlws.FILTER('Footprint Trees'!S34:S1069, ('Footprint Trees'!P34:P1069=A34)*('Footprint Trees'!Q34:Q1069=B34)*('Footprint Trees'!R34:R1069=C34))</f>
        <v>3</v>
      </c>
      <c r="E34" s="78" t="str">
        <v>19.1.3</v>
      </c>
      <c r="F34" t="str" cm="1">
        <f t="array" ref="F34">_xlfn._xlws.FILTER('Footprint Trees'!X34:X1069, ('Footprint Trees'!P34:P1069=A34)*('Footprint Trees'!Q34:Q1069=B34)*('Footprint Trees'!R34:R1069=C34))</f>
        <v>engelmann oak</v>
      </c>
      <c r="G34" t="str" cm="1">
        <f t="array" ref="G34">_xlfn._xlws.FILTER('Footprint Trees'!Y35:Y1069, ('Footprint Trees'!P35:P1069=A34)*('Footprint Trees'!Q35:Q1069=B34)*('Footprint Trees'!R35:R1069=C34))</f>
        <v>Quercus engelmannii</v>
      </c>
      <c r="H34" s="88" cm="1">
        <f t="array" ref="H34">SQRT(SUMPRODUCT((('Footprint Trees'!$P$2:$P$1036='Biomass Calcs'!A34)*('Footprint Trees'!$Q$2:$Q$1036='Biomass Calcs'!B34))*('Footprint Trees'!$B$2:$B$1036)^2))</f>
        <v>0.47589148703207512</v>
      </c>
      <c r="I34" s="345">
        <v>12.976625442504799</v>
      </c>
      <c r="J34" s="88" cm="1">
        <f t="array" ref="J34">SQRT(SUMPRODUCT((('Footprint Trees'!$P$2:$P$1036='Biomass Calcs'!A34)*('Footprint Trees'!$Q$2:$Q$1036='Biomass Calcs'!B34))*('Footprint Trees'!$E$2:$E$1036)^2))</f>
        <v>0.52503333227519944</v>
      </c>
      <c r="K34" s="345">
        <v>12.4</v>
      </c>
      <c r="L34" t="s">
        <v>1597</v>
      </c>
      <c r="M34" t="s">
        <v>1629</v>
      </c>
      <c r="N34" s="78" t="s">
        <v>1588</v>
      </c>
      <c r="O34" t="s">
        <v>1630</v>
      </c>
      <c r="P34" s="4" t="s">
        <v>1631</v>
      </c>
      <c r="Q34" s="78" t="s">
        <v>1588</v>
      </c>
      <c r="R34" s="2">
        <f>EXP(-2.0127+2.4342*LN(J34*100))</f>
        <v>2056.7162982766636</v>
      </c>
      <c r="S34" s="2">
        <f>EXP(-2.0127+2.4342*LN(H34*100))</f>
        <v>1619.1434007539096</v>
      </c>
      <c r="T34" s="291">
        <v>1619.14</v>
      </c>
      <c r="U34" s="641"/>
    </row>
    <row r="35" spans="1:23" s="175" customFormat="1">
      <c r="A35" s="175">
        <v>20</v>
      </c>
      <c r="B35" s="175">
        <v>1</v>
      </c>
      <c r="C35" s="175" cm="1">
        <f t="array" ref="C35">MAX(IF(('Footprint Trees'!$P$2:$P$1036=A35)*('Footprint Trees'!$Q$2:$Q$1036=B35),'Footprint Trees'!$R$2:$R$1036))</f>
        <v>1</v>
      </c>
      <c r="D35" s="175" cm="1">
        <f t="array" ref="D35">_xlfn._xlws.FILTER('Footprint Trees'!S35:S1070, ('Footprint Trees'!P35:P1070=A35)*('Footprint Trees'!Q35:Q1070=B35)*('Footprint Trees'!R35:R1070=C35))</f>
        <v>3</v>
      </c>
      <c r="E35" s="344" t="str">
        <v>20.1.1</v>
      </c>
      <c r="F35" s="175" t="str" cm="1">
        <f t="array" ref="F35">_xlfn._xlws.FILTER('Footprint Trees'!X35:X1070, ('Footprint Trees'!P35:P1070=A35)*('Footprint Trees'!Q35:Q1070=B35)*('Footprint Trees'!R35:R1070=C35))</f>
        <v>western chokeberry</v>
      </c>
      <c r="G35" s="175" t="str" cm="1">
        <f t="array" ref="G35">_xlfn._xlws.FILTER('Footprint Trees'!Y36:Y1070, ('Footprint Trees'!P36:P1070=A35)*('Footprint Trees'!Q36:Q1070=B35)*('Footprint Trees'!R36:R1070=C35))</f>
        <v>prunus virginiana var. demissa</v>
      </c>
      <c r="H35" s="354" cm="1">
        <f t="array" ref="H35">SQRT(SUMPRODUCT((('Footprint Trees'!$P$2:$P$1036='Biomass Calcs'!A35)*('Footprint Trees'!$Q$2:$Q$1036='Biomass Calcs'!B35))*('Footprint Trees'!$B$2:$B$1036)^2))</f>
        <v>0</v>
      </c>
      <c r="I35" s="356">
        <v>0</v>
      </c>
      <c r="J35" s="354" cm="1">
        <f t="array" ref="J35">SQRT(SUMPRODUCT((('Footprint Trees'!$P$2:$P$1036='Biomass Calcs'!A35)*('Footprint Trees'!$Q$2:$Q$1036='Biomass Calcs'!B35))*('Footprint Trees'!$E$2:$E$1036)^2))</f>
        <v>0</v>
      </c>
      <c r="K35" s="356">
        <v>4.2</v>
      </c>
      <c r="L35" s="175" t="s">
        <v>1597</v>
      </c>
      <c r="M35" s="175" t="s">
        <v>1632</v>
      </c>
      <c r="N35" s="344" t="s">
        <v>1588</v>
      </c>
      <c r="O35" s="175" t="s">
        <v>1633</v>
      </c>
      <c r="Q35" s="344"/>
      <c r="R35" s="357" t="e">
        <f>EXP(-2.48+2.4835*LN(J35*100))</f>
        <v>#NUM!</v>
      </c>
      <c r="S35" s="357" t="e">
        <f>EXP(-2.48+2.4835*LN(H35*100))</f>
        <v>#NUM!</v>
      </c>
      <c r="T35" s="663">
        <v>6</v>
      </c>
      <c r="U35" s="643" t="s">
        <v>1634</v>
      </c>
      <c r="V35" s="656" cm="1">
        <f t="array" ref="V35">SUMPRODUCT(($D$2:$D$82=3)*IFERROR($R$2:$R$82,0))</f>
        <v>6971.2548773263752</v>
      </c>
      <c r="W35" s="656" cm="1">
        <f t="array" ref="W35">SUMPRODUCT(($D$2:$D$1000=3)*IFERROR($S$2:$S$1000,0))</f>
        <v>6239.4159427885606</v>
      </c>
    </row>
    <row r="36" spans="1:23">
      <c r="A36">
        <v>21</v>
      </c>
      <c r="B36">
        <v>1</v>
      </c>
      <c r="C36" cm="1">
        <f t="array" ref="C36">MAX(IF(('Footprint Trees'!$P$2:$P$1036=A36)*('Footprint Trees'!$Q$2:$Q$1036=B36),'Footprint Trees'!$R$2:$R$1036))</f>
        <v>8</v>
      </c>
      <c r="D36" cm="1">
        <f t="array" ref="D36">_xlfn._xlws.FILTER('Footprint Trees'!S36:S1071, ('Footprint Trees'!P36:P1071=A36)*('Footprint Trees'!Q36:Q1071=B36)*('Footprint Trees'!R36:R1071=C36))</f>
        <v>5</v>
      </c>
      <c r="E36" s="78" t="str">
        <v>21.1.8</v>
      </c>
      <c r="F36" t="str" cm="1">
        <f t="array" ref="F36">_xlfn._xlws.FILTER('Footprint Trees'!X36:X1071, ('Footprint Trees'!P36:P1071=A36)*('Footprint Trees'!Q36:Q1071=B36)*('Footprint Trees'!R36:R1071=C36))</f>
        <v>deodar cedar</v>
      </c>
      <c r="G36" t="str" cm="1">
        <f t="array" ref="G36">_xlfn._xlws.FILTER('Footprint Trees'!Y37:Y1071, ('Footprint Trees'!P37:P1071=A36)*('Footprint Trees'!Q37:Q1071=B36)*('Footprint Trees'!R37:R1071=C36))</f>
        <v>Cedrus deodara</v>
      </c>
      <c r="H36" s="88" cm="1">
        <f t="array" ref="H36">SQRT(SUMPRODUCT((('Footprint Trees'!$P$2:$P$1036='Biomass Calcs'!A36)*('Footprint Trees'!$Q$2:$Q$1036='Biomass Calcs'!B36))*('Footprint Trees'!$B$2:$B$1036)^2))</f>
        <v>0.40575123337985436</v>
      </c>
      <c r="I36" s="345">
        <v>11.3740901947021</v>
      </c>
      <c r="J36" s="88" cm="1">
        <f t="array" ref="J36">SQRT(SUMPRODUCT((('Footprint Trees'!$P$2:$P$1036='Biomass Calcs'!A36)*('Footprint Trees'!$Q$2:$Q$1036='Biomass Calcs'!B36))*('Footprint Trees'!$E$2:$E$1036)^2))</f>
        <v>0.44773652966895611</v>
      </c>
      <c r="K36" s="345">
        <v>10.7</v>
      </c>
      <c r="L36" t="s">
        <v>1586</v>
      </c>
      <c r="M36" t="s">
        <v>1635</v>
      </c>
      <c r="N36" s="78" t="s">
        <v>1588</v>
      </c>
      <c r="O36" t="s">
        <v>1636</v>
      </c>
      <c r="P36">
        <v>410</v>
      </c>
      <c r="Q36" s="78" t="s">
        <v>1500</v>
      </c>
      <c r="R36" s="2">
        <f>EXP(-2.0336+2.2592*LN(J36*100))-EXP(-2.9584+4.4766/(J36*100))</f>
        <v>702.70556048999367</v>
      </c>
      <c r="S36" s="2">
        <f>EXP(-2.0336+2.2592*LN(H36*100))-EXP(-2.9584+4.4766/(H36*100))</f>
        <v>562.54160852142536</v>
      </c>
      <c r="T36" s="291">
        <v>562.54</v>
      </c>
      <c r="U36" s="641" t="s">
        <v>1637</v>
      </c>
    </row>
    <row r="37" spans="1:23">
      <c r="A37">
        <v>21</v>
      </c>
      <c r="B37">
        <v>2</v>
      </c>
      <c r="C37" cm="1">
        <f t="array" ref="C37">MAX(IF(('Footprint Trees'!$P$2:$P$1036=A37)*('Footprint Trees'!$Q$2:$Q$1036=B37),'Footprint Trees'!$R$2:$R$1036))</f>
        <v>2</v>
      </c>
      <c r="D37" cm="1">
        <f t="array" ref="D37">_xlfn._xlws.FILTER('Footprint Trees'!S37:S1072, ('Footprint Trees'!P37:P1072=A37)*('Footprint Trees'!Q37:Q1072=B37)*('Footprint Trees'!R37:R1072=C37))</f>
        <v>5</v>
      </c>
      <c r="E37" s="78" t="str">
        <v>21.2.2</v>
      </c>
      <c r="F37" t="str" cm="1">
        <f t="array" ref="F37">_xlfn._xlws.FILTER('Footprint Trees'!X37:X1072, ('Footprint Trees'!P37:P1072=A37)*('Footprint Trees'!Q37:Q1072=B37)*('Footprint Trees'!R37:R1072=C37))</f>
        <v>deodar cedar</v>
      </c>
      <c r="G37" t="str" cm="1">
        <f t="array" ref="G37">_xlfn._xlws.FILTER('Footprint Trees'!Y38:Y1072, ('Footprint Trees'!P38:P1072=A37)*('Footprint Trees'!Q38:Q1072=B37)*('Footprint Trees'!R38:R1072=C37))</f>
        <v>Cedrus deodara</v>
      </c>
      <c r="H37" s="88" cm="1">
        <f t="array" ref="H37">SQRT(SUMPRODUCT((('Footprint Trees'!$P$2:$P$1036='Biomass Calcs'!A37)*('Footprint Trees'!$Q$2:$Q$1036='Biomass Calcs'!B37))*('Footprint Trees'!$B$2:$B$1036)^2))</f>
        <v>0.337008559451065</v>
      </c>
      <c r="I37" s="345">
        <v>13.874636650085399</v>
      </c>
      <c r="J37" s="88" cm="1">
        <f t="array" ref="J37">SQRT(SUMPRODUCT((('Footprint Trees'!$P$2:$P$1036='Biomass Calcs'!A37)*('Footprint Trees'!$Q$2:$Q$1036='Biomass Calcs'!B37))*('Footprint Trees'!$E$2:$E$1036)^2))</f>
        <v>0.3788192180974983</v>
      </c>
      <c r="K37" s="345">
        <v>13.2</v>
      </c>
      <c r="L37" t="s">
        <v>1586</v>
      </c>
      <c r="M37" t="s">
        <v>1635</v>
      </c>
      <c r="N37" s="78" t="s">
        <v>1588</v>
      </c>
      <c r="O37" t="s">
        <v>1636</v>
      </c>
      <c r="P37">
        <v>410</v>
      </c>
      <c r="Q37" s="78" t="s">
        <v>1500</v>
      </c>
      <c r="R37" s="2">
        <f t="shared" ref="R37:R39" si="4">EXP(-2.0336+2.2592*LN(J37*100))-EXP(-2.9584+4.4766/(J37*100))</f>
        <v>481.68116083020413</v>
      </c>
      <c r="S37" s="2">
        <f t="shared" ref="S37:S39" si="5">EXP(-2.0336+2.2592*LN(H37*100))-EXP(-2.9584+4.4766/(H37*100))</f>
        <v>369.82437421388835</v>
      </c>
      <c r="T37" s="291">
        <v>369.82</v>
      </c>
      <c r="U37" s="2"/>
    </row>
    <row r="38" spans="1:23">
      <c r="A38">
        <v>21</v>
      </c>
      <c r="B38">
        <v>3</v>
      </c>
      <c r="C38" cm="1">
        <f t="array" ref="C38">MAX(IF(('Footprint Trees'!$P$2:$P$1036=A38)*('Footprint Trees'!$Q$2:$Q$1036=B38),'Footprint Trees'!$R$2:$R$1036))</f>
        <v>2</v>
      </c>
      <c r="D38" cm="1">
        <f t="array" ref="D38">_xlfn._xlws.FILTER('Footprint Trees'!S38:S1073, ('Footprint Trees'!P38:P1073=A38)*('Footprint Trees'!Q38:Q1073=B38)*('Footprint Trees'!R38:R1073=C38))</f>
        <v>5</v>
      </c>
      <c r="E38" s="78" t="str">
        <v>21.3.2</v>
      </c>
      <c r="F38" t="str" cm="1">
        <f t="array" ref="F38">_xlfn._xlws.FILTER('Footprint Trees'!X38:X1073, ('Footprint Trees'!P38:P1073=A38)*('Footprint Trees'!Q38:Q1073=B38)*('Footprint Trees'!R38:R1073=C38))</f>
        <v>deodar cedar</v>
      </c>
      <c r="G38" t="str" cm="1">
        <f t="array" ref="G38">_xlfn._xlws.FILTER('Footprint Trees'!Y39:Y1073, ('Footprint Trees'!P39:P1073=A38)*('Footprint Trees'!Q39:Q1073=B38)*('Footprint Trees'!R39:R1073=C38))</f>
        <v>Cedrus deodara</v>
      </c>
      <c r="H38" s="88" cm="1">
        <f t="array" ref="H38">SQRT(SUMPRODUCT((('Footprint Trees'!$P$2:$P$1036='Biomass Calcs'!A38)*('Footprint Trees'!$Q$2:$Q$1036='Biomass Calcs'!B38))*('Footprint Trees'!$B$2:$B$1036)^2))</f>
        <v>0.29885026967557526</v>
      </c>
      <c r="I38" s="345">
        <v>13.894880294799799</v>
      </c>
      <c r="J38" s="88" cm="1">
        <f t="array" ref="J38">SQRT(SUMPRODUCT((('Footprint Trees'!$P$2:$P$1036='Biomass Calcs'!A38)*('Footprint Trees'!$Q$2:$Q$1036='Biomass Calcs'!B38))*('Footprint Trees'!$E$2:$E$1036)^2))</f>
        <v>0.30346169445252891</v>
      </c>
      <c r="K38" s="345">
        <v>13</v>
      </c>
      <c r="L38" t="s">
        <v>1586</v>
      </c>
      <c r="M38" t="s">
        <v>1635</v>
      </c>
      <c r="N38" s="78" t="s">
        <v>1588</v>
      </c>
      <c r="O38" t="s">
        <v>1636</v>
      </c>
      <c r="P38">
        <v>410</v>
      </c>
      <c r="Q38" s="78" t="s">
        <v>1500</v>
      </c>
      <c r="R38" s="2">
        <f t="shared" si="4"/>
        <v>291.80874979769345</v>
      </c>
      <c r="S38" s="2">
        <f t="shared" si="5"/>
        <v>281.88421445594918</v>
      </c>
      <c r="T38" s="291">
        <v>281.88</v>
      </c>
      <c r="U38" s="2"/>
    </row>
    <row r="39" spans="1:23">
      <c r="A39">
        <v>21</v>
      </c>
      <c r="B39">
        <v>4</v>
      </c>
      <c r="C39" cm="1">
        <f t="array" ref="C39">MAX(IF(('Footprint Trees'!$P$2:$P$1036=A39)*('Footprint Trees'!$Q$2:$Q$1036=B39),'Footprint Trees'!$R$2:$R$1036))</f>
        <v>1</v>
      </c>
      <c r="D39" cm="1">
        <f t="array" ref="D39">_xlfn._xlws.FILTER('Footprint Trees'!S39:S1074, ('Footprint Trees'!P39:P1074=A39)*('Footprint Trees'!Q39:Q1074=B39)*('Footprint Trees'!R39:R1074=C39))</f>
        <v>5</v>
      </c>
      <c r="E39" s="78" t="str">
        <v>21.4.1</v>
      </c>
      <c r="F39" t="str" cm="1">
        <f t="array" ref="F39">_xlfn._xlws.FILTER('Footprint Trees'!X39:X1074, ('Footprint Trees'!P39:P1074=A39)*('Footprint Trees'!Q39:Q1074=B39)*('Footprint Trees'!R39:R1074=C39))</f>
        <v>deodar cedar</v>
      </c>
      <c r="G39" t="str" cm="1">
        <f t="array" ref="G39">_xlfn._xlws.FILTER('Footprint Trees'!Y40:Y1074, ('Footprint Trees'!P40:P1074=A39)*('Footprint Trees'!Q40:Q1074=B39)*('Footprint Trees'!R40:R1074=C39))</f>
        <v>Cedrus deodara</v>
      </c>
      <c r="H39" s="88" cm="1">
        <f t="array" ref="H39">SQRT(SUMPRODUCT((('Footprint Trees'!$P$2:$P$1036='Biomass Calcs'!A39)*('Footprint Trees'!$Q$2:$Q$1036='Biomass Calcs'!B39))*('Footprint Trees'!$B$2:$B$1036)^2))</f>
        <v>0.30838308026487399</v>
      </c>
      <c r="I39" s="345">
        <v>15.126721382141101</v>
      </c>
      <c r="J39" s="88" cm="1">
        <f t="array" ref="J39">SQRT(SUMPRODUCT((('Footprint Trees'!$P$2:$P$1036='Biomass Calcs'!A39)*('Footprint Trees'!$Q$2:$Q$1036='Biomass Calcs'!B39))*('Footprint Trees'!$E$2:$E$1036)^2))</f>
        <v>0.32800000000000001</v>
      </c>
      <c r="K39" s="345">
        <v>15.3</v>
      </c>
      <c r="L39" t="s">
        <v>1586</v>
      </c>
      <c r="M39" t="s">
        <v>1635</v>
      </c>
      <c r="N39" s="78" t="s">
        <v>1588</v>
      </c>
      <c r="O39" t="s">
        <v>1636</v>
      </c>
      <c r="P39">
        <v>410</v>
      </c>
      <c r="Q39" s="78" t="s">
        <v>1500</v>
      </c>
      <c r="R39" s="2">
        <f t="shared" si="4"/>
        <v>347.86173772942698</v>
      </c>
      <c r="S39" s="2">
        <f t="shared" si="5"/>
        <v>302.61188339328976</v>
      </c>
      <c r="T39" s="291">
        <v>302.61</v>
      </c>
      <c r="U39" s="2"/>
    </row>
    <row r="40" spans="1:23">
      <c r="A40">
        <v>17</v>
      </c>
      <c r="B40">
        <v>5</v>
      </c>
      <c r="C40" cm="1">
        <f t="array" ref="C40">MAX(IF(('Footprint Trees'!$P$2:$P$1036=A40)*('Footprint Trees'!$Q$2:$Q$1036=B40),'Footprint Trees'!$R$2:$R$1036))</f>
        <v>2</v>
      </c>
      <c r="D40" cm="1">
        <f t="array" ref="D40">_xlfn._xlws.FILTER('Footprint Trees'!S40:S1075, ('Footprint Trees'!P40:P1075=A40)*('Footprint Trees'!Q40:Q1075=B40)*('Footprint Trees'!R40:R1075=C40))</f>
        <v>5</v>
      </c>
      <c r="E40" s="78" t="str">
        <v>17.5.2</v>
      </c>
      <c r="F40" t="str" cm="1">
        <f t="array" ref="F40">_xlfn._xlws.FILTER('Footprint Trees'!X40:X1075, ('Footprint Trees'!P40:P1075=A40)*('Footprint Trees'!Q40:Q1075=B40)*('Footprint Trees'!R40:R1075=C40))</f>
        <v>coastal live oak</v>
      </c>
      <c r="G40" t="str" cm="1">
        <f t="array" ref="G40">_xlfn._xlws.FILTER('Footprint Trees'!Y41:Y1075, ('Footprint Trees'!P41:P1075=A40)*('Footprint Trees'!Q41:Q1075=B40)*('Footprint Trees'!R41:R1075=C40))</f>
        <v>quercus agrifolia</v>
      </c>
      <c r="H40" s="88" cm="1">
        <f t="array" ref="H40">SQRT(SUMPRODUCT((('Footprint Trees'!$P$2:$P$1036='Biomass Calcs'!A40)*('Footprint Trees'!$Q$2:$Q$1036='Biomass Calcs'!B40))*('Footprint Trees'!$B$2:$B$1036)^2))</f>
        <v>0.38514455751494053</v>
      </c>
      <c r="I40" s="345">
        <v>12.241008758544901</v>
      </c>
      <c r="J40" s="88" cm="1">
        <f t="array" ref="J40">SQRT(SUMPRODUCT((('Footprint Trees'!$P$2:$P$1036='Biomass Calcs'!A40)*('Footprint Trees'!$Q$2:$Q$1036='Biomass Calcs'!B40))*('Footprint Trees'!$E$2:$E$1036)^2))</f>
        <v>0.41292251089036064</v>
      </c>
      <c r="K40" s="345">
        <v>13.2</v>
      </c>
      <c r="L40" t="s">
        <v>1586</v>
      </c>
      <c r="M40" t="s">
        <v>1624</v>
      </c>
      <c r="N40" s="78" t="s">
        <v>1500</v>
      </c>
      <c r="O40" t="s">
        <v>1625</v>
      </c>
      <c r="P40">
        <v>590</v>
      </c>
      <c r="Q40" s="78" t="s">
        <v>1500</v>
      </c>
      <c r="R40" s="642">
        <f>0.0000447*((J40*100)^(2.31958))*((K40)^(0.62528))*P40</f>
        <v>741.2562970784935</v>
      </c>
      <c r="S40" s="642">
        <f>0.0000447*((H40*100)^(2.31958))*((I40)^(0.62528))*P40</f>
        <v>601.63217260696661</v>
      </c>
      <c r="T40" s="291">
        <v>601.63</v>
      </c>
      <c r="U40" s="2"/>
    </row>
    <row r="41" spans="1:23">
      <c r="A41">
        <v>17</v>
      </c>
      <c r="B41">
        <v>6</v>
      </c>
      <c r="C41" cm="1">
        <f t="array" ref="C41">MAX(IF(('Footprint Trees'!$P$2:$P$1036=A41)*('Footprint Trees'!$Q$2:$Q$1036=B41),'Footprint Trees'!$R$2:$R$1036))</f>
        <v>1</v>
      </c>
      <c r="D41" cm="1">
        <f t="array" ref="D41">_xlfn._xlws.FILTER('Footprint Trees'!S41:S1076, ('Footprint Trees'!P41:P1076=A41)*('Footprint Trees'!Q41:Q1076=B41)*('Footprint Trees'!R41:R1076=C41))</f>
        <v>5</v>
      </c>
      <c r="E41" s="78" t="str">
        <v>17.6.1</v>
      </c>
      <c r="F41" t="str" cm="1">
        <f t="array" ref="F41">_xlfn._xlws.FILTER('Footprint Trees'!X41:X1076, ('Footprint Trees'!P41:P1076=A41)*('Footprint Trees'!Q41:Q1076=B41)*('Footprint Trees'!R41:R1076=C41))</f>
        <v>coastal live oak</v>
      </c>
      <c r="G41" t="str" cm="1">
        <f t="array" ref="G41">_xlfn._xlws.FILTER('Footprint Trees'!Y44:Y1076, ('Footprint Trees'!P44:P1076=A41)*('Footprint Trees'!Q44:Q1076=B41)*('Footprint Trees'!R44:R1076=C41))</f>
        <v>quercus agrifolia</v>
      </c>
      <c r="H41" s="88" cm="1">
        <f t="array" ref="H41">SQRT(SUMPRODUCT((('Footprint Trees'!$P$2:$P$1036='Biomass Calcs'!A41)*('Footprint Trees'!$Q$2:$Q$1036='Biomass Calcs'!B41))*('Footprint Trees'!$B$2:$B$1036)^2))</f>
        <v>0.41157524853162902</v>
      </c>
      <c r="I41" s="345">
        <v>13.9149875640869</v>
      </c>
      <c r="J41" s="88" cm="1">
        <f t="array" ref="J41">SQRT(SUMPRODUCT((('Footprint Trees'!$P$2:$P$1036='Biomass Calcs'!A41)*('Footprint Trees'!$Q$2:$Q$1036='Biomass Calcs'!B41))*('Footprint Trees'!$E$2:$E$1036)^2))</f>
        <v>0.45</v>
      </c>
      <c r="K41" s="345">
        <v>14</v>
      </c>
      <c r="L41" t="s">
        <v>1586</v>
      </c>
      <c r="M41" t="s">
        <v>1624</v>
      </c>
      <c r="N41" s="78" t="s">
        <v>1500</v>
      </c>
      <c r="O41" t="s">
        <v>1625</v>
      </c>
      <c r="P41">
        <v>590</v>
      </c>
      <c r="Q41" s="78" t="s">
        <v>1500</v>
      </c>
      <c r="R41" s="642">
        <f>0.0000447*((J41*100)^(2.31958))*((K41)^(0.62528))*P41</f>
        <v>938.79151484608087</v>
      </c>
      <c r="S41" s="642">
        <f>0.0000447*((H41*100)^(2.31958))*((I41)^(0.62528))*P41</f>
        <v>760.32743819143138</v>
      </c>
      <c r="T41" s="291">
        <v>760.33</v>
      </c>
      <c r="U41" s="2"/>
    </row>
    <row r="42" spans="1:23">
      <c r="A42">
        <v>22</v>
      </c>
      <c r="B42">
        <v>1</v>
      </c>
      <c r="C42" cm="1">
        <f t="array" ref="C42">MAX(IF(('Footprint Trees'!$P$2:$P$1036=A42)*('Footprint Trees'!$Q$2:$Q$1036=B42),'Footprint Trees'!$R$2:$R$1036))</f>
        <v>1</v>
      </c>
      <c r="D42" cm="1">
        <f t="array" ref="D42">_xlfn._xlws.FILTER('Footprint Trees'!S42:S1077, ('Footprint Trees'!P42:P1077=A42)*('Footprint Trees'!Q42:Q1077=B42)*('Footprint Trees'!R42:R1077=C42))</f>
        <v>5</v>
      </c>
      <c r="E42" s="78" t="str">
        <v>22.1.1</v>
      </c>
      <c r="F42" t="str" cm="1">
        <f t="array" ref="F42">_xlfn._xlws.FILTER('Footprint Trees'!X42:X1077, ('Footprint Trees'!P42:P1077=A42)*('Footprint Trees'!Q42:Q1077=B42)*('Footprint Trees'!R42:R1077=C42))</f>
        <v>weeping atlas cedar</v>
      </c>
      <c r="G42" t="str" cm="1">
        <f t="array" ref="G42">_xlfn._xlws.FILTER('Footprint Trees'!Y45:Y1077, ('Footprint Trees'!P45:P1077=A42)*('Footprint Trees'!Q45:Q1077=B42)*('Footprint Trees'!R45:R1077=C42))</f>
        <v>cedrus libani ssp. atlantica 'pendula'</v>
      </c>
      <c r="H42" s="88" cm="1">
        <f t="array" ref="H42">SQRT(SUMPRODUCT((('Footprint Trees'!$P$2:$P$1036='Biomass Calcs'!A42)*('Footprint Trees'!$Q$2:$Q$1036='Biomass Calcs'!B42))*('Footprint Trees'!$B$2:$B$1036)^2))</f>
        <v>0.11365509998630099</v>
      </c>
      <c r="I42" s="345">
        <v>3.3631234169006299</v>
      </c>
      <c r="J42" s="88" cm="1">
        <f t="array" ref="J42">SQRT(SUMPRODUCT((('Footprint Trees'!$P$2:$P$1036='Biomass Calcs'!A42)*('Footprint Trees'!$Q$2:$Q$1036='Biomass Calcs'!B42))*('Footprint Trees'!$E$2:$E$1036)^2))</f>
        <v>0.13900000000000001</v>
      </c>
      <c r="K42" s="345">
        <v>3.1</v>
      </c>
      <c r="L42" s="6" t="s">
        <v>1638</v>
      </c>
      <c r="M42" t="s">
        <v>1639</v>
      </c>
      <c r="N42" s="78" t="s">
        <v>1500</v>
      </c>
      <c r="O42" t="s">
        <v>1640</v>
      </c>
      <c r="P42">
        <v>0.44</v>
      </c>
      <c r="Q42" s="78" t="s">
        <v>1588</v>
      </c>
      <c r="R42" s="2">
        <f>(-0.0174+0.3786521*(J42)-0.04049701*(J42)*(K42)+0.25817336*(J42)^2*(K42)+0.0029171359*(J42)*(K42)^2)*P42*1000</f>
        <v>16.342691406534684</v>
      </c>
      <c r="S42" s="2">
        <f>(-0.0174+0.3786521*(H42)-0.04049701*(H42)*(I42)+0.25817336*(H42)^2*(I42)+0.0029171359*(H42)*(I42)^2)*P42*1000</f>
        <v>11.053754234703344</v>
      </c>
      <c r="T42" s="291">
        <v>11.05</v>
      </c>
      <c r="U42" s="641" t="s">
        <v>1641</v>
      </c>
      <c r="V42" s="655">
        <f>EXP(-2.0336+2.2592*LN(J42*100))</f>
        <v>50.017016005215787</v>
      </c>
      <c r="W42" s="655">
        <f>EXP(-2.0336+2.2592*LN(H42*100))</f>
        <v>31.739877668798808</v>
      </c>
    </row>
    <row r="43" spans="1:23">
      <c r="A43">
        <v>23</v>
      </c>
      <c r="B43">
        <v>1</v>
      </c>
      <c r="C43" cm="1">
        <f t="array" ref="C43">MAX(IF(('Footprint Trees'!$P$2:$P$1036=A43)*('Footprint Trees'!$Q$2:$Q$1036=B43),'Footprint Trees'!$R$2:$R$1036))</f>
        <v>1</v>
      </c>
      <c r="D43" cm="1">
        <f t="array" ref="D43">_xlfn._xlws.FILTER('Footprint Trees'!S43:S1078, ('Footprint Trees'!P43:P1078=A43)*('Footprint Trees'!Q43:Q1078=B43)*('Footprint Trees'!R43:R1078=C43))</f>
        <v>5</v>
      </c>
      <c r="E43" s="78" t="str">
        <v>23.1.1</v>
      </c>
      <c r="F43" t="str" cm="1">
        <f t="array" ref="F43">_xlfn._xlws.FILTER('Footprint Trees'!X43:X1078, ('Footprint Trees'!P43:P1078=A43)*('Footprint Trees'!Q43:Q1078=B43)*('Footprint Trees'!R43:R1078=C43))</f>
        <v>canary island pine</v>
      </c>
      <c r="G43" t="str" cm="1">
        <f t="array" ref="G43">_xlfn._xlws.FILTER('Footprint Trees'!Y46:Y1078, ('Footprint Trees'!P46:P1078=A43)*('Footprint Trees'!Q46:Q1078=B43)*('Footprint Trees'!R46:R1078=C43))</f>
        <v>Pinus canariensis</v>
      </c>
      <c r="H43" s="88" cm="1">
        <f t="array" ref="H43">SQRT(SUMPRODUCT((('Footprint Trees'!$P$2:$P$1036='Biomass Calcs'!A43)*('Footprint Trees'!$Q$2:$Q$1036='Biomass Calcs'!B43))*('Footprint Trees'!$B$2:$B$1036)^2))</f>
        <v>0.69444430196134599</v>
      </c>
      <c r="I43" s="345">
        <v>18.2246398925781</v>
      </c>
      <c r="J43" s="88" cm="1">
        <f t="array" ref="J43">SQRT(SUMPRODUCT((('Footprint Trees'!$P$2:$P$1036='Biomass Calcs'!A43)*('Footprint Trees'!$Q$2:$Q$1036='Biomass Calcs'!B43))*('Footprint Trees'!$E$2:$E$1036)^2))</f>
        <v>0.73199999999999998</v>
      </c>
      <c r="K43" s="345">
        <v>17.899999999999999</v>
      </c>
      <c r="L43" t="s">
        <v>1586</v>
      </c>
      <c r="M43" t="s">
        <v>1642</v>
      </c>
      <c r="N43" s="78" t="s">
        <v>1588</v>
      </c>
      <c r="O43" t="s">
        <v>1643</v>
      </c>
      <c r="P43">
        <v>610</v>
      </c>
      <c r="Q43" s="78" t="s">
        <v>1500</v>
      </c>
      <c r="R43" s="2">
        <f>0.0000426*((J43*100)^(2.24358))*((K43)^0.64956)*P43</f>
        <v>2580.610263250117</v>
      </c>
      <c r="S43" s="2">
        <f>0.0000426*((H43*100)^(2.24358))*((I43)^0.64956)*P43</f>
        <v>2319.9250024901821</v>
      </c>
      <c r="T43" s="291">
        <v>2319.9299999999998</v>
      </c>
      <c r="U43" s="2"/>
    </row>
    <row r="44" spans="1:23">
      <c r="A44">
        <v>23</v>
      </c>
      <c r="B44">
        <v>2</v>
      </c>
      <c r="C44" cm="1">
        <f t="array" ref="C44">MAX(IF(('Footprint Trees'!$P$2:$P$1036=A44)*('Footprint Trees'!$Q$2:$Q$1036=B44),'Footprint Trees'!$R$2:$R$1036))</f>
        <v>2</v>
      </c>
      <c r="D44" cm="1">
        <f t="array" ref="D44">_xlfn._xlws.FILTER('Footprint Trees'!S44:S1079, ('Footprint Trees'!P44:P1079=A44)*('Footprint Trees'!Q44:Q1079=B44)*('Footprint Trees'!R44:R1079=C44))</f>
        <v>5</v>
      </c>
      <c r="E44" s="78" t="str">
        <v>23.2.2</v>
      </c>
      <c r="F44" t="str" cm="1">
        <f t="array" ref="F44">_xlfn._xlws.FILTER('Footprint Trees'!X44:X1079, ('Footprint Trees'!P44:P1079=A44)*('Footprint Trees'!Q44:Q1079=B44)*('Footprint Trees'!R44:R1079=C44))</f>
        <v>canary island pine</v>
      </c>
      <c r="G44" t="str" cm="1">
        <f t="array" ref="G44">_xlfn._xlws.FILTER('Footprint Trees'!Y47:Y1079, ('Footprint Trees'!P47:P1079=A44)*('Footprint Trees'!Q47:Q1079=B44)*('Footprint Trees'!R47:R1079=C44))</f>
        <v>Pinus canariensis</v>
      </c>
      <c r="H44" s="88" cm="1">
        <f t="array" ref="H44">SQRT(SUMPRODUCT((('Footprint Trees'!$P$2:$P$1036='Biomass Calcs'!A44)*('Footprint Trees'!$Q$2:$Q$1036='Biomass Calcs'!B44))*('Footprint Trees'!$B$2:$B$1036)^2))</f>
        <v>0.56310853136793249</v>
      </c>
      <c r="I44" s="345">
        <v>16.29150390625</v>
      </c>
      <c r="J44" s="88" cm="1">
        <f t="array" ref="J44">SQRT(SUMPRODUCT((('Footprint Trees'!$P$2:$P$1036='Biomass Calcs'!A44)*('Footprint Trees'!$Q$2:$Q$1036='Biomass Calcs'!B44))*('Footprint Trees'!$E$2:$E$1036)^2))</f>
        <v>0.67389168269092037</v>
      </c>
      <c r="K44" s="345">
        <v>16.8</v>
      </c>
      <c r="L44" t="s">
        <v>1586</v>
      </c>
      <c r="M44" t="s">
        <v>1642</v>
      </c>
      <c r="N44" s="78" t="s">
        <v>1588</v>
      </c>
      <c r="O44" t="s">
        <v>1643</v>
      </c>
      <c r="P44">
        <v>610</v>
      </c>
      <c r="Q44" s="78" t="s">
        <v>1500</v>
      </c>
      <c r="R44" s="2">
        <f>0.0000426*((J44*100)^(2.24358))*((K44)^0.64956)*P44</f>
        <v>2057.0246655575352</v>
      </c>
      <c r="S44" s="2">
        <f>0.0000426*((H44*100)^(2.24358))*((I44)^0.64956)*P44</f>
        <v>1347.6414985891338</v>
      </c>
      <c r="T44" s="291">
        <v>1347.64</v>
      </c>
      <c r="U44" s="2"/>
    </row>
    <row r="45" spans="1:23" s="175" customFormat="1">
      <c r="A45" s="175">
        <v>24</v>
      </c>
      <c r="B45" s="175">
        <v>1</v>
      </c>
      <c r="C45" s="175" cm="1">
        <f t="array" ref="C45">MAX(IF(('Footprint Trees'!$P$2:$P$1036=A45)*('Footprint Trees'!$Q$2:$Q$1036=B45),'Footprint Trees'!$R$2:$R$1036))</f>
        <v>2</v>
      </c>
      <c r="D45" s="175" cm="1">
        <f t="array" ref="D45">_xlfn._xlws.FILTER('Footprint Trees'!S45:S1080, ('Footprint Trees'!P45:P1080=A45)*('Footprint Trees'!Q45:Q1080=B45)*('Footprint Trees'!R45:R1080=C45))</f>
        <v>5</v>
      </c>
      <c r="E45" s="344" t="str">
        <v>24.1.2</v>
      </c>
      <c r="F45" s="175" t="str" cm="1">
        <f t="array" ref="F45">_xlfn._xlws.FILTER('Footprint Trees'!X45:X1080, ('Footprint Trees'!P45:P1080=A45)*('Footprint Trees'!Q45:Q1080=B45)*('Footprint Trees'!R45:R1080=C45))</f>
        <v>MONTEREY CYPRESS</v>
      </c>
      <c r="G45" s="175" t="str" cm="1">
        <f t="array" ref="G45">_xlfn._xlws.FILTER('Footprint Trees'!Y48:Y1080, ('Footprint Trees'!P48:P1080=A45)*('Footprint Trees'!Q48:Q1080=B45)*('Footprint Trees'!R48:R1080=C45))</f>
        <v>Hesperocyparis macrocarpa</v>
      </c>
      <c r="H45" s="354" cm="1">
        <f t="array" ref="H45">SQRT(SUMPRODUCT((('Footprint Trees'!$P$2:$P$1036='Biomass Calcs'!A45)*('Footprint Trees'!$Q$2:$Q$1036='Biomass Calcs'!B45))*('Footprint Trees'!$B$2:$B$1036)^2))</f>
        <v>0</v>
      </c>
      <c r="I45" s="356">
        <v>0</v>
      </c>
      <c r="J45" s="354" cm="1">
        <f t="array" ref="J45">SQRT(SUMPRODUCT((('Footprint Trees'!$P$2:$P$1036='Biomass Calcs'!A45)*('Footprint Trees'!$Q$2:$Q$1036='Biomass Calcs'!B45))*('Footprint Trees'!$E$2:$E$1036)^2))</f>
        <v>6.9289248805280035E-2</v>
      </c>
      <c r="K45" s="356">
        <v>4</v>
      </c>
      <c r="L45" s="653" t="s">
        <v>1644</v>
      </c>
      <c r="M45" s="175" t="s">
        <v>1645</v>
      </c>
      <c r="N45" s="344" t="s">
        <v>1588</v>
      </c>
      <c r="O45" s="175" t="s">
        <v>1646</v>
      </c>
      <c r="Q45" s="344" t="s">
        <v>1631</v>
      </c>
      <c r="R45" s="357">
        <f>EXP(-2.6327+2.4757*LN(J45*100))</f>
        <v>8.6670114383454386</v>
      </c>
      <c r="S45" s="357" t="e">
        <f>EXP(-2.6327+2.4757*LN(H45*100))</f>
        <v>#NUM!</v>
      </c>
      <c r="T45" s="663">
        <v>7</v>
      </c>
      <c r="U45" s="643" t="s">
        <v>1647</v>
      </c>
      <c r="V45" s="656" cm="1">
        <f t="array" ref="V45">SUMPRODUCT(($D$2:$D$82=6)*IFERROR($R$2:$R$82,0))</f>
        <v>2130.4212381130842</v>
      </c>
      <c r="W45" s="656" cm="1">
        <f t="array" ref="W45">SUMPRODUCT(($D$2:$D$1000=6)*IFERROR($S$2:$S$1000,0))</f>
        <v>2034.0708372261806</v>
      </c>
    </row>
    <row r="46" spans="1:23">
      <c r="A46">
        <v>25</v>
      </c>
      <c r="B46">
        <v>1</v>
      </c>
      <c r="C46" cm="1">
        <f t="array" ref="C46">MAX(IF(('Footprint Trees'!$P$2:$P$1036=A46)*('Footprint Trees'!$Q$2:$Q$1036=B46),'Footprint Trees'!$R$2:$R$1036))</f>
        <v>1</v>
      </c>
      <c r="D46" cm="1">
        <f t="array" ref="D46">_xlfn._xlws.FILTER('Footprint Trees'!S46:S1081, ('Footprint Trees'!P46:P1081=A46)*('Footprint Trees'!Q46:Q1081=B46)*('Footprint Trees'!R46:R1081=C46))</f>
        <v>4</v>
      </c>
      <c r="E46" s="78" t="str">
        <v>25.1.1</v>
      </c>
      <c r="F46" t="str" cm="1">
        <f t="array" ref="F46">_xlfn._xlws.FILTER('Footprint Trees'!X46:X1081, ('Footprint Trees'!P46:P1081=A46)*('Footprint Trees'!Q46:Q1081=B46)*('Footprint Trees'!R46:R1081=C46))</f>
        <v>italian stone pine</v>
      </c>
      <c r="G46" t="str" cm="1">
        <f t="array" ref="G46">_xlfn._xlws.FILTER('Footprint Trees'!Y49:Y1081, ('Footprint Trees'!P49:P1081=A46)*('Footprint Trees'!Q49:Q1081=B46)*('Footprint Trees'!R49:R1081=C46))</f>
        <v>Pinus pinea</v>
      </c>
      <c r="H46" s="88" cm="1">
        <f t="array" ref="H46">SQRT(SUMPRODUCT((('Footprint Trees'!$P$2:$P$1036='Biomass Calcs'!A46)*('Footprint Trees'!$Q$2:$Q$1036='Biomass Calcs'!B46))*('Footprint Trees'!$B$2:$B$1036)^2))</f>
        <v>0.61544881485006497</v>
      </c>
      <c r="I46" s="345">
        <v>12.9264621734619</v>
      </c>
      <c r="J46" s="88" cm="1">
        <f t="array" ref="J46">SQRT(SUMPRODUCT((('Footprint Trees'!$P$2:$P$1036='Biomass Calcs'!A46)*('Footprint Trees'!$Q$2:$Q$1036='Biomass Calcs'!B46))*('Footprint Trees'!$E$2:$E$1036)^2))</f>
        <v>0.629</v>
      </c>
      <c r="K46" s="345">
        <v>11.8</v>
      </c>
      <c r="L46" t="s">
        <v>1586</v>
      </c>
      <c r="M46" t="s">
        <v>1642</v>
      </c>
      <c r="N46" s="78" t="s">
        <v>1588</v>
      </c>
      <c r="O46" t="s">
        <v>1648</v>
      </c>
      <c r="P46">
        <v>0.47</v>
      </c>
      <c r="Q46" s="78" t="s">
        <v>1500</v>
      </c>
      <c r="R46">
        <f>0.0000426*((J46*100)^2.24358)*(K46^0.64956)*(P46*1000)</f>
        <v>1079.3834350736797</v>
      </c>
      <c r="S46">
        <f>0.0000426*((H46*100)^2.24358)*(I46^0.64956)*(P46*1000)</f>
        <v>1090.6250030744673</v>
      </c>
      <c r="T46" s="291">
        <v>1090.6300000000001</v>
      </c>
      <c r="U46" s="2"/>
    </row>
    <row r="47" spans="1:23">
      <c r="A47">
        <v>25</v>
      </c>
      <c r="B47">
        <v>2</v>
      </c>
      <c r="C47" cm="1">
        <f t="array" ref="C47">MAX(IF(('Footprint Trees'!$P$2:$P$1036=A47)*('Footprint Trees'!$Q$2:$Q$1036=B47),'Footprint Trees'!$R$2:$R$1036))</f>
        <v>3</v>
      </c>
      <c r="D47" cm="1">
        <f t="array" ref="D47">_xlfn._xlws.FILTER('Footprint Trees'!S47:S1082, ('Footprint Trees'!P47:P1082=A47)*('Footprint Trees'!Q47:Q1082=B47)*('Footprint Trees'!R47:R1082=C47))</f>
        <v>4</v>
      </c>
      <c r="E47" s="78" t="str">
        <v>25.2.3</v>
      </c>
      <c r="F47" t="str" cm="1">
        <f t="array" ref="F47">_xlfn._xlws.FILTER('Footprint Trees'!X47:X1082, ('Footprint Trees'!P47:P1082=A47)*('Footprint Trees'!Q47:Q1082=B47)*('Footprint Trees'!R47:R1082=C47))</f>
        <v>italian stone pine</v>
      </c>
      <c r="G47" t="str" cm="1">
        <f t="array" ref="G47">_xlfn._xlws.FILTER('Footprint Trees'!Y50:Y1082, ('Footprint Trees'!P50:P1082=A47)*('Footprint Trees'!Q50:Q1082=B47)*('Footprint Trees'!R50:R1082=C47))</f>
        <v>Pinus pinea</v>
      </c>
      <c r="H47" s="88" cm="1">
        <f t="array" ref="H47">SQRT(SUMPRODUCT((('Footprint Trees'!$P$2:$P$1036='Biomass Calcs'!A47)*('Footprint Trees'!$Q$2:$Q$1036='Biomass Calcs'!B47))*('Footprint Trees'!$B$2:$B$1036)^2))</f>
        <v>0.54802051731561352</v>
      </c>
      <c r="I47" s="345">
        <v>12.026494026184</v>
      </c>
      <c r="J47" s="88" cm="1">
        <f t="array" ref="J47">SQRT(SUMPRODUCT((('Footprint Trees'!$P$2:$P$1036='Biomass Calcs'!A47)*('Footprint Trees'!$Q$2:$Q$1036='Biomass Calcs'!B47))*('Footprint Trees'!$E$2:$E$1036)^2))</f>
        <v>0.59404881954263655</v>
      </c>
      <c r="K47" s="345">
        <v>11.7</v>
      </c>
      <c r="L47" t="s">
        <v>1586</v>
      </c>
      <c r="M47" t="s">
        <v>1642</v>
      </c>
      <c r="N47" s="78" t="s">
        <v>1588</v>
      </c>
      <c r="O47" t="s">
        <v>1649</v>
      </c>
      <c r="P47">
        <v>0.47</v>
      </c>
      <c r="Q47" s="78" t="s">
        <v>1500</v>
      </c>
      <c r="R47">
        <f t="shared" ref="R47:R50" si="6">0.0000426*((J47*100)^2.24358)*(K47^0.64956)*(P47*1000)</f>
        <v>944.21334888085039</v>
      </c>
      <c r="S47">
        <f t="shared" ref="S47:S50" si="7">0.0000426*((H47*100)^2.24358)*(I47^0.64956)*(P47*1000)</f>
        <v>802.14399647564926</v>
      </c>
      <c r="T47" s="291">
        <v>802.14</v>
      </c>
      <c r="U47" s="2"/>
    </row>
    <row r="48" spans="1:23">
      <c r="A48">
        <v>25</v>
      </c>
      <c r="B48">
        <v>3</v>
      </c>
      <c r="C48" cm="1">
        <f t="array" ref="C48">MAX(IF(('Footprint Trees'!$P$2:$P$1036=A48)*('Footprint Trees'!$Q$2:$Q$1036=B48),'Footprint Trees'!$R$2:$R$1036))</f>
        <v>5</v>
      </c>
      <c r="D48" cm="1">
        <f t="array" ref="D48">_xlfn._xlws.FILTER('Footprint Trees'!S48:S1083, ('Footprint Trees'!P48:P1083=A48)*('Footprint Trees'!Q48:Q1083=B48)*('Footprint Trees'!R48:R1083=C48))</f>
        <v>4</v>
      </c>
      <c r="E48" s="78" t="str">
        <v>25.3.5</v>
      </c>
      <c r="F48" t="str" cm="1">
        <f t="array" ref="F48">_xlfn._xlws.FILTER('Footprint Trees'!X48:X1083, ('Footprint Trees'!P48:P1083=A48)*('Footprint Trees'!Q48:Q1083=B48)*('Footprint Trees'!R48:R1083=C48))</f>
        <v>italian stone pine</v>
      </c>
      <c r="G48" t="str" cm="1">
        <f t="array" ref="G48">_xlfn._xlws.FILTER('Footprint Trees'!Y51:Y1083, ('Footprint Trees'!P51:P1083=A48)*('Footprint Trees'!Q51:Q1083=B48)*('Footprint Trees'!R51:R1083=C48))</f>
        <v>Pinus pinea</v>
      </c>
      <c r="H48" s="88" cm="1">
        <f t="array" ref="H48">SQRT(SUMPRODUCT((('Footprint Trees'!$P$2:$P$1036='Biomass Calcs'!A48)*('Footprint Trees'!$Q$2:$Q$1036='Biomass Calcs'!B48))*('Footprint Trees'!$B$2:$B$1036)^2))</f>
        <v>0.51702523988146742</v>
      </c>
      <c r="I48" s="345">
        <v>13.942717552185</v>
      </c>
      <c r="J48" s="88" cm="1">
        <f t="array" ref="J48">SQRT(SUMPRODUCT((('Footprint Trees'!$P$2:$P$1036='Biomass Calcs'!A48)*('Footprint Trees'!$Q$2:$Q$1036='Biomass Calcs'!B48))*('Footprint Trees'!$E$2:$E$1036)^2))</f>
        <v>0.61081257354445473</v>
      </c>
      <c r="K48" s="345">
        <v>13.2</v>
      </c>
      <c r="L48" t="s">
        <v>1586</v>
      </c>
      <c r="M48" t="s">
        <v>1642</v>
      </c>
      <c r="N48" s="78" t="s">
        <v>1588</v>
      </c>
      <c r="O48" t="s">
        <v>1650</v>
      </c>
      <c r="P48">
        <v>0.47</v>
      </c>
      <c r="Q48" s="78" t="s">
        <v>1500</v>
      </c>
      <c r="R48">
        <f t="shared" si="6"/>
        <v>1086.9632465418113</v>
      </c>
      <c r="S48">
        <f t="shared" si="7"/>
        <v>774.87286685858066</v>
      </c>
      <c r="T48" s="291">
        <v>774.87</v>
      </c>
      <c r="U48" s="2"/>
    </row>
    <row r="49" spans="1:35">
      <c r="A49">
        <v>25</v>
      </c>
      <c r="B49">
        <v>4</v>
      </c>
      <c r="C49" cm="1">
        <f t="array" ref="C49">MAX(IF(('Footprint Trees'!$P$2:$P$1036=A49)*('Footprint Trees'!$Q$2:$Q$1036=B49),'Footprint Trees'!$R$2:$R$1036))</f>
        <v>2</v>
      </c>
      <c r="D49" cm="1">
        <f t="array" ref="D49">_xlfn._xlws.FILTER('Footprint Trees'!S49:S1084, ('Footprint Trees'!P49:P1084=A49)*('Footprint Trees'!Q49:Q1084=B49)*('Footprint Trees'!R49:R1084=C49))</f>
        <v>4</v>
      </c>
      <c r="E49" s="78" t="str">
        <v>25.4.2</v>
      </c>
      <c r="F49" t="str" cm="1">
        <f t="array" ref="F49">_xlfn._xlws.FILTER('Footprint Trees'!X49:X1084, ('Footprint Trees'!P49:P1084=A49)*('Footprint Trees'!Q49:Q1084=B49)*('Footprint Trees'!R49:R1084=C49))</f>
        <v>italian stone pine</v>
      </c>
      <c r="G49" t="str" cm="1">
        <f t="array" ref="G49">_xlfn._xlws.FILTER('Footprint Trees'!Y52:Y1084, ('Footprint Trees'!P52:P1084=A49)*('Footprint Trees'!Q52:Q1084=B49)*('Footprint Trees'!R52:R1084=C49))</f>
        <v>Pinus pinea</v>
      </c>
      <c r="H49" s="88" cm="1">
        <f t="array" ref="H49">SQRT(SUMPRODUCT((('Footprint Trees'!$P$2:$P$1036='Biomass Calcs'!A49)*('Footprint Trees'!$Q$2:$Q$1036='Biomass Calcs'!B49))*('Footprint Trees'!$B$2:$B$1036)^2))</f>
        <v>0.82021094865869382</v>
      </c>
      <c r="I49" s="345">
        <v>14.3909034729003</v>
      </c>
      <c r="J49" s="88" cm="1">
        <f t="array" ref="J49">SQRT(SUMPRODUCT((('Footprint Trees'!$P$2:$P$1036='Biomass Calcs'!A49)*('Footprint Trees'!$Q$2:$Q$1036='Biomass Calcs'!B49))*('Footprint Trees'!$E$2:$E$1036)^2))</f>
        <v>0.83827740038724585</v>
      </c>
      <c r="K49" s="345">
        <v>14.1</v>
      </c>
      <c r="L49" t="s">
        <v>1586</v>
      </c>
      <c r="M49" t="s">
        <v>1642</v>
      </c>
      <c r="N49" s="78" t="s">
        <v>1588</v>
      </c>
      <c r="O49" t="s">
        <v>1651</v>
      </c>
      <c r="P49">
        <v>0.47</v>
      </c>
      <c r="Q49" s="78" t="s">
        <v>1500</v>
      </c>
      <c r="R49">
        <f t="shared" si="6"/>
        <v>2308.1739206679867</v>
      </c>
      <c r="S49">
        <f t="shared" si="7"/>
        <v>2227.4104367401533</v>
      </c>
      <c r="T49" s="291">
        <v>2227.41</v>
      </c>
      <c r="U49" s="2"/>
    </row>
    <row r="50" spans="1:35">
      <c r="A50">
        <v>25</v>
      </c>
      <c r="B50">
        <v>5</v>
      </c>
      <c r="C50" cm="1">
        <f t="array" ref="C50">MAX(IF(('Footprint Trees'!$P$2:$P$1036=A50)*('Footprint Trees'!$Q$2:$Q$1036=B50),'Footprint Trees'!$R$2:$R$1036))</f>
        <v>4</v>
      </c>
      <c r="D50" cm="1">
        <f t="array" ref="D50">_xlfn._xlws.FILTER('Footprint Trees'!S50:S1085, ('Footprint Trees'!P50:P1085=A50)*('Footprint Trees'!Q50:Q1085=B50)*('Footprint Trees'!R50:R1085=C50))</f>
        <v>4</v>
      </c>
      <c r="E50" s="78" t="str">
        <v>25.5.4</v>
      </c>
      <c r="F50" t="str" cm="1">
        <f t="array" ref="F50">_xlfn._xlws.FILTER('Footprint Trees'!X50:X1085, ('Footprint Trees'!P50:P1085=A50)*('Footprint Trees'!Q50:Q1085=B50)*('Footprint Trees'!R50:R1085=C50))</f>
        <v>italian stone pine</v>
      </c>
      <c r="G50" t="str" cm="1">
        <f t="array" ref="G50">_xlfn._xlws.FILTER('Footprint Trees'!Y53:Y1085, ('Footprint Trees'!P53:P1085=A50)*('Footprint Trees'!Q53:Q1085=B50)*('Footprint Trees'!R53:R1085=C50))</f>
        <v>Pinus pinea</v>
      </c>
      <c r="H50" s="88" cm="1">
        <f t="array" ref="H50">SQRT(SUMPRODUCT((('Footprint Trees'!$P$2:$P$1036='Biomass Calcs'!A50)*('Footprint Trees'!$Q$2:$Q$1036='Biomass Calcs'!B50))*('Footprint Trees'!$B$2:$B$1036)^2))</f>
        <v>0.75325191821260917</v>
      </c>
      <c r="I50" s="345">
        <v>13.256700515746999</v>
      </c>
      <c r="J50" s="88" cm="1">
        <f t="array" ref="J50">SQRT(SUMPRODUCT((('Footprint Trees'!$P$2:$P$1036='Biomass Calcs'!A50)*('Footprint Trees'!$Q$2:$Q$1036='Biomass Calcs'!B50))*('Footprint Trees'!$E$2:$E$1036)^2))</f>
        <v>0.836575160998699</v>
      </c>
      <c r="K50" s="345">
        <v>13</v>
      </c>
      <c r="L50" t="s">
        <v>1586</v>
      </c>
      <c r="M50" t="s">
        <v>1642</v>
      </c>
      <c r="N50" s="78" t="s">
        <v>1588</v>
      </c>
      <c r="O50" t="s">
        <v>1652</v>
      </c>
      <c r="P50">
        <v>0.47</v>
      </c>
      <c r="Q50" s="78" t="s">
        <v>1500</v>
      </c>
      <c r="R50">
        <f t="shared" si="6"/>
        <v>2179.5869142837578</v>
      </c>
      <c r="S50">
        <f t="shared" si="7"/>
        <v>1744.4648481721392</v>
      </c>
      <c r="T50" s="291">
        <v>1744.46</v>
      </c>
      <c r="U50" s="2"/>
    </row>
    <row r="51" spans="1:35">
      <c r="A51">
        <v>26</v>
      </c>
      <c r="B51">
        <v>1</v>
      </c>
      <c r="C51" cm="1">
        <f t="array" ref="C51">MAX(IF(('Footprint Trees'!$P$2:$P$1036=A51)*('Footprint Trees'!$Q$2:$Q$1036=B51),'Footprint Trees'!$R$2:$R$1036))</f>
        <v>1</v>
      </c>
      <c r="D51" cm="1">
        <f t="array" ref="D51">_xlfn._xlws.FILTER('Footprint Trees'!S51:S1086, ('Footprint Trees'!P51:P1086=A51)*('Footprint Trees'!Q51:Q1086=B51)*('Footprint Trees'!R51:R1086=C51))</f>
        <v>4</v>
      </c>
      <c r="E51" s="78" t="str">
        <v>26.1.1</v>
      </c>
      <c r="F51" t="str" cm="1">
        <f t="array" ref="F51">_xlfn._xlws.FILTER('Footprint Trees'!X51:X1086, ('Footprint Trees'!P51:P1086=A51)*('Footprint Trees'!Q51:Q1086=B51)*('Footprint Trees'!R51:R1086=C51))</f>
        <v>Euphorbia lambii</v>
      </c>
      <c r="G51" t="str" cm="1">
        <f t="array" ref="G51">_xlfn._xlws.FILTER('Footprint Trees'!Y54:Y1086, ('Footprint Trees'!P54:P1086=A51)*('Footprint Trees'!Q54:Q1086=B51)*('Footprint Trees'!R54:R1086=C51))</f>
        <v>Euphorbia lambii</v>
      </c>
      <c r="H51" s="88" cm="1">
        <f t="array" ref="H51">SQRT(SUMPRODUCT((('Footprint Trees'!$P$2:$P$1036='Biomass Calcs'!A51)*('Footprint Trees'!$Q$2:$Q$1036='Biomass Calcs'!B51))*('Footprint Trees'!$B$2:$B$1036)^2))</f>
        <v>0.11525100000000001</v>
      </c>
      <c r="I51" s="345">
        <v>3.3028759999999999</v>
      </c>
      <c r="J51" s="88" cm="1">
        <f t="array" ref="J51">SQRT(SUMPRODUCT((('Footprint Trees'!$P$2:$P$1036='Biomass Calcs'!A51)*('Footprint Trees'!$Q$2:$Q$1036='Biomass Calcs'!B51))*('Footprint Trees'!$E$2:$E$1036)^2))</f>
        <v>0.1</v>
      </c>
      <c r="K51" s="345">
        <v>3</v>
      </c>
      <c r="L51" t="s">
        <v>1653</v>
      </c>
      <c r="M51" t="s">
        <v>1654</v>
      </c>
      <c r="N51" s="78" t="s">
        <v>1588</v>
      </c>
      <c r="O51" t="s">
        <v>1655</v>
      </c>
      <c r="Q51" s="78" t="s">
        <v>1631</v>
      </c>
      <c r="R51" s="2">
        <f>(EXP(-3.101)*(J51*100)^2.333)</f>
        <v>9.6884167451066681</v>
      </c>
      <c r="S51" s="2">
        <f>(EXP(-3.101)*(H51*100)^2.333)</f>
        <v>13.491800232535107</v>
      </c>
      <c r="T51" s="291">
        <v>13.49</v>
      </c>
      <c r="U51" s="2"/>
    </row>
    <row r="52" spans="1:35">
      <c r="A52">
        <v>26</v>
      </c>
      <c r="B52">
        <v>2</v>
      </c>
      <c r="C52" cm="1">
        <f t="array" ref="C52">MAX(IF(('Footprint Trees'!$P$2:$P$1036=A52)*('Footprint Trees'!$Q$2:$Q$1036=B52),'Footprint Trees'!$R$2:$R$1036))</f>
        <v>1</v>
      </c>
      <c r="D52" cm="1">
        <f t="array" ref="D52">_xlfn._xlws.FILTER('Footprint Trees'!S52:S1087, ('Footprint Trees'!P52:P1087=A52)*('Footprint Trees'!Q52:Q1087=B52)*('Footprint Trees'!R52:R1087=C52))</f>
        <v>4</v>
      </c>
      <c r="E52" s="78" t="str">
        <v>26.2.1</v>
      </c>
      <c r="F52" t="str" cm="1">
        <f t="array" ref="F52">_xlfn._xlws.FILTER('Footprint Trees'!X52:X1087, ('Footprint Trees'!P52:P1087=A52)*('Footprint Trees'!Q52:Q1087=B52)*('Footprint Trees'!R52:R1087=C52))</f>
        <v>Euphorbia lambii</v>
      </c>
      <c r="G52" t="str" cm="1">
        <f t="array" ref="G52">_xlfn._xlws.FILTER('Footprint Trees'!Y55:Y1087, ('Footprint Trees'!P55:P1087=A52)*('Footprint Trees'!Q55:Q1087=B52)*('Footprint Trees'!R55:R1087=C52))</f>
        <v>Euphorbia lambii</v>
      </c>
      <c r="H52" s="88" cm="1">
        <f t="array" ref="H52">SQRT(SUMPRODUCT((('Footprint Trees'!$P$2:$P$1036='Biomass Calcs'!A52)*('Footprint Trees'!$Q$2:$Q$1036='Biomass Calcs'!B52))*('Footprint Trees'!$B$2:$B$1036)^2))</f>
        <v>5.5622999999999999E-2</v>
      </c>
      <c r="I52" s="345">
        <v>2.458907</v>
      </c>
      <c r="J52" s="88" cm="1">
        <f t="array" ref="J52">SQRT(SUMPRODUCT((('Footprint Trees'!$P$2:$P$1036='Biomass Calcs'!A52)*('Footprint Trees'!$Q$2:$Q$1036='Biomass Calcs'!B52))*('Footprint Trees'!$E$2:$E$1036)^2))</f>
        <v>4.2000000000000003E-2</v>
      </c>
      <c r="K52" s="345">
        <v>2.5</v>
      </c>
      <c r="L52" t="s">
        <v>1653</v>
      </c>
      <c r="M52" t="s">
        <v>1654</v>
      </c>
      <c r="N52" s="78" t="s">
        <v>1588</v>
      </c>
      <c r="O52" t="s">
        <v>1655</v>
      </c>
      <c r="Q52" s="78" t="s">
        <v>1631</v>
      </c>
      <c r="R52" s="2">
        <f>(EXP(-3.101)*(J52*100)^2.333)</f>
        <v>1.2802459366715015</v>
      </c>
      <c r="S52" s="2">
        <f>(EXP(-3.101)*(H52*100)^2.333)</f>
        <v>2.4656495377594005</v>
      </c>
      <c r="T52" s="291">
        <v>2.4700000000000002</v>
      </c>
      <c r="U52" s="2"/>
    </row>
    <row r="53" spans="1:35">
      <c r="A53">
        <v>26</v>
      </c>
      <c r="B53">
        <v>3</v>
      </c>
      <c r="C53" cm="1">
        <f t="array" ref="C53">MAX(IF(('Footprint Trees'!$P$2:$P$1036=A53)*('Footprint Trees'!$Q$2:$Q$1036=B53),'Footprint Trees'!$R$2:$R$1036))</f>
        <v>1</v>
      </c>
      <c r="D53" cm="1">
        <f t="array" ref="D53">_xlfn._xlws.FILTER('Footprint Trees'!S53:S1088, ('Footprint Trees'!P53:P1088=A53)*('Footprint Trees'!Q53:Q1088=B53)*('Footprint Trees'!R53:R1088=C53))</f>
        <v>4</v>
      </c>
      <c r="E53" s="78" t="str">
        <v>26.3.1</v>
      </c>
      <c r="F53" t="str" cm="1">
        <f t="array" ref="F53">_xlfn._xlws.FILTER('Footprint Trees'!X53:X1088, ('Footprint Trees'!P53:P1088=A53)*('Footprint Trees'!Q53:Q1088=B53)*('Footprint Trees'!R53:R1088=C53))</f>
        <v>Euphorbia lambii</v>
      </c>
      <c r="G53" t="str" cm="1">
        <f t="array" ref="G53">_xlfn._xlws.FILTER('Footprint Trees'!Y56:Y1088, ('Footprint Trees'!P56:P1088=A53)*('Footprint Trees'!Q56:Q1088=B53)*('Footprint Trees'!R56:R1088=C53))</f>
        <v>Euphorbia lambii</v>
      </c>
      <c r="H53" s="88" cm="1">
        <f t="array" ref="H53">SQRT(SUMPRODUCT((('Footprint Trees'!$P$2:$P$1036='Biomass Calcs'!A53)*('Footprint Trees'!$Q$2:$Q$1036='Biomass Calcs'!B53))*('Footprint Trees'!$B$2:$B$1036)^2))</f>
        <v>7.1114999999999998E-2</v>
      </c>
      <c r="I53" s="345">
        <v>2.8698619999999999</v>
      </c>
      <c r="J53" s="88" cm="1">
        <f t="array" ref="J53">SQRT(SUMPRODUCT((('Footprint Trees'!$P$2:$P$1036='Biomass Calcs'!A53)*('Footprint Trees'!$Q$2:$Q$1036='Biomass Calcs'!B53))*('Footprint Trees'!$E$2:$E$1036)^2))</f>
        <v>3.1E-2</v>
      </c>
      <c r="K53" s="345">
        <v>2.5</v>
      </c>
      <c r="L53" t="s">
        <v>1653</v>
      </c>
      <c r="M53" t="s">
        <v>1654</v>
      </c>
      <c r="N53" s="78" t="s">
        <v>1588</v>
      </c>
      <c r="O53" t="s">
        <v>1655</v>
      </c>
      <c r="Q53" s="78" t="s">
        <v>1631</v>
      </c>
      <c r="R53" s="2">
        <f>(EXP(-3.101)*(J53*100)^2.333)</f>
        <v>0.63037596112970384</v>
      </c>
      <c r="S53" s="2">
        <f>(EXP(-3.101)*(H53*100)^2.333)</f>
        <v>4.373995428066153</v>
      </c>
      <c r="T53" s="291">
        <v>4.37</v>
      </c>
      <c r="U53" s="2"/>
    </row>
    <row r="54" spans="1:35">
      <c r="A54">
        <v>26</v>
      </c>
      <c r="B54">
        <v>4</v>
      </c>
      <c r="C54" cm="1">
        <f t="array" ref="C54">MAX(IF(('Footprint Trees'!$P$2:$P$1036=A54)*('Footprint Trees'!$Q$2:$Q$1036=B54),'Footprint Trees'!$R$2:$R$1036))</f>
        <v>1</v>
      </c>
      <c r="D54" cm="1">
        <f t="array" ref="D54">_xlfn._xlws.FILTER('Footprint Trees'!S54:S1089, ('Footprint Trees'!P54:P1089=A54)*('Footprint Trees'!Q54:Q1089=B54)*('Footprint Trees'!R54:R1089=C54))</f>
        <v>4</v>
      </c>
      <c r="E54" s="78" t="str">
        <v>26.4.1</v>
      </c>
      <c r="F54" t="str" cm="1">
        <f t="array" ref="F54">_xlfn._xlws.FILTER('Footprint Trees'!X54:X1089, ('Footprint Trees'!P54:P1089=A54)*('Footprint Trees'!Q54:Q1089=B54)*('Footprint Trees'!R54:R1089=C54))</f>
        <v>Euphorbia lambii</v>
      </c>
      <c r="G54" t="str" cm="1">
        <f t="array" ref="G54">_xlfn._xlws.FILTER('Footprint Trees'!Y57:Y1089, ('Footprint Trees'!P57:P1089=A54)*('Footprint Trees'!Q57:Q1089=B54)*('Footprint Trees'!R57:R1089=C54))</f>
        <v>Euphorbia lambii</v>
      </c>
      <c r="H54" s="88" cm="1">
        <f t="array" ref="H54">SQRT(SUMPRODUCT((('Footprint Trees'!$P$2:$P$1036='Biomass Calcs'!A54)*('Footprint Trees'!$Q$2:$Q$1036='Biomass Calcs'!B54))*('Footprint Trees'!$B$2:$B$1036)^2))</f>
        <v>0.13206499999999999</v>
      </c>
      <c r="I54" s="345">
        <v>3.4712320000000001</v>
      </c>
      <c r="J54" s="88" cm="1">
        <f t="array" ref="J54">SQRT(SUMPRODUCT((('Footprint Trees'!$P$2:$P$1036='Biomass Calcs'!A54)*('Footprint Trees'!$Q$2:$Q$1036='Biomass Calcs'!B54))*('Footprint Trees'!$E$2:$E$1036)^2))</f>
        <v>0.123</v>
      </c>
      <c r="K54" s="345">
        <v>3.4</v>
      </c>
      <c r="L54" t="s">
        <v>1653</v>
      </c>
      <c r="M54" t="s">
        <v>1654</v>
      </c>
      <c r="N54" s="78" t="s">
        <v>1588</v>
      </c>
      <c r="O54" t="s">
        <v>1655</v>
      </c>
      <c r="Q54" s="78" t="s">
        <v>1631</v>
      </c>
      <c r="R54" s="2">
        <f>(EXP(-3.101)*(J54*100)^2.333)</f>
        <v>15.703679989576139</v>
      </c>
      <c r="S54" s="2">
        <f>(EXP(-3.101)*(H54*100)^2.333)</f>
        <v>18.53747588217977</v>
      </c>
      <c r="T54" s="291">
        <v>18.54</v>
      </c>
      <c r="U54" s="2"/>
    </row>
    <row r="55" spans="1:35">
      <c r="A55">
        <v>27</v>
      </c>
      <c r="B55">
        <v>1</v>
      </c>
      <c r="C55" cm="1">
        <f t="array" ref="C55">MAX(IF(('Footprint Trees'!$P$2:$P$1036=A55)*('Footprint Trees'!$Q$2:$Q$1036=B55),'Footprint Trees'!$R$2:$R$1036))</f>
        <v>1</v>
      </c>
      <c r="D55" cm="1">
        <f t="array" ref="D55">_xlfn._xlws.FILTER('Footprint Trees'!S55:S1090, ('Footprint Trees'!P55:P1090=A55)*('Footprint Trees'!Q55:Q1090=B55)*('Footprint Trees'!R55:R1090=C55))</f>
        <v>4</v>
      </c>
      <c r="E55" s="78" t="str">
        <v>27.1.1</v>
      </c>
      <c r="F55" t="str" cm="1">
        <f t="array" ref="F55">_xlfn._xlws.FILTER('Footprint Trees'!X55:X1090, ('Footprint Trees'!P55:P1090=A55)*('Footprint Trees'!Q55:Q1090=B55)*('Footprint Trees'!R55:R1090=C55))</f>
        <v>elfin strawberry tree</v>
      </c>
      <c r="G55" t="str" cm="1">
        <f t="array" ref="G55">_xlfn._xlws.FILTER('Footprint Trees'!Y58:Y1090, ('Footprint Trees'!P58:P1090=A55)*('Footprint Trees'!Q58:Q1090=B55)*('Footprint Trees'!R58:R1090=C55))</f>
        <v>Arbutus unedo</v>
      </c>
      <c r="H55" s="88" cm="1">
        <f t="array" ref="H55">SQRT(SUMPRODUCT((('Footprint Trees'!$P$2:$P$1036='Biomass Calcs'!A55)*('Footprint Trees'!$Q$2:$Q$1036='Biomass Calcs'!B55))*('Footprint Trees'!$B$2:$B$1036)^2))</f>
        <v>0</v>
      </c>
      <c r="I55" s="345">
        <v>0</v>
      </c>
      <c r="J55" s="88" cm="1">
        <f t="array" ref="J55">SQRT(SUMPRODUCT((('Footprint Trees'!$P$2:$P$1036='Biomass Calcs'!A55)*('Footprint Trees'!$Q$2:$Q$1036='Biomass Calcs'!B55))*('Footprint Trees'!$E$2:$E$1036)^2))</f>
        <v>0</v>
      </c>
      <c r="K55" s="345">
        <v>3.1</v>
      </c>
      <c r="L55" t="s">
        <v>1656</v>
      </c>
      <c r="M55" t="s">
        <v>1657</v>
      </c>
      <c r="N55" s="78" t="s">
        <v>1500</v>
      </c>
      <c r="O55" t="s">
        <v>1658</v>
      </c>
      <c r="P55">
        <v>0.63</v>
      </c>
      <c r="Q55" s="78" t="s">
        <v>1500</v>
      </c>
      <c r="R55" s="65">
        <f>-2.7563+0.3045*(J55*100)^2</f>
        <v>-2.7563</v>
      </c>
      <c r="S55" s="65">
        <f>-2.7563+0.3045*(H55*100)^2</f>
        <v>-2.7563</v>
      </c>
      <c r="T55" s="663">
        <v>8</v>
      </c>
      <c r="U55" s="641" t="s">
        <v>1659</v>
      </c>
    </row>
    <row r="56" spans="1:35">
      <c r="A56">
        <v>28</v>
      </c>
      <c r="B56">
        <v>1</v>
      </c>
      <c r="C56" cm="1">
        <f t="array" ref="C56">MAX(IF(('Footprint Trees'!$P$2:$P$1036=A56)*('Footprint Trees'!$Q$2:$Q$1036=B56),'Footprint Trees'!$R$2:$R$1036))</f>
        <v>6</v>
      </c>
      <c r="D56" cm="1">
        <f t="array" ref="D56">_xlfn._xlws.FILTER('Footprint Trees'!S56:S1091, ('Footprint Trees'!P56:P1091=A56)*('Footprint Trees'!Q56:Q1091=B56)*('Footprint Trees'!R56:R1091=C56))</f>
        <v>4</v>
      </c>
      <c r="E56" s="78" t="str">
        <v>28.1.6</v>
      </c>
      <c r="F56" t="str" cm="1">
        <f t="array" ref="F56">_xlfn._xlws.FILTER('Footprint Trees'!X56:X1091, ('Footprint Trees'!P56:P1091=A56)*('Footprint Trees'!Q56:Q1091=B56)*('Footprint Trees'!R56:R1091=C56))</f>
        <v>sweet bay laurel</v>
      </c>
      <c r="G56" t="str" cm="1">
        <f t="array" ref="G56">_xlfn._xlws.FILTER('Footprint Trees'!Y59:Y1091, ('Footprint Trees'!P59:P1091=A56)*('Footprint Trees'!Q59:Q1091=B56)*('Footprint Trees'!R59:R1091=C56))</f>
        <v>Laurus nobilis</v>
      </c>
      <c r="H56" s="88" cm="1">
        <f t="array" ref="H56">SQRT(SUMPRODUCT((('Footprint Trees'!$P$2:$P$1036='Biomass Calcs'!A56)*('Footprint Trees'!$Q$2:$Q$1036='Biomass Calcs'!B56))*('Footprint Trees'!$B$2:$B$1036)^2))</f>
        <v>0.14129018866856963</v>
      </c>
      <c r="I56" s="345">
        <v>4.318683</v>
      </c>
      <c r="J56" s="88" cm="1">
        <f t="array" ref="J56">SQRT(SUMPRODUCT((('Footprint Trees'!$P$2:$P$1036='Biomass Calcs'!A56)*('Footprint Trees'!$Q$2:$Q$1036='Biomass Calcs'!B56))*('Footprint Trees'!$E$2:$E$1036)^2))</f>
        <v>0.10260116958397697</v>
      </c>
      <c r="K56" s="345">
        <v>4.0999999999999996</v>
      </c>
      <c r="L56" t="s">
        <v>1626</v>
      </c>
      <c r="M56" t="s">
        <v>1660</v>
      </c>
      <c r="N56" s="78" t="s">
        <v>1588</v>
      </c>
      <c r="O56" t="s">
        <v>1661</v>
      </c>
      <c r="P56">
        <v>0.52</v>
      </c>
      <c r="Q56" s="78" t="s">
        <v>1500</v>
      </c>
      <c r="R56" s="2">
        <f>EXP(-2.2118+2.4133*LN(J56*100))</f>
        <v>30.174587248434737</v>
      </c>
      <c r="S56" s="2">
        <f>EXP(-2.2118+2.4133*LN(H56*100))</f>
        <v>65.311967469578008</v>
      </c>
      <c r="T56" s="291">
        <v>65.31</v>
      </c>
      <c r="U56" s="17"/>
    </row>
    <row r="57" spans="1:35">
      <c r="A57">
        <v>28</v>
      </c>
      <c r="B57">
        <v>2</v>
      </c>
      <c r="C57" cm="1">
        <f t="array" ref="C57">MAX(IF(('Footprint Trees'!$P$2:$P$1036=A57)*('Footprint Trees'!$Q$2:$Q$1036=B57),'Footprint Trees'!$R$2:$R$1036))</f>
        <v>1</v>
      </c>
      <c r="D57" cm="1">
        <f t="array" ref="D57">_xlfn._xlws.FILTER('Footprint Trees'!S57:S1092, ('Footprint Trees'!P57:P1092=A57)*('Footprint Trees'!Q57:Q1092=B57)*('Footprint Trees'!R57:R1092=C57))</f>
        <v>4</v>
      </c>
      <c r="E57" s="78" t="str">
        <v>28.2.1</v>
      </c>
      <c r="F57" t="str" cm="1">
        <f t="array" ref="F57">_xlfn._xlws.FILTER('Footprint Trees'!X57:X1092, ('Footprint Trees'!P57:P1092=A57)*('Footprint Trees'!Q57:Q1092=B57)*('Footprint Trees'!R57:R1092=C57))</f>
        <v>sweet bay laurel</v>
      </c>
      <c r="G57" t="str" cm="1">
        <f t="array" ref="G57">_xlfn._xlws.FILTER('Footprint Trees'!Y60:Y1092, ('Footprint Trees'!P60:P1092=A57)*('Footprint Trees'!Q60:Q1092=B57)*('Footprint Trees'!R60:R1092=C57))</f>
        <v>Laurus nobilis</v>
      </c>
      <c r="H57" s="88" cm="1">
        <f t="array" ref="H57">SQRT(SUMPRODUCT((('Footprint Trees'!$P$2:$P$1036='Biomass Calcs'!A57)*('Footprint Trees'!$Q$2:$Q$1036='Biomass Calcs'!B57))*('Footprint Trees'!$B$2:$B$1036)^2))</f>
        <v>5.3754999999999997E-2</v>
      </c>
      <c r="I57" s="345">
        <v>4.9751570000000003</v>
      </c>
      <c r="J57" s="88" cm="1">
        <f t="array" ref="J57">SQRT(SUMPRODUCT((('Footprint Trees'!$P$2:$P$1036='Biomass Calcs'!A57)*('Footprint Trees'!$Q$2:$Q$1036='Biomass Calcs'!B57))*('Footprint Trees'!$E$2:$E$1036)^2))</f>
        <v>4.2999999999999997E-2</v>
      </c>
      <c r="K57" s="345">
        <v>4.2</v>
      </c>
      <c r="L57" t="s">
        <v>1626</v>
      </c>
      <c r="M57" t="s">
        <v>1660</v>
      </c>
      <c r="N57" s="78" t="s">
        <v>1588</v>
      </c>
      <c r="O57" t="s">
        <v>1661</v>
      </c>
      <c r="P57">
        <v>0.52</v>
      </c>
      <c r="Q57" s="78" t="s">
        <v>1500</v>
      </c>
      <c r="R57" s="641">
        <f>EXP(-2.2118+2.4133*LN(J57*100))</f>
        <v>3.6997884201827826</v>
      </c>
      <c r="S57" s="641">
        <f>EXP(-2.2118+2.4133*LN(H57*100))</f>
        <v>6.3408475929277284</v>
      </c>
      <c r="T57" s="663">
        <v>9</v>
      </c>
      <c r="U57" s="654" t="s">
        <v>1662</v>
      </c>
    </row>
    <row r="58" spans="1:35">
      <c r="A58">
        <v>26</v>
      </c>
      <c r="B58">
        <v>5</v>
      </c>
      <c r="C58" cm="1">
        <f t="array" ref="C58">MAX(IF(('Footprint Trees'!$P$2:$P$1036=A58)*('Footprint Trees'!$Q$2:$Q$1036=B58),'Footprint Trees'!$R$2:$R$1036))</f>
        <v>1</v>
      </c>
      <c r="D58" cm="1">
        <f t="array" ref="D58">_xlfn._xlws.FILTER('Footprint Trees'!S58:S1093, ('Footprint Trees'!P58:P1093=A58)*('Footprint Trees'!Q58:Q1093=B58)*('Footprint Trees'!R58:R1093=C58))</f>
        <v>4</v>
      </c>
      <c r="E58" s="78" t="str">
        <v>26.5.1</v>
      </c>
      <c r="F58" t="str" cm="1">
        <f t="array" ref="F58">_xlfn._xlws.FILTER('Footprint Trees'!X58:X1093, ('Footprint Trees'!P58:P1093=A58)*('Footprint Trees'!Q58:Q1093=B58)*('Footprint Trees'!R58:R1093=C58))</f>
        <v>Euphorbia lambii</v>
      </c>
      <c r="G58" t="str" cm="1">
        <f t="array" ref="G58">_xlfn._xlws.FILTER('Footprint Trees'!Y61:Y1093, ('Footprint Trees'!P61:P1093=A58)*('Footprint Trees'!Q61:Q1093=B58)*('Footprint Trees'!R61:R1093=C58))</f>
        <v>Euphorbia lambii</v>
      </c>
      <c r="H58" s="88" cm="1">
        <f t="array" ref="H58">SQRT(SUMPRODUCT((('Footprint Trees'!$P$2:$P$1036='Biomass Calcs'!A58)*('Footprint Trees'!$Q$2:$Q$1036='Biomass Calcs'!B58))*('Footprint Trees'!$B$2:$B$1036)^2))</f>
        <v>0.128414</v>
      </c>
      <c r="I58" s="345">
        <v>3.181546</v>
      </c>
      <c r="J58" s="88" cm="1">
        <f t="array" ref="J58">SQRT(SUMPRODUCT((('Footprint Trees'!$P$2:$P$1036='Biomass Calcs'!A58)*('Footprint Trees'!$Q$2:$Q$1036='Biomass Calcs'!B58))*('Footprint Trees'!$E$2:$E$1036)^2))</f>
        <v>0.13400000000000001</v>
      </c>
      <c r="K58" s="345">
        <v>3.4</v>
      </c>
      <c r="L58" t="s">
        <v>1653</v>
      </c>
      <c r="M58" t="s">
        <v>1654</v>
      </c>
      <c r="N58" s="78" t="s">
        <v>1588</v>
      </c>
      <c r="O58" t="s">
        <v>1655</v>
      </c>
      <c r="Q58" s="78" t="s">
        <v>1631</v>
      </c>
      <c r="R58" s="2">
        <f>(EXP(-3.101)*(J58*100)^2.333)</f>
        <v>19.177337269612483</v>
      </c>
      <c r="S58" s="2">
        <f>(EXP(-3.101)*(H58*100)^2.333)</f>
        <v>17.363828209900745</v>
      </c>
      <c r="T58" s="291">
        <v>17.36</v>
      </c>
      <c r="U58" s="2"/>
    </row>
    <row r="59" spans="1:35">
      <c r="A59">
        <v>28</v>
      </c>
      <c r="B59">
        <v>3</v>
      </c>
      <c r="C59" cm="1">
        <f t="array" ref="C59">MAX(IF(('Footprint Trees'!$P$2:$P$1036=A59)*('Footprint Trees'!$Q$2:$Q$1036=B59),'Footprint Trees'!$R$2:$R$1036))</f>
        <v>1</v>
      </c>
      <c r="D59" cm="1">
        <f t="array" ref="D59">_xlfn._xlws.FILTER('Footprint Trees'!S59:S1094, ('Footprint Trees'!P59:P1094=A59)*('Footprint Trees'!Q59:Q1094=B59)*('Footprint Trees'!R59:R1094=C59))</f>
        <v>4</v>
      </c>
      <c r="E59" s="78" t="str">
        <v>28.3.1</v>
      </c>
      <c r="F59" t="str" cm="1">
        <f t="array" ref="F59">_xlfn._xlws.FILTER('Footprint Trees'!X59:X1094, ('Footprint Trees'!P59:P1094=A59)*('Footprint Trees'!Q59:Q1094=B59)*('Footprint Trees'!R59:R1094=C59))</f>
        <v>sweet bay laurel</v>
      </c>
      <c r="G59" t="str" cm="1">
        <f t="array" ref="G59">_xlfn._xlws.FILTER('Footprint Trees'!Y62:Y1094, ('Footprint Trees'!P62:P1094=A59)*('Footprint Trees'!Q62:Q1094=B59)*('Footprint Trees'!R62:R1094=C59))</f>
        <v>Laurus nobilis</v>
      </c>
      <c r="H59" s="88" cm="1">
        <f t="array" ref="H59">SQRT(SUMPRODUCT((('Footprint Trees'!$P$2:$P$1036='Biomass Calcs'!A59)*('Footprint Trees'!$Q$2:$Q$1036='Biomass Calcs'!B59))*('Footprint Trees'!$B$2:$B$1036)^2))</f>
        <v>5.8106999999999999E-2</v>
      </c>
      <c r="I59" s="345">
        <v>4.3639279999999996</v>
      </c>
      <c r="J59" s="88" cm="1">
        <f t="array" ref="J59">SQRT(SUMPRODUCT((('Footprint Trees'!$P$2:$P$1036='Biomass Calcs'!A59)*('Footprint Trees'!$Q$2:$Q$1036='Biomass Calcs'!B59))*('Footprint Trees'!$E$2:$E$1036)^2))</f>
        <v>0.06</v>
      </c>
      <c r="K59" s="345">
        <v>4.0999999999999996</v>
      </c>
      <c r="L59" t="s">
        <v>1626</v>
      </c>
      <c r="M59" t="s">
        <v>1660</v>
      </c>
      <c r="N59" s="78" t="s">
        <v>1588</v>
      </c>
      <c r="O59" t="s">
        <v>1661</v>
      </c>
      <c r="P59">
        <v>0.52</v>
      </c>
      <c r="Q59" s="78" t="s">
        <v>1500</v>
      </c>
      <c r="R59" s="641">
        <f>EXP(-2.2118+2.4133*LN(J59*100))</f>
        <v>8.2668465726622333</v>
      </c>
      <c r="S59" s="641">
        <f>EXP(-2.2118+2.4133*LN(H59*100))</f>
        <v>7.6513838980807307</v>
      </c>
      <c r="T59" s="663">
        <v>10</v>
      </c>
      <c r="U59" s="654" t="s">
        <v>1663</v>
      </c>
    </row>
    <row r="60" spans="1:35">
      <c r="A60">
        <v>22</v>
      </c>
      <c r="B60">
        <v>2</v>
      </c>
      <c r="C60" cm="1">
        <f t="array" ref="C60">MAX(IF(('Footprint Trees'!$P$2:$P$1036=A60)*('Footprint Trees'!$Q$2:$Q$1036=B60),'Footprint Trees'!$R$2:$R$1036))</f>
        <v>1</v>
      </c>
      <c r="D60" cm="1">
        <f t="array" ref="D60">_xlfn._xlws.FILTER('Footprint Trees'!S60:S1095, ('Footprint Trees'!P60:P1095=A60)*('Footprint Trees'!Q60:Q1095=B60)*('Footprint Trees'!R60:R1095=C60))</f>
        <v>4</v>
      </c>
      <c r="E60" s="78" t="str">
        <v>22.2.1</v>
      </c>
      <c r="F60" t="str" cm="1">
        <f t="array" ref="F60">_xlfn._xlws.FILTER('Footprint Trees'!X60:X1095, ('Footprint Trees'!P60:P1095=A60)*('Footprint Trees'!Q60:Q1095=B60)*('Footprint Trees'!R60:R1095=C60))</f>
        <v>weeping atlas cedar</v>
      </c>
      <c r="G60" t="str" cm="1">
        <f t="array" ref="G60">_xlfn._xlws.FILTER('Footprint Trees'!Y63:Y1095, ('Footprint Trees'!P63:P1095=A60)*('Footprint Trees'!Q63:Q1095=B60)*('Footprint Trees'!R63:R1095=C60))</f>
        <v>cedrus libani ssp. atlantica ‘pendula’</v>
      </c>
      <c r="H60" s="88" cm="1">
        <f t="array" ref="H60">SQRT(SUMPRODUCT((('Footprint Trees'!$P$2:$P$1036='Biomass Calcs'!A60)*('Footprint Trees'!$Q$2:$Q$1036='Biomass Calcs'!B60))*('Footprint Trees'!$B$2:$B$1036)^2))</f>
        <v>5.2110999999999998E-2</v>
      </c>
      <c r="I60" s="345">
        <v>3.8706119999999999</v>
      </c>
      <c r="J60" s="88" cm="1">
        <f t="array" ref="J60">SQRT(SUMPRODUCT((('Footprint Trees'!$P$2:$P$1036='Biomass Calcs'!A60)*('Footprint Trees'!$Q$2:$Q$1036='Biomass Calcs'!B60))*('Footprint Trees'!$E$2:$E$1036)^2))</f>
        <v>4.5999999999999999E-2</v>
      </c>
      <c r="K60" s="345">
        <v>4</v>
      </c>
      <c r="L60" s="6" t="s">
        <v>1638</v>
      </c>
      <c r="M60" t="s">
        <v>1639</v>
      </c>
      <c r="N60" s="78" t="s">
        <v>1500</v>
      </c>
      <c r="O60" t="s">
        <v>1640</v>
      </c>
      <c r="P60">
        <v>440</v>
      </c>
      <c r="Q60" s="78" t="s">
        <v>1588</v>
      </c>
      <c r="R60" s="641">
        <f>(-0.0174+0.3786521*(J60)-0.04049701*(J60)*(K60)+0.25817336*(J60)^2*(K60)+0.0029171359*(J60)*(K60)^2)*P60</f>
        <v>-1.3645552353663999</v>
      </c>
      <c r="S60" s="641">
        <f>(-0.0174+0.3786521*(H60)-0.04049701*(H60)*(I60)+0.25817336*(H60)^2*(I60)+0.0029171359*(H60)*(I60)^2)*P60</f>
        <v>-0.37193622908710067</v>
      </c>
      <c r="T60" s="663">
        <v>11</v>
      </c>
      <c r="U60" s="641" t="s">
        <v>1664</v>
      </c>
    </row>
    <row r="61" spans="1:35">
      <c r="A61">
        <v>29</v>
      </c>
      <c r="B61">
        <v>1</v>
      </c>
      <c r="C61" cm="1">
        <f t="array" ref="C61">MAX(IF(('Footprint Trees'!$P$2:$P$1036=A61)*('Footprint Trees'!$Q$2:$Q$1036=B61),'Footprint Trees'!$R$2:$R$1036))</f>
        <v>1</v>
      </c>
      <c r="D61" cm="1">
        <f t="array" ref="D61">_xlfn._xlws.FILTER('Footprint Trees'!S61:S1096, ('Footprint Trees'!P61:P1096=A61)*('Footprint Trees'!Q61:Q1096=B61)*('Footprint Trees'!R61:R1096=C61))</f>
        <v>4</v>
      </c>
      <c r="E61" s="78" t="str">
        <v>29.1.1</v>
      </c>
      <c r="F61" t="str" cm="1">
        <f t="array" ref="F61">_xlfn._xlws.FILTER('Footprint Trees'!X61:X1096, ('Footprint Trees'!P61:P1096=A61)*('Footprint Trees'!Q61:Q1096=B61)*('Footprint Trees'!R61:R1096=C61))</f>
        <v>canary island date palm</v>
      </c>
      <c r="G61" t="str" cm="1">
        <f t="array" ref="G61">_xlfn._xlws.FILTER('Footprint Trees'!Y64:Y1096, ('Footprint Trees'!P64:P1096=A61)*('Footprint Trees'!Q64:Q1096=B61)*('Footprint Trees'!R64:R1096=C61))</f>
        <v>Phoenix canariensis</v>
      </c>
      <c r="H61" s="88" cm="1">
        <f t="array" ref="H61">SQRT(SUMPRODUCT((('Footprint Trees'!$P$2:$P$1036='Biomass Calcs'!A61)*('Footprint Trees'!$Q$2:$Q$1036='Biomass Calcs'!B61))*('Footprint Trees'!$B$2:$B$1036)^2))</f>
        <v>0.72011899999999995</v>
      </c>
      <c r="I61" s="345">
        <v>10.09027</v>
      </c>
      <c r="J61" s="88" cm="1">
        <f t="array" ref="J61">SQRT(SUMPRODUCT((('Footprint Trees'!$P$2:$P$1036='Biomass Calcs'!A61)*('Footprint Trees'!$Q$2:$Q$1036='Biomass Calcs'!B61))*('Footprint Trees'!$E$2:$E$1036)^2))</f>
        <v>0.746</v>
      </c>
      <c r="K61" s="345">
        <v>9.4</v>
      </c>
      <c r="L61" t="s">
        <v>1586</v>
      </c>
      <c r="M61" t="s">
        <v>1665</v>
      </c>
      <c r="N61" s="78" t="s">
        <v>1588</v>
      </c>
      <c r="O61" t="s">
        <v>1666</v>
      </c>
      <c r="P61">
        <v>370</v>
      </c>
      <c r="Q61" s="78" t="s">
        <v>1500</v>
      </c>
      <c r="R61" s="2">
        <f>(6*K61+0.8)+(0.8*K61+0.9)</f>
        <v>65.62</v>
      </c>
      <c r="S61" s="2">
        <f>(6*I61+0.8)+(0.8*I61+0.9)</f>
        <v>70.313835999999995</v>
      </c>
      <c r="T61" s="291">
        <v>70.31</v>
      </c>
      <c r="U61" s="2"/>
    </row>
    <row r="62" spans="1:35">
      <c r="A62">
        <v>27</v>
      </c>
      <c r="B62">
        <v>2</v>
      </c>
      <c r="C62" cm="1">
        <f t="array" ref="C62">MAX(IF(('Footprint Trees'!$P$2:$P$1036=A62)*('Footprint Trees'!$Q$2:$Q$1036=B62),'Footprint Trees'!$R$2:$R$1036))</f>
        <v>1</v>
      </c>
      <c r="D62" cm="1">
        <f t="array" ref="D62">_xlfn._xlws.FILTER('Footprint Trees'!S62:S1097, ('Footprint Trees'!P62:P1097=A62)*('Footprint Trees'!Q62:Q1097=B62)*('Footprint Trees'!R62:R1097=C62))</f>
        <v>4</v>
      </c>
      <c r="E62" s="78" t="str">
        <v>27.2.1</v>
      </c>
      <c r="F62" t="str" cm="1">
        <f t="array" ref="F62">_xlfn._xlws.FILTER('Footprint Trees'!X62:X1097, ('Footprint Trees'!P62:P1097=A62)*('Footprint Trees'!Q62:Q1097=B62)*('Footprint Trees'!R62:R1097=C62))</f>
        <v>elfin king strawberry tree</v>
      </c>
      <c r="G62" t="str" cm="1">
        <f t="array" ref="G62">_xlfn._xlws.FILTER('Footprint Trees'!Y65:Y1097, ('Footprint Trees'!P65:P1097=A62)*('Footprint Trees'!Q65:Q1097=B62)*('Footprint Trees'!R65:R1097=C62))</f>
        <v>Arbutus unedo</v>
      </c>
      <c r="H62" s="88" cm="1">
        <f t="array" ref="H62">SQRT(SUMPRODUCT((('Footprint Trees'!$P$2:$P$1036='Biomass Calcs'!A62)*('Footprint Trees'!$Q$2:$Q$1036='Biomass Calcs'!B62))*('Footprint Trees'!$B$2:$B$1036)^2))</f>
        <v>7.26102747168033E-2</v>
      </c>
      <c r="I62" s="345">
        <v>4.3274192810058496</v>
      </c>
      <c r="J62" s="88" cm="1">
        <f t="array" ref="J62">SQRT(SUMPRODUCT((('Footprint Trees'!$P$2:$P$1036='Biomass Calcs'!A62)*('Footprint Trees'!$Q$2:$Q$1036='Biomass Calcs'!B62))*('Footprint Trees'!$E$2:$E$1036)^2))</f>
        <v>0</v>
      </c>
      <c r="K62" s="345">
        <v>4.3</v>
      </c>
      <c r="L62" t="s">
        <v>1656</v>
      </c>
      <c r="M62" t="s">
        <v>1657</v>
      </c>
      <c r="N62" s="78" t="s">
        <v>1500</v>
      </c>
      <c r="O62" t="s">
        <v>1658</v>
      </c>
      <c r="P62">
        <v>0.63</v>
      </c>
      <c r="Q62" s="78" t="s">
        <v>1500</v>
      </c>
      <c r="R62" s="65">
        <f>-2.7563+0.3045*(J62*100)^2</f>
        <v>-2.7563</v>
      </c>
      <c r="S62" s="65">
        <f>-2.7563+0.3045*(H62*100)^2</f>
        <v>13.297707323099168</v>
      </c>
      <c r="T62" s="663">
        <v>12</v>
      </c>
      <c r="U62" s="641" t="s">
        <v>1667</v>
      </c>
    </row>
    <row r="63" spans="1:35">
      <c r="A63">
        <v>30</v>
      </c>
      <c r="B63">
        <v>1</v>
      </c>
      <c r="C63" cm="1">
        <f t="array" ref="C63">MAX(IF(('Footprint Trees'!$P$2:$P$1036=A63)*('Footprint Trees'!$Q$2:$Q$1036=B63),'Footprint Trees'!$R$2:$R$1036))</f>
        <v>7</v>
      </c>
      <c r="D63" cm="1">
        <f t="array" ref="D63">_xlfn._xlws.FILTER('Footprint Trees'!S63:S1098, ('Footprint Trees'!P63:P1098=A63)*('Footprint Trees'!Q63:Q1098=B63)*('Footprint Trees'!R63:R1098=C63))</f>
        <v>4</v>
      </c>
      <c r="E63" s="78" t="str">
        <v>30.1.7</v>
      </c>
      <c r="F63" t="str" cm="1">
        <f t="array" ref="F63">_xlfn._xlws.FILTER('Footprint Trees'!X63:X1098, ('Footprint Trees'!P63:P1098=A63)*('Footprint Trees'!Q63:Q1098=B63)*('Footprint Trees'!R63:R1098=C63))</f>
        <v>holm oak</v>
      </c>
      <c r="G63" t="str" cm="1">
        <f t="array" ref="G63">_xlfn._xlws.FILTER('Footprint Trees'!Y66:Y1098, ('Footprint Trees'!P66:P1098=A63)*('Footprint Trees'!Q66:Q1098=B63)*('Footprint Trees'!R66:R1098=C63))</f>
        <v>Quercus ilex</v>
      </c>
      <c r="H63" s="88" cm="1">
        <f t="array" ref="H63">SQRT(SUMPRODUCT((('Footprint Trees'!$P$2:$P$1036='Biomass Calcs'!A63)*('Footprint Trees'!$Q$2:$Q$1036='Biomass Calcs'!B63))*('Footprint Trees'!$B$2:$B$1036)^2))</f>
        <v>0.40570165475602199</v>
      </c>
      <c r="I63" s="345">
        <v>11.3087148666381</v>
      </c>
      <c r="J63" s="88" cm="1">
        <f t="array" ref="J63">SQRT(SUMPRODUCT((('Footprint Trees'!$P$2:$P$1036='Biomass Calcs'!A63)*('Footprint Trees'!$Q$2:$Q$1036='Biomass Calcs'!B63))*('Footprint Trees'!$E$2:$E$1036)^2))</f>
        <v>0.45873630769756996</v>
      </c>
      <c r="K63" s="345">
        <v>10.1</v>
      </c>
      <c r="L63" t="s">
        <v>1586</v>
      </c>
      <c r="M63" t="s">
        <v>1668</v>
      </c>
      <c r="N63" s="78" t="s">
        <v>1500</v>
      </c>
      <c r="O63" t="s">
        <v>1669</v>
      </c>
      <c r="P63">
        <v>820</v>
      </c>
      <c r="Q63" s="78" t="s">
        <v>1500</v>
      </c>
      <c r="R63" s="2">
        <f>0.0000789*((J63*100)^1.82158)*(K63^1.06269)*P63</f>
        <v>803.23620343989296</v>
      </c>
      <c r="S63" s="2">
        <f>0.0000789*((H63*100)^1.82158)*(I63^1.06269)*P63</f>
        <v>724.13558733574655</v>
      </c>
      <c r="T63" s="291">
        <v>724.14</v>
      </c>
      <c r="U63" s="2"/>
    </row>
    <row r="64" spans="1:35" s="178" customFormat="1">
      <c r="A64" s="178">
        <v>28</v>
      </c>
      <c r="B64" s="178">
        <v>4</v>
      </c>
      <c r="C64" s="178" cm="1">
        <f t="array" ref="C64">MAX(IF(('Footprint Trees'!$P$2:$P$1036=A64)*('Footprint Trees'!$Q$2:$Q$1036=B64),'Footprint Trees'!$R$2:$R$1036))</f>
        <v>1</v>
      </c>
      <c r="D64" s="178" t="str" cm="1">
        <f t="array" ref="D64">_xlfn._xlws.FILTER('Footprint Trees'!S64:S1099, ('Footprint Trees'!P64:P1099=A64)*('Footprint Trees'!Q64:Q1099=B64)*('Footprint Trees'!R64:R1099=C64))</f>
        <v>4_6</v>
      </c>
      <c r="E64" s="645" t="str">
        <v>28.4.1</v>
      </c>
      <c r="F64" s="178" t="str" cm="1">
        <f t="array" ref="F64">_xlfn._xlws.FILTER('Footprint Trees'!X64:X1099, ('Footprint Trees'!P64:P1099=A64)*('Footprint Trees'!Q64:Q1099=B64)*('Footprint Trees'!R64:R1099=C64))</f>
        <v>sweet bay laurel</v>
      </c>
      <c r="G64" s="178" t="str" cm="1">
        <f t="array" ref="G64">_xlfn._xlws.FILTER('Footprint Trees'!Y67:Y1099, ('Footprint Trees'!P67:P1099=A64)*('Footprint Trees'!Q67:Q1099=B64)*('Footprint Trees'!R67:R1099=C64))</f>
        <v>Laurus nobilis</v>
      </c>
      <c r="H64" s="646" cm="1">
        <f t="array" ref="H64">SQRT(SUMPRODUCT((('Footprint Trees'!$P$2:$P$1036='Biomass Calcs'!A64)*('Footprint Trees'!$Q$2:$Q$1036='Biomass Calcs'!B64))*('Footprint Trees'!$B$2:$B$1036)^2))</f>
        <v>0.232445329431301</v>
      </c>
      <c r="I64" s="647">
        <v>5.1155753135681099</v>
      </c>
      <c r="J64" s="646" cm="1">
        <f t="array" ref="J64">SQRT(SUMPRODUCT((('Footprint Trees'!$P$2:$P$1036='Biomass Calcs'!A64)*('Footprint Trees'!$Q$2:$Q$1036='Biomass Calcs'!B64))*('Footprint Trees'!$E$2:$E$1036)^2))</f>
        <v>0</v>
      </c>
      <c r="K64" s="647">
        <v>4.4000000000000004</v>
      </c>
      <c r="L64" t="s">
        <v>1626</v>
      </c>
      <c r="M64" t="s">
        <v>1660</v>
      </c>
      <c r="N64" s="78" t="s">
        <v>1588</v>
      </c>
      <c r="O64" t="s">
        <v>1661</v>
      </c>
      <c r="P64">
        <v>0.52</v>
      </c>
      <c r="Q64" s="78" t="s">
        <v>1500</v>
      </c>
      <c r="R64" s="641" t="e">
        <f>EXP(-2.2118+2.4133*LN(J64*100))</f>
        <v>#NUM!</v>
      </c>
      <c r="S64" s="641">
        <f>EXP(-2.2118+2.4133*LN(H64*100))</f>
        <v>217.15483830376002</v>
      </c>
      <c r="T64" s="663">
        <v>13</v>
      </c>
      <c r="U64" s="654" t="s">
        <v>1670</v>
      </c>
      <c r="V64" s="655"/>
      <c r="W64" s="655"/>
      <c r="X64"/>
      <c r="Y64"/>
      <c r="Z64"/>
      <c r="AA64"/>
      <c r="AB64"/>
      <c r="AC64"/>
      <c r="AD64"/>
      <c r="AE64"/>
      <c r="AF64"/>
      <c r="AG64"/>
      <c r="AH64"/>
      <c r="AI64"/>
    </row>
    <row r="65" spans="1:23">
      <c r="A65">
        <v>17</v>
      </c>
      <c r="B65">
        <v>7</v>
      </c>
      <c r="C65" cm="1">
        <f t="array" ref="C65">MAX(IF(('Footprint Trees'!$P$2:$P$1036=A65)*('Footprint Trees'!$Q$2:$Q$1036=B65),'Footprint Trees'!$R$2:$R$1036))</f>
        <v>1</v>
      </c>
      <c r="D65" cm="1">
        <f t="array" ref="D65">_xlfn._xlws.FILTER('Footprint Trees'!S65:S1100, ('Footprint Trees'!P65:P1100=A65)*('Footprint Trees'!Q65:Q1100=B65)*('Footprint Trees'!R65:R1100=C65))</f>
        <v>4</v>
      </c>
      <c r="E65" s="78" t="str">
        <v>17.7.1</v>
      </c>
      <c r="F65" t="str" cm="1">
        <f t="array" ref="F65">_xlfn._xlws.FILTER('Footprint Trees'!X65:X1100, ('Footprint Trees'!P65:P1100=A65)*('Footprint Trees'!Q65:Q1100=B65)*('Footprint Trees'!R65:R1100=C65))</f>
        <v>coastal live oak</v>
      </c>
      <c r="G65" t="str" cm="1">
        <f t="array" ref="G65">_xlfn._xlws.FILTER('Footprint Trees'!Y68:Y1100, ('Footprint Trees'!P68:P1100=A65)*('Footprint Trees'!Q68:Q1100=B65)*('Footprint Trees'!R68:R1100=C65))</f>
        <v>Quercus agrofolia</v>
      </c>
      <c r="H65" s="88" cm="1">
        <f t="array" ref="H65">SQRT(SUMPRODUCT((('Footprint Trees'!$P$2:$P$1036='Biomass Calcs'!A65)*('Footprint Trees'!$Q$2:$Q$1036='Biomass Calcs'!B65))*('Footprint Trees'!$B$2:$B$1036)^2))</f>
        <v>7.7751000000000001E-2</v>
      </c>
      <c r="I65" s="345">
        <v>2.3333390000000001</v>
      </c>
      <c r="J65" s="88" cm="1">
        <f t="array" ref="J65">SQRT(SUMPRODUCT((('Footprint Trees'!$P$2:$P$1036='Biomass Calcs'!A65)*('Footprint Trees'!$Q$2:$Q$1036='Biomass Calcs'!B65))*('Footprint Trees'!$E$2:$E$1036)^2))</f>
        <v>6.3E-2</v>
      </c>
      <c r="K65" s="345">
        <v>2.4</v>
      </c>
      <c r="L65" t="s">
        <v>1586</v>
      </c>
      <c r="M65" t="s">
        <v>1624</v>
      </c>
      <c r="N65" s="78" t="s">
        <v>1500</v>
      </c>
      <c r="O65" t="s">
        <v>1625</v>
      </c>
      <c r="P65">
        <v>590</v>
      </c>
      <c r="Q65" s="78" t="s">
        <v>1500</v>
      </c>
      <c r="R65" s="642">
        <f>0.0000447*((J65*100)^(2.31958))*((K65)^(0.62528))*P65</f>
        <v>3.2586098931151239</v>
      </c>
      <c r="S65" s="642">
        <f>0.0000447*((H65*100)^(2.31958))*((I65)^(0.62528))*P65</f>
        <v>5.2156988019224499</v>
      </c>
      <c r="T65" s="663">
        <v>14</v>
      </c>
      <c r="U65" s="651" t="s">
        <v>1510</v>
      </c>
    </row>
    <row r="66" spans="1:23">
      <c r="A66">
        <v>31</v>
      </c>
      <c r="B66">
        <v>1</v>
      </c>
      <c r="C66" cm="1">
        <f t="array" ref="C66">MAX(IF(('Footprint Trees'!$P$2:$P$1036=A66)*('Footprint Trees'!$Q$2:$Q$1036=B66),'Footprint Trees'!$R$2:$R$1036))</f>
        <v>1</v>
      </c>
      <c r="D66" cm="1">
        <f t="array" ref="D66">_xlfn._xlws.FILTER('Footprint Trees'!S66:S1101, ('Footprint Trees'!P66:P1101=A66)*('Footprint Trees'!Q66:Q1101=B66)*('Footprint Trees'!R66:R1101=C66))</f>
        <v>4</v>
      </c>
      <c r="E66" s="78" t="str">
        <v>31.1.1</v>
      </c>
      <c r="F66" t="str" cm="1">
        <f t="array" ref="F66">_xlfn._xlws.FILTER('Footprint Trees'!X66:X1101, ('Footprint Trees'!P66:P1101=A66)*('Footprint Trees'!Q66:Q1101=B66)*('Footprint Trees'!R66:R1101=C66))</f>
        <v>CHASTE TREE</v>
      </c>
      <c r="G66" t="str" cm="1">
        <f t="array" ref="G66">_xlfn._xlws.FILTER('Footprint Trees'!Y69:Y1101, ('Footprint Trees'!P69:P1101=A66)*('Footprint Trees'!Q69:Q1101=B66)*('Footprint Trees'!R69:R1101=C66))</f>
        <v>Vitex agnus-castus</v>
      </c>
      <c r="H66" s="88" cm="1">
        <f t="array" ref="H66">SQRT(SUMPRODUCT((('Footprint Trees'!$P$2:$P$1036='Biomass Calcs'!A66)*('Footprint Trees'!$Q$2:$Q$1036='Biomass Calcs'!B66))*('Footprint Trees'!$B$2:$B$1036)^2))</f>
        <v>9.0177999999999994E-2</v>
      </c>
      <c r="I66" s="345">
        <v>2.9577469999999999</v>
      </c>
      <c r="J66" s="88" cm="1">
        <f t="array" ref="J66">SQRT(SUMPRODUCT((('Footprint Trees'!$P$2:$P$1036='Biomass Calcs'!A66)*('Footprint Trees'!$Q$2:$Q$1036='Biomass Calcs'!B66))*('Footprint Trees'!$E$2:$E$1036)^2))</f>
        <v>0</v>
      </c>
      <c r="K66" s="345">
        <v>3.3</v>
      </c>
      <c r="L66" t="s">
        <v>1586</v>
      </c>
      <c r="M66" t="s">
        <v>1587</v>
      </c>
      <c r="N66" s="78" t="s">
        <v>1588</v>
      </c>
      <c r="O66" t="s">
        <v>1589</v>
      </c>
      <c r="P66">
        <v>0.57999999999999996</v>
      </c>
      <c r="Q66" s="78" t="s">
        <v>1500</v>
      </c>
      <c r="R66" s="2">
        <f>0.0001967*((J66*100)^(1.951853))*((K66)^(0.664255))*P66*1000</f>
        <v>0</v>
      </c>
      <c r="S66" s="2">
        <f>0.0001967*((H66*100)^(1.951853))*((I66)^(0.664255))*P66*1000</f>
        <v>17.15088509164557</v>
      </c>
      <c r="T66" s="663">
        <v>15</v>
      </c>
      <c r="U66" s="641" t="s">
        <v>1671</v>
      </c>
    </row>
    <row r="67" spans="1:23">
      <c r="A67">
        <v>28</v>
      </c>
      <c r="B67">
        <v>5</v>
      </c>
      <c r="C67" cm="1">
        <f t="array" ref="C67">MAX(IF(('Footprint Trees'!$P$2:$P$1036=A67)*('Footprint Trees'!$Q$2:$Q$1036=B67),'Footprint Trees'!$R$2:$R$1036))</f>
        <v>1</v>
      </c>
      <c r="D67" cm="1">
        <f t="array" ref="D67">_xlfn._xlws.FILTER('Footprint Trees'!S67:S1102, ('Footprint Trees'!P67:P1102=A67)*('Footprint Trees'!Q67:Q1102=B67)*('Footprint Trees'!R67:R1102=C67))</f>
        <v>4</v>
      </c>
      <c r="E67" s="78" t="str">
        <v>28.5.1</v>
      </c>
      <c r="F67" t="str" cm="1">
        <f t="array" ref="F67">_xlfn._xlws.FILTER('Footprint Trees'!X67:X1102, ('Footprint Trees'!P67:P1102=A67)*('Footprint Trees'!Q67:Q1102=B67)*('Footprint Trees'!R67:R1102=C67))</f>
        <v>sweet bay laurel</v>
      </c>
      <c r="G67" t="str" cm="1">
        <f t="array" ref="G67">_xlfn._xlws.FILTER('Footprint Trees'!Y70:Y1102, ('Footprint Trees'!P70:P1102=A67)*('Footprint Trees'!Q70:Q1102=B67)*('Footprint Trees'!R70:R1102=C67))</f>
        <v>Laurus nobilis</v>
      </c>
      <c r="H67" s="88" cm="1">
        <f t="array" ref="H67">SQRT(SUMPRODUCT((('Footprint Trees'!$P$2:$P$1036='Biomass Calcs'!A67)*('Footprint Trees'!$Q$2:$Q$1036='Biomass Calcs'!B67))*('Footprint Trees'!$B$2:$B$1036)^2))</f>
        <v>5.4230102218448401E-2</v>
      </c>
      <c r="I67" s="345">
        <v>2.9521360397338801</v>
      </c>
      <c r="J67" s="88" cm="1">
        <f t="array" ref="J67">SQRT(SUMPRODUCT((('Footprint Trees'!$P$2:$P$1036='Biomass Calcs'!A67)*('Footprint Trees'!$Q$2:$Q$1036='Biomass Calcs'!B67))*('Footprint Trees'!$E$2:$E$1036)^2))</f>
        <v>0</v>
      </c>
      <c r="K67" s="345">
        <v>3.1</v>
      </c>
      <c r="L67" t="s">
        <v>1626</v>
      </c>
      <c r="M67" t="s">
        <v>1660</v>
      </c>
      <c r="N67" s="78" t="s">
        <v>1588</v>
      </c>
      <c r="O67" t="s">
        <v>1661</v>
      </c>
      <c r="P67">
        <v>0.52</v>
      </c>
      <c r="Q67" s="78" t="s">
        <v>1500</v>
      </c>
      <c r="R67" s="641" t="e">
        <f>EXP(-2.2118+2.4133*LN(J67*100))</f>
        <v>#NUM!</v>
      </c>
      <c r="S67" s="641">
        <f>EXP(-2.2118+2.4133*LN(H67*100))</f>
        <v>6.4769400584426728</v>
      </c>
      <c r="T67" s="663">
        <v>16</v>
      </c>
      <c r="U67" s="654" t="s">
        <v>1672</v>
      </c>
    </row>
    <row r="68" spans="1:23">
      <c r="A68">
        <v>17</v>
      </c>
      <c r="B68">
        <v>8</v>
      </c>
      <c r="C68" cm="1">
        <f t="array" ref="C68">MAX(IF(('Footprint Trees'!$P$2:$P$1036=A68)*('Footprint Trees'!$Q$2:$Q$1036=B68),'Footprint Trees'!$R$2:$R$1036))</f>
        <v>1</v>
      </c>
      <c r="D68" cm="1">
        <f t="array" ref="D68">_xlfn._xlws.FILTER('Footprint Trees'!S68:S1103, ('Footprint Trees'!P68:P1103=A68)*('Footprint Trees'!Q68:Q1103=B68)*('Footprint Trees'!R68:R1103=C68))</f>
        <v>4</v>
      </c>
      <c r="E68" s="78" t="str">
        <v>17.8.1</v>
      </c>
      <c r="F68" t="str" cm="1">
        <f t="array" ref="F68">_xlfn._xlws.FILTER('Footprint Trees'!X68:X1103, ('Footprint Trees'!P68:P1103=A68)*('Footprint Trees'!Q68:Q1103=B68)*('Footprint Trees'!R68:R1103=C68))</f>
        <v>coastal live oak</v>
      </c>
      <c r="G68" t="str" cm="1">
        <f t="array" ref="G68">_xlfn._xlws.FILTER('Footprint Trees'!Y71:Y1103, ('Footprint Trees'!P71:P1103=A68)*('Footprint Trees'!Q71:Q1103=B68)*('Footprint Trees'!R71:R1103=C68))</f>
        <v>quercus agrofolia</v>
      </c>
      <c r="H68" s="88" cm="1">
        <f t="array" ref="H68">SQRT(SUMPRODUCT((('Footprint Trees'!$P$2:$P$1036='Biomass Calcs'!A68)*('Footprint Trees'!$Q$2:$Q$1036='Biomass Calcs'!B68))*('Footprint Trees'!$B$2:$B$1036)^2))</f>
        <v>0.15962999999999999</v>
      </c>
      <c r="I68" s="345">
        <v>3.5228480000000002</v>
      </c>
      <c r="J68" s="88" cm="1">
        <f t="array" ref="J68">SQRT(SUMPRODUCT((('Footprint Trees'!$P$2:$P$1036='Biomass Calcs'!A68)*('Footprint Trees'!$Q$2:$Q$1036='Biomass Calcs'!B68))*('Footprint Trees'!$E$2:$E$1036)^2))</f>
        <v>0.14899999999999999</v>
      </c>
      <c r="K68" s="345">
        <v>3.5</v>
      </c>
      <c r="L68" t="s">
        <v>1586</v>
      </c>
      <c r="M68" t="s">
        <v>1624</v>
      </c>
      <c r="N68" s="78" t="s">
        <v>1500</v>
      </c>
      <c r="O68" t="s">
        <v>1625</v>
      </c>
      <c r="P68">
        <v>590</v>
      </c>
      <c r="Q68" s="78" t="s">
        <v>1500</v>
      </c>
      <c r="R68" s="642">
        <f>0.0000447*((J68*100)^(2.31958))*((K68)^(0.62528))*P68</f>
        <v>30.384619771973455</v>
      </c>
      <c r="S68" s="642">
        <f>0.0000447*((H68*100)^(2.31958))*((I68)^(0.62528))*P68</f>
        <v>35.796595094661392</v>
      </c>
      <c r="T68" s="291">
        <v>35.799999999999997</v>
      </c>
      <c r="U68" s="641" t="s">
        <v>1673</v>
      </c>
    </row>
    <row r="69" spans="1:23">
      <c r="A69">
        <v>27</v>
      </c>
      <c r="B69">
        <v>3</v>
      </c>
      <c r="C69" cm="1">
        <f t="array" ref="C69">MAX(IF(('Footprint Trees'!$P$2:$P$1036=A69)*('Footprint Trees'!$Q$2:$Q$1036=B69),'Footprint Trees'!$R$2:$R$1036))</f>
        <v>1</v>
      </c>
      <c r="D69" cm="1">
        <f t="array" ref="D69">_xlfn._xlws.FILTER('Footprint Trees'!S69:S1104, ('Footprint Trees'!P69:P1104=A69)*('Footprint Trees'!Q69:Q1104=B69)*('Footprint Trees'!R69:R1104=C69))</f>
        <v>4</v>
      </c>
      <c r="E69" s="78" t="str">
        <v>27.3.1</v>
      </c>
      <c r="F69" t="str" cm="1">
        <f t="array" ref="F69">_xlfn._xlws.FILTER('Footprint Trees'!X69:X1104, ('Footprint Trees'!P69:P1104=A69)*('Footprint Trees'!Q69:Q1104=B69)*('Footprint Trees'!R69:R1104=C69))</f>
        <v>elfin king strawberry tree</v>
      </c>
      <c r="G69" t="str" cm="1">
        <f t="array" ref="G69">_xlfn._xlws.FILTER('Footprint Trees'!Y72:Y1104, ('Footprint Trees'!P72:P1104=A69)*('Footprint Trees'!Q72:Q1104=B69)*('Footprint Trees'!R72:R1104=C69))</f>
        <v>Arbutus unedo</v>
      </c>
      <c r="H69" s="88" cm="1">
        <f t="array" ref="H69">SQRT(SUMPRODUCT((('Footprint Trees'!$P$2:$P$1036='Biomass Calcs'!A69)*('Footprint Trees'!$Q$2:$Q$1036='Biomass Calcs'!B69))*('Footprint Trees'!$B$2:$B$1036)^2))</f>
        <v>9.7415755709861995E-2</v>
      </c>
      <c r="I69" s="345">
        <v>3.0311982631683301</v>
      </c>
      <c r="J69" s="88" cm="1">
        <f t="array" ref="J69">SQRT(SUMPRODUCT((('Footprint Trees'!$P$2:$P$1036='Biomass Calcs'!A69)*('Footprint Trees'!$Q$2:$Q$1036='Biomass Calcs'!B69))*('Footprint Trees'!$E$2:$E$1036)^2))</f>
        <v>0</v>
      </c>
      <c r="K69" s="345">
        <v>3.1</v>
      </c>
      <c r="L69" t="s">
        <v>1656</v>
      </c>
      <c r="M69" t="s">
        <v>1657</v>
      </c>
      <c r="N69" s="78" t="s">
        <v>1500</v>
      </c>
      <c r="O69" t="s">
        <v>1658</v>
      </c>
      <c r="P69">
        <v>0.63</v>
      </c>
      <c r="Q69" s="78" t="s">
        <v>1500</v>
      </c>
      <c r="R69" s="65">
        <f>-2.7563+0.3045*(J69*100)^2</f>
        <v>-2.7563</v>
      </c>
      <c r="S69" s="65">
        <f>-2.7563+0.3045*(H69*100)^2</f>
        <v>26.140230707294091</v>
      </c>
      <c r="T69" s="663">
        <v>17</v>
      </c>
      <c r="U69" s="641" t="s">
        <v>1662</v>
      </c>
    </row>
    <row r="70" spans="1:23" s="175" customFormat="1">
      <c r="A70" s="175">
        <v>32</v>
      </c>
      <c r="B70" s="175">
        <v>1</v>
      </c>
      <c r="C70" s="175" cm="1">
        <f t="array" ref="C70">MAX(IF(('Footprint Trees'!$P$2:$P$1036=A70)*('Footprint Trees'!$Q$2:$Q$1036=B70),'Footprint Trees'!$R$2:$R$1036))</f>
        <v>1</v>
      </c>
      <c r="D70" s="175" cm="1">
        <f t="array" ref="D70">_xlfn._xlws.FILTER('Footprint Trees'!S70:S1105, ('Footprint Trees'!P70:P1105=A70)*('Footprint Trees'!Q70:Q1105=B70)*('Footprint Trees'!R70:R1105=C70))</f>
        <v>4</v>
      </c>
      <c r="E70" s="344" t="str">
        <v>32.1.1</v>
      </c>
      <c r="F70" s="175" t="str" cm="1">
        <f t="array" ref="F70">_xlfn._xlws.FILTER('Footprint Trees'!X70:X1105, ('Footprint Trees'!P70:P1105=A70)*('Footprint Trees'!Q70:Q1105=B70)*('Footprint Trees'!R70:R1105=C70))</f>
        <v>hungarian oak</v>
      </c>
      <c r="G70" s="175" t="str" cm="1">
        <f t="array" ref="G70">_xlfn._xlws.FILTER('Footprint Trees'!Y73:Y1105, ('Footprint Trees'!P73:P1105=A70)*('Footprint Trees'!Q73:Q1105=B70)*('Footprint Trees'!R73:R1105=C70))</f>
        <v xml:space="preserve">quercus frainetto </v>
      </c>
      <c r="H70" s="354" cm="1">
        <f t="array" ref="H70">SQRT(SUMPRODUCT((('Footprint Trees'!$P$2:$P$1036='Biomass Calcs'!A70)*('Footprint Trees'!$Q$2:$Q$1036='Biomass Calcs'!B70))*('Footprint Trees'!$B$2:$B$1036)^2))</f>
        <v>9.91045572118541E-2</v>
      </c>
      <c r="I70" s="356">
        <v>5.3603625297546298</v>
      </c>
      <c r="J70" s="354" cm="1">
        <f t="array" ref="J70">SQRT(SUMPRODUCT((('Footprint Trees'!$P$2:$P$1036='Biomass Calcs'!A70)*('Footprint Trees'!$Q$2:$Q$1036='Biomass Calcs'!B70))*('Footprint Trees'!$E$2:$E$1036)^2))</f>
        <v>9.8000000000000004E-2</v>
      </c>
      <c r="K70" s="356">
        <v>4.5999999999999996</v>
      </c>
      <c r="L70" s="175" t="s">
        <v>1586</v>
      </c>
      <c r="M70" s="175" t="s">
        <v>1674</v>
      </c>
      <c r="N70" s="344" t="s">
        <v>1588</v>
      </c>
      <c r="O70" s="175" t="s">
        <v>1675</v>
      </c>
      <c r="P70" s="175">
        <v>0.68</v>
      </c>
      <c r="Q70" s="344" t="s">
        <v>1500</v>
      </c>
      <c r="R70" s="357">
        <f>0.0001967*((J70*100)^(1.951853))*((K70)^(0.664255))*P70*1000</f>
        <v>31.716193997810187</v>
      </c>
      <c r="S70" s="357">
        <f>0.0001967*((H70*100)^(1.951853))*((I70)^(0.664255))*P70*1000</f>
        <v>35.88496048688981</v>
      </c>
      <c r="T70" s="291">
        <v>35.880000000000003</v>
      </c>
      <c r="U70" s="357"/>
      <c r="V70" s="656" cm="1">
        <f t="array" ref="V70">SUMPRODUCT(($D$2:$D$82=4)*IFERROR($R$2:$R$82,0))</f>
        <v>8611.5243154588879</v>
      </c>
      <c r="W70" s="656" cm="1">
        <f t="array" ref="W70">SUMPRODUCT(($D$2:$D$1000=4)*IFERROR($S$2:$S$1000,0))</f>
        <v>7706.338304242634</v>
      </c>
    </row>
    <row r="71" spans="1:23">
      <c r="A71">
        <v>33</v>
      </c>
      <c r="B71">
        <v>1</v>
      </c>
      <c r="C71" cm="1">
        <f t="array" ref="C71">MAX(IF(('Footprint Trees'!$P$2:$P$1036=A71)*('Footprint Trees'!$Q$2:$Q$1036=B71),'Footprint Trees'!$R$2:$R$1036))</f>
        <v>1</v>
      </c>
      <c r="D71" cm="1">
        <f t="array" ref="D71">_xlfn._xlws.FILTER('Footprint Trees'!S71:S1106, ('Footprint Trees'!P71:P1106=A71)*('Footprint Trees'!Q71:Q1106=B71)*('Footprint Trees'!R71:R1106=C71))</f>
        <v>6</v>
      </c>
      <c r="E71" s="78" t="str">
        <v>33.1.1</v>
      </c>
      <c r="F71" t="str" cm="1">
        <f t="array" ref="F71">_xlfn._xlws.FILTER('Footprint Trees'!X71:X1106, ('Footprint Trees'!P71:P1106=A71)*('Footprint Trees'!Q71:Q1106=B71)*('Footprint Trees'!R71:R1106=C71))</f>
        <v xml:space="preserve">island live oak </v>
      </c>
      <c r="G71" t="str" cm="1">
        <f t="array" ref="G71">_xlfn._xlws.FILTER('Footprint Trees'!Y74:Y1106, ('Footprint Trees'!P74:P1106=A71)*('Footprint Trees'!Q74:Q1106=B71)*('Footprint Trees'!R74:R1106=C71))</f>
        <v>quercus tomentella</v>
      </c>
      <c r="H71" s="88" cm="1">
        <f t="array" ref="H71">SQRT(SUMPRODUCT((('Footprint Trees'!$P$2:$P$1036='Biomass Calcs'!A71)*('Footprint Trees'!$Q$2:$Q$1036='Biomass Calcs'!B71))*('Footprint Trees'!$B$2:$B$1036)^2))</f>
        <v>0.31484960302383502</v>
      </c>
      <c r="I71" s="345">
        <v>10.509901046752899</v>
      </c>
      <c r="J71" s="88" cm="1">
        <f t="array" ref="J71">SQRT(SUMPRODUCT((('Footprint Trees'!$P$2:$P$1036='Biomass Calcs'!A71)*('Footprint Trees'!$Q$2:$Q$1036='Biomass Calcs'!B71))*('Footprint Trees'!$E$2:$E$1036)^2))</f>
        <v>0.34200000000000003</v>
      </c>
      <c r="K71" s="345">
        <v>10</v>
      </c>
      <c r="L71" t="s">
        <v>1626</v>
      </c>
      <c r="M71" t="s">
        <v>1627</v>
      </c>
      <c r="N71" s="78" t="s">
        <v>1588</v>
      </c>
      <c r="O71" t="s">
        <v>1628</v>
      </c>
      <c r="Q71" s="78" t="s">
        <v>1631</v>
      </c>
      <c r="R71" s="650">
        <f>EXP(-2.2198)*((J71*100)^2.441)</f>
        <v>603.26875694249304</v>
      </c>
      <c r="S71" s="650">
        <f>EXP(-2.2198)*((H71*100)^2.441)</f>
        <v>492.9727328337824</v>
      </c>
      <c r="T71" s="291">
        <v>492.97</v>
      </c>
    </row>
    <row r="72" spans="1:23">
      <c r="A72">
        <v>34</v>
      </c>
      <c r="B72">
        <v>1</v>
      </c>
      <c r="C72" cm="1">
        <f t="array" ref="C72">MAX(IF(('Footprint Trees'!$P$2:$P$1036=A72)*('Footprint Trees'!$Q$2:$Q$1036=B72),'Footprint Trees'!$R$2:$R$1036))</f>
        <v>1</v>
      </c>
      <c r="D72" cm="1">
        <f t="array" ref="D72">_xlfn._xlws.FILTER('Footprint Trees'!S72:S1107, ('Footprint Trees'!P72:P1107=A72)*('Footprint Trees'!Q72:Q1107=B72)*('Footprint Trees'!R72:R1107=C72))</f>
        <v>6</v>
      </c>
      <c r="E72" s="78" t="str">
        <v>34.1.1</v>
      </c>
      <c r="F72" t="str" cm="1">
        <f t="array" ref="F72">_xlfn._xlws.FILTER('Footprint Trees'!X72:X1107, ('Footprint Trees'!P72:P1107=A72)*('Footprint Trees'!Q72:Q1107=B72)*('Footprint Trees'!R72:R1107=C72))</f>
        <v>catalina fernleaf ironwood</v>
      </c>
      <c r="G72" t="str" cm="1">
        <f t="array" ref="G72">_xlfn._xlws.FILTER('Footprint Trees'!Y75:Y1107, ('Footprint Trees'!P75:P1107=A72)*('Footprint Trees'!Q75:Q1107=B72)*('Footprint Trees'!R75:R1107=C72))</f>
        <v>lyonothamnus floribundus asplenifolius</v>
      </c>
      <c r="H72" s="88" cm="1">
        <f t="array" ref="H72">SQRT(SUMPRODUCT((('Footprint Trees'!$P$2:$P$1036='Biomass Calcs'!A72)*('Footprint Trees'!$Q$2:$Q$1036='Biomass Calcs'!B72))*('Footprint Trees'!$B$2:$B$1036)^2))</f>
        <v>0.376305840101119</v>
      </c>
      <c r="I72" s="345">
        <v>10.4095745086669</v>
      </c>
      <c r="J72" s="88" cm="1">
        <f t="array" ref="J72">SQRT(SUMPRODUCT((('Footprint Trees'!$P$2:$P$1036='Biomass Calcs'!A72)*('Footprint Trees'!$Q$2:$Q$1036='Biomass Calcs'!B72))*('Footprint Trees'!$E$2:$E$1036)^2))</f>
        <v>0.38700000000000001</v>
      </c>
      <c r="K72" s="345">
        <v>9.9</v>
      </c>
      <c r="L72" t="s">
        <v>1626</v>
      </c>
      <c r="M72" t="s">
        <v>1660</v>
      </c>
      <c r="N72" s="78" t="s">
        <v>1588</v>
      </c>
      <c r="O72" t="s">
        <v>1661</v>
      </c>
      <c r="Q72" s="78" t="s">
        <v>1631</v>
      </c>
      <c r="R72" s="650">
        <f>EXP(-2.2118+2.4133*LN(J72*100))</f>
        <v>743.10526235768737</v>
      </c>
      <c r="S72" s="650">
        <f>EXP(-2.2118+2.4133*LN(H72*100))</f>
        <v>694.51312884431832</v>
      </c>
      <c r="T72" s="291">
        <v>694.51</v>
      </c>
      <c r="U72" s="65" t="s">
        <v>1606</v>
      </c>
    </row>
    <row r="73" spans="1:23">
      <c r="A73">
        <v>35</v>
      </c>
      <c r="B73">
        <v>1</v>
      </c>
      <c r="C73" cm="1">
        <f t="array" ref="C73">MAX(IF(('Footprint Trees'!$P$2:$P$1036=A73)*('Footprint Trees'!$Q$2:$Q$1036=B73),'Footprint Trees'!$R$2:$R$1036))</f>
        <v>3</v>
      </c>
      <c r="D73" cm="1">
        <f t="array" ref="D73">_xlfn._xlws.FILTER('Footprint Trees'!S74:S1108, ('Footprint Trees'!P74:P1108=A73)*('Footprint Trees'!Q74:Q1108=B73)*('Footprint Trees'!R74:R1108=C73))</f>
        <v>6</v>
      </c>
      <c r="E73" s="78" t="str">
        <v>35.1.3</v>
      </c>
      <c r="F73" t="str" cm="1">
        <f t="array" ref="F73">_xlfn._xlws.FILTER('Footprint Trees'!X73:X1108, ('Footprint Trees'!P73:P1108=A73)*('Footprint Trees'!Q73:Q1108=B73)*('Footprint Trees'!R73:R1108=C73))</f>
        <v>lemonadeberry</v>
      </c>
      <c r="G73" t="str" cm="1">
        <f t="array" ref="G73">_xlfn._xlws.FILTER('Footprint Trees'!Y76:Y1108, ('Footprint Trees'!P76:P1108=A73)*('Footprint Trees'!Q76:Q1108=B73)*('Footprint Trees'!R76:R1108=C73))</f>
        <v>Rhus integrifolia</v>
      </c>
      <c r="H73" s="88" cm="1">
        <f t="array" ref="H73">SQRT(SUMPRODUCT((('Footprint Trees'!$P$2:$P$1036='Biomass Calcs'!A73)*('Footprint Trees'!$Q$2:$Q$1036='Biomass Calcs'!B73))*('Footprint Trees'!$B$2:$B$1036)^2))</f>
        <v>0.24117363308149423</v>
      </c>
      <c r="I73" s="345">
        <v>4.0904731750488201</v>
      </c>
      <c r="J73" s="88" cm="1">
        <f t="array" ref="J73">SQRT(SUMPRODUCT((('Footprint Trees'!$P$2:$P$1036='Biomass Calcs'!A73)*('Footprint Trees'!$Q$2:$Q$1036='Biomass Calcs'!B73))*('Footprint Trees'!$E$2:$E$1036)^2))</f>
        <v>0.2106418761785035</v>
      </c>
      <c r="K73" s="345">
        <v>3.2</v>
      </c>
      <c r="L73" t="s">
        <v>1676</v>
      </c>
      <c r="M73" t="s">
        <v>1677</v>
      </c>
      <c r="N73" s="78" t="s">
        <v>1588</v>
      </c>
      <c r="O73" t="s">
        <v>1678</v>
      </c>
      <c r="P73">
        <v>0.56000000000000005</v>
      </c>
      <c r="R73" s="2">
        <f>10^(2.083 + 0.396*LOG(K73)) * 1.18</f>
        <v>226.42344754635795</v>
      </c>
      <c r="S73" s="2">
        <f>10^(2.083 + 0.396*LOG(I73)) * 1.18</f>
        <v>249.54239140782195</v>
      </c>
      <c r="T73" s="291">
        <v>249.54</v>
      </c>
    </row>
    <row r="74" spans="1:23">
      <c r="A74">
        <v>36</v>
      </c>
      <c r="B74">
        <v>1</v>
      </c>
      <c r="C74" cm="1">
        <f t="array" ref="C74">MAX(IF(('Footprint Trees'!$P$2:$P$1036=A74)*('Footprint Trees'!$Q$2:$Q$1036=B74),'Footprint Trees'!$R$2:$R$1036))</f>
        <v>1</v>
      </c>
      <c r="D74" cm="1">
        <f t="array" ref="D74">_xlfn._xlws.FILTER('Footprint Trees'!S75:S1109, ('Footprint Trees'!P75:P1109=A74)*('Footprint Trees'!Q75:Q1109=B74)*('Footprint Trees'!R75:R1109=C74))</f>
        <v>6</v>
      </c>
      <c r="E74" s="78" t="str">
        <v>36.1.1</v>
      </c>
      <c r="F74" t="str" cm="1">
        <f t="array" ref="F74">_xlfn._xlws.FILTER('Footprint Trees'!X74:X1109, ('Footprint Trees'!P74:P1109=A74)*('Footprint Trees'!Q74:Q1109=B74)*('Footprint Trees'!R74:R1109=C74))</f>
        <v>Santa Catalina Island Mountain mahogany</v>
      </c>
      <c r="G74" t="str" cm="1">
        <f t="array" ref="G74">_xlfn._xlws.FILTER('Footprint Trees'!Y77:Y1109, ('Footprint Trees'!P77:P1109=A74)*('Footprint Trees'!Q77:Q1109=B74)*('Footprint Trees'!R77:R1109=C74))</f>
        <v>cerocarpus trakiae</v>
      </c>
      <c r="H74" s="88" cm="1">
        <f t="array" ref="H74">SQRT(SUMPRODUCT((('Footprint Trees'!$P$2:$P$1036='Biomass Calcs'!A74)*('Footprint Trees'!$Q$2:$Q$1036='Biomass Calcs'!B74))*('Footprint Trees'!$B$2:$B$1036)^2))</f>
        <v>5.6307791381785002E-2</v>
      </c>
      <c r="I74" s="345">
        <v>6.2746605873107901</v>
      </c>
      <c r="J74" s="88" cm="1">
        <f t="array" ref="J74">SQRT(SUMPRODUCT((('Footprint Trees'!$P$2:$P$1036='Biomass Calcs'!A74)*('Footprint Trees'!$Q$2:$Q$1036='Biomass Calcs'!B74))*('Footprint Trees'!$E$2:$E$1036)^2))</f>
        <v>0</v>
      </c>
      <c r="K74" s="345">
        <v>6.1</v>
      </c>
      <c r="L74" t="s">
        <v>1626</v>
      </c>
      <c r="M74" t="s">
        <v>1660</v>
      </c>
      <c r="N74" s="78" t="s">
        <v>1588</v>
      </c>
      <c r="O74" t="s">
        <v>1661</v>
      </c>
      <c r="Q74" s="78" t="s">
        <v>1631</v>
      </c>
      <c r="R74" s="641" t="e">
        <f>EXP(-2.2118+2.4133*LN(J74*100))</f>
        <v>#NUM!</v>
      </c>
      <c r="S74" s="641">
        <f>EXP(-2.2118+2.4133*LN(H74*100))</f>
        <v>7.0920927857704408</v>
      </c>
      <c r="T74" s="663">
        <v>18</v>
      </c>
      <c r="U74" s="657" t="s">
        <v>1539</v>
      </c>
    </row>
    <row r="75" spans="1:23">
      <c r="A75">
        <v>35</v>
      </c>
      <c r="B75">
        <v>2</v>
      </c>
      <c r="C75" cm="1">
        <f t="array" ref="C75">MAX(IF(('Footprint Trees'!$P$2:$P$1036=A75)*('Footprint Trees'!$Q$2:$Q$1036=B75),'Footprint Trees'!$R$2:$R$1036))</f>
        <v>5</v>
      </c>
      <c r="D75" cm="1">
        <f t="array" ref="D75">_xlfn._xlws.FILTER('Footprint Trees'!S76:S1110, ('Footprint Trees'!P76:P1110=A75)*('Footprint Trees'!Q76:Q1110=B75)*('Footprint Trees'!R76:R1110=C75))</f>
        <v>6</v>
      </c>
      <c r="E75" s="78" t="str">
        <v>35.2.5</v>
      </c>
      <c r="F75" t="str" cm="1">
        <f t="array" ref="F75">_xlfn._xlws.FILTER('Footprint Trees'!X75:X1110, ('Footprint Trees'!P75:P1110=A75)*('Footprint Trees'!Q75:Q1110=B75)*('Footprint Trees'!R75:R1110=C75))</f>
        <v>lemonadeberry</v>
      </c>
      <c r="G75" t="str" cm="1">
        <f t="array" ref="G75">_xlfn._xlws.FILTER('Footprint Trees'!Y78:Y1110, ('Footprint Trees'!P78:P1110=A75)*('Footprint Trees'!Q78:Q1110=B75)*('Footprint Trees'!R78:R1110=C75))</f>
        <v>Rhus integrifolia</v>
      </c>
      <c r="H75" s="88" cm="1">
        <f t="array" ref="H75">SQRT(SUMPRODUCT((('Footprint Trees'!$P$2:$P$1036='Biomass Calcs'!A75)*('Footprint Trees'!$Q$2:$Q$1036='Biomass Calcs'!B75))*('Footprint Trees'!$B$2:$B$1036)^2))</f>
        <v>0.14718126570193071</v>
      </c>
      <c r="I75" s="345">
        <v>2.9571454524993799</v>
      </c>
      <c r="J75" s="88" cm="1">
        <f t="array" ref="J75">SQRT(SUMPRODUCT((('Footprint Trees'!$P$2:$P$1036='Biomass Calcs'!A75)*('Footprint Trees'!$Q$2:$Q$1036='Biomass Calcs'!B75))*('Footprint Trees'!$E$2:$E$1036)^2))</f>
        <v>0.16136604351597644</v>
      </c>
      <c r="K75" s="345">
        <v>3</v>
      </c>
      <c r="L75" t="s">
        <v>1676</v>
      </c>
      <c r="M75" t="s">
        <v>1677</v>
      </c>
      <c r="N75" s="78" t="s">
        <v>1588</v>
      </c>
      <c r="O75" t="s">
        <v>1678</v>
      </c>
      <c r="P75">
        <v>0.56000000000000005</v>
      </c>
      <c r="R75" s="2">
        <f>10^(2.083 + 0.396*LOG(K75)) * 1.18</f>
        <v>220.71000681650924</v>
      </c>
      <c r="S75" s="2">
        <f>10^(2.083 + 0.396*LOG(I75)) * 1.18</f>
        <v>219.45606675352053</v>
      </c>
      <c r="T75" s="291">
        <v>219.46</v>
      </c>
    </row>
    <row r="76" spans="1:23">
      <c r="A76">
        <v>35</v>
      </c>
      <c r="B76">
        <v>3</v>
      </c>
      <c r="C76" cm="1">
        <f t="array" ref="C76">MAX(IF(('Footprint Trees'!$P$2:$P$1036=A76)*('Footprint Trees'!$Q$2:$Q$1036=B76),'Footprint Trees'!$R$2:$R$1036))</f>
        <v>5</v>
      </c>
      <c r="D76" cm="1">
        <f t="array" ref="D76">_xlfn._xlws.FILTER('Footprint Trees'!S77:S1111, ('Footprint Trees'!P77:P1111=A76)*('Footprint Trees'!Q77:Q1111=B76)*('Footprint Trees'!R77:R1111=C76))</f>
        <v>6</v>
      </c>
      <c r="E76" s="78" t="str">
        <v>35.3.5</v>
      </c>
      <c r="F76" t="str" cm="1">
        <f t="array" ref="F76">_xlfn._xlws.FILTER('Footprint Trees'!X76:X1111, ('Footprint Trees'!P76:P1111=A76)*('Footprint Trees'!Q76:Q1111=B76)*('Footprint Trees'!R76:R1111=C76))</f>
        <v>lemonadeberry</v>
      </c>
      <c r="G76" t="str" cm="1">
        <f t="array" ref="G76">_xlfn._xlws.FILTER('Footprint Trees'!Y79:Y1111, ('Footprint Trees'!P79:P1111=A76)*('Footprint Trees'!Q79:Q1111=B76)*('Footprint Trees'!R79:R1111=C76))</f>
        <v>Rhus integrifolia</v>
      </c>
      <c r="H76" s="88" cm="1">
        <f t="array" ref="H76">SQRT(SUMPRODUCT((('Footprint Trees'!$P$2:$P$1036='Biomass Calcs'!A76)*('Footprint Trees'!$Q$2:$Q$1036='Biomass Calcs'!B76))*('Footprint Trees'!$B$2:$B$1036)^2))</f>
        <v>0.31015289365180687</v>
      </c>
      <c r="I76" s="345">
        <v>5.1600165367126403</v>
      </c>
      <c r="J76" s="88" cm="1">
        <f t="array" ref="J76">SQRT(SUMPRODUCT((('Footprint Trees'!$P$2:$P$1036='Biomass Calcs'!A76)*('Footprint Trees'!$Q$2:$Q$1036='Biomass Calcs'!B76))*('Footprint Trees'!$E$2:$E$1036)^2))</f>
        <v>0.38286159379075885</v>
      </c>
      <c r="K76" s="345">
        <v>5</v>
      </c>
      <c r="L76" t="s">
        <v>1676</v>
      </c>
      <c r="M76" t="s">
        <v>1677</v>
      </c>
      <c r="N76" s="78" t="s">
        <v>1588</v>
      </c>
      <c r="O76" t="s">
        <v>1678</v>
      </c>
      <c r="P76">
        <v>0.56000000000000005</v>
      </c>
      <c r="R76" s="2">
        <f>10^(2.083 + 0.396*LOG(K76)) * 1.18</f>
        <v>270.19302217023176</v>
      </c>
      <c r="S76" s="2">
        <f>10^(2.083 + 0.396*LOG(I76)) * 1.18</f>
        <v>273.58472151086602</v>
      </c>
      <c r="T76" s="291">
        <v>273.58</v>
      </c>
    </row>
    <row r="77" spans="1:23">
      <c r="A77">
        <v>37</v>
      </c>
      <c r="B77">
        <v>1</v>
      </c>
      <c r="C77" cm="1">
        <f t="array" ref="C77">MAX(IF(('Footprint Trees'!$P$2:$P$1036=A77)*('Footprint Trees'!$Q$2:$Q$1036=B77),'Footprint Trees'!$R$2:$R$1036))</f>
        <v>1</v>
      </c>
      <c r="D77" cm="1">
        <f t="array" ref="D77">_xlfn._xlws.FILTER('Footprint Trees'!S78:S1112, ('Footprint Trees'!P78:P1112=A77)*('Footprint Trees'!Q78:Q1112=B77)*('Footprint Trees'!R78:R1112=C77))</f>
        <v>6</v>
      </c>
      <c r="E77" s="78" t="str">
        <v>37.1.1</v>
      </c>
      <c r="F77" t="str" cm="1">
        <f t="array" ref="F77">_xlfn._xlws.FILTER('Footprint Trees'!X77:X1112, ('Footprint Trees'!P77:P1112=A77)*('Footprint Trees'!Q77:Q1112=B77)*('Footprint Trees'!R77:R1112=C77))</f>
        <v xml:space="preserve"> california coffeeberry / california buckthorn</v>
      </c>
      <c r="G77" t="str" cm="1">
        <f t="array" ref="G77">_xlfn._xlws.FILTER('Footprint Trees'!Y80:Y1112, ('Footprint Trees'!P80:P1112=A77)*('Footprint Trees'!Q80:Q1112=B77)*('Footprint Trees'!R80:R1112=C77))</f>
        <v>Frangula californica</v>
      </c>
      <c r="H77" s="88" cm="1">
        <f t="array" ref="H77">SQRT(SUMPRODUCT((('Footprint Trees'!$P$2:$P$1036='Biomass Calcs'!A77)*('Footprint Trees'!$Q$2:$Q$1036='Biomass Calcs'!B77))*('Footprint Trees'!$B$2:$B$1036)^2))</f>
        <v>5.3779423694049797E-2</v>
      </c>
      <c r="I77" s="345">
        <v>2.4823970794677699</v>
      </c>
      <c r="J77" s="88" cm="1">
        <f t="array" ref="J77">SQRT(SUMPRODUCT((('Footprint Trees'!$P$2:$P$1036='Biomass Calcs'!A77)*('Footprint Trees'!$Q$2:$Q$1036='Biomass Calcs'!B77))*('Footprint Trees'!$E$2:$E$1036)^2))</f>
        <v>0.04</v>
      </c>
      <c r="K77" s="345">
        <v>2.6</v>
      </c>
      <c r="L77" t="s">
        <v>1679</v>
      </c>
      <c r="M77" t="s">
        <v>1680</v>
      </c>
      <c r="N77" s="78" t="s">
        <v>1588</v>
      </c>
      <c r="O77" t="s">
        <v>1681</v>
      </c>
      <c r="P77">
        <v>0.5</v>
      </c>
      <c r="Q77" s="78" t="s">
        <v>1500</v>
      </c>
      <c r="R77" s="2">
        <f>0.169*((J77*1000)^2.555)*(1.014)/1000</f>
        <v>2.1241634778464298</v>
      </c>
      <c r="S77" s="2">
        <f>0.169*((H77*1000)^2.555)*(1.014)/1000</f>
        <v>4.5253159617907768</v>
      </c>
      <c r="T77" s="291">
        <v>4.53</v>
      </c>
    </row>
    <row r="78" spans="1:23">
      <c r="A78">
        <v>38</v>
      </c>
      <c r="B78">
        <v>1</v>
      </c>
      <c r="C78" cm="1">
        <f t="array" ref="C78">MAX(IF(('Footprint Trees'!$P$2:$P$1036=A78)*('Footprint Trees'!$Q$2:$Q$1036=B78),'Footprint Trees'!$R$2:$R$1036))</f>
        <v>1</v>
      </c>
      <c r="D78" cm="1">
        <f t="array" ref="D78">_xlfn._xlws.FILTER('Footprint Trees'!S79:S1113, ('Footprint Trees'!P79:P1113=A78)*('Footprint Trees'!Q79:Q1113=B78)*('Footprint Trees'!R79:R1113=C78))</f>
        <v>6</v>
      </c>
      <c r="E78" s="78" t="str">
        <v>38.1.1</v>
      </c>
      <c r="F78" t="str" cm="1">
        <f t="array" ref="F78">_xlfn._xlws.FILTER('Footprint Trees'!X78:X1113, ('Footprint Trees'!P78:P1113=A78)*('Footprint Trees'!Q78:Q1113=B78)*('Footprint Trees'!R78:R1113=C78))</f>
        <v>burgundy lace desert willow</v>
      </c>
      <c r="G78" t="str" cm="1">
        <f t="array" ref="G78">_xlfn._xlws.FILTER('Footprint Trees'!Y81:Y1113, ('Footprint Trees'!P81:P1113=A78)*('Footprint Trees'!Q81:Q1113=B78)*('Footprint Trees'!R81:R1113=C78))</f>
        <v>Chilopsis linearis 'Burgundy Lace'</v>
      </c>
      <c r="H78" s="88" cm="1">
        <f t="array" ref="H78">SQRT(SUMPRODUCT((('Footprint Trees'!$P$2:$P$1036='Biomass Calcs'!A78)*('Footprint Trees'!$Q$2:$Q$1036='Biomass Calcs'!B78))*('Footprint Trees'!$B$2:$B$1036)^2))</f>
        <v>0.13472003303803801</v>
      </c>
      <c r="I78" s="345">
        <v>5.3009014129638601</v>
      </c>
      <c r="J78" s="88" cm="1">
        <f t="array" ref="J78">SQRT(SUMPRODUCT((('Footprint Trees'!$P$2:$P$1036='Biomass Calcs'!A78)*('Footprint Trees'!$Q$2:$Q$1036='Biomass Calcs'!B78))*('Footprint Trees'!$E$2:$E$1036)^2))</f>
        <v>0</v>
      </c>
      <c r="K78" s="345">
        <v>4.8</v>
      </c>
      <c r="L78" t="s">
        <v>1586</v>
      </c>
      <c r="M78" t="s">
        <v>1682</v>
      </c>
      <c r="N78" s="78" t="s">
        <v>1588</v>
      </c>
      <c r="O78" t="s">
        <v>1683</v>
      </c>
      <c r="P78">
        <v>0.49</v>
      </c>
      <c r="Q78" s="78" t="s">
        <v>1500</v>
      </c>
      <c r="R78" s="360" t="e">
        <f>EXP(-1.103+1.994*LN(J78*100)+0.317*LN(K78)+1.303*LN(P78))</f>
        <v>#NUM!</v>
      </c>
      <c r="S78" s="360">
        <f>EXP(-1.103+1.994*LN(H78*100)+0.317*LN(I78)+1.303*LN(P78))</f>
        <v>39.719640631126268</v>
      </c>
      <c r="T78" s="663">
        <v>19</v>
      </c>
      <c r="U78" s="65" t="s">
        <v>1684</v>
      </c>
    </row>
    <row r="79" spans="1:23">
      <c r="A79">
        <v>38</v>
      </c>
      <c r="B79">
        <v>2</v>
      </c>
      <c r="C79" cm="1">
        <f t="array" ref="C79">MAX(IF(('Footprint Trees'!$P$2:$P$1036=A79)*('Footprint Trees'!$Q$2:$Q$1036=B79),'Footprint Trees'!$R$2:$R$1036))</f>
        <v>1</v>
      </c>
      <c r="D79" cm="1">
        <f t="array" ref="D79">_xlfn._xlws.FILTER('Footprint Trees'!S80:S1114, ('Footprint Trees'!P80:P1114=A79)*('Footprint Trees'!Q80:Q1114=B79)*('Footprint Trees'!R80:R1114=C79))</f>
        <v>6</v>
      </c>
      <c r="E79" s="78" t="str">
        <v>38.2.1</v>
      </c>
      <c r="F79" t="str" cm="1">
        <f t="array" ref="F79">_xlfn._xlws.FILTER('Footprint Trees'!X79:X1114, ('Footprint Trees'!P79:P1114=A79)*('Footprint Trees'!Q79:Q1114=B79)*('Footprint Trees'!R79:R1114=C79))</f>
        <v>burgundy lace desert willow</v>
      </c>
      <c r="G79" t="str" cm="1">
        <f t="array" ref="G79">_xlfn._xlws.FILTER('Footprint Trees'!Y82:Y1114, ('Footprint Trees'!P82:P1114=A79)*('Footprint Trees'!Q82:Q1114=B79)*('Footprint Trees'!R82:R1114=C79))</f>
        <v>Chilopsis linearis 'Burgundy Lace'</v>
      </c>
      <c r="H79" s="88" cm="1">
        <f t="array" ref="H79">SQRT(SUMPRODUCT((('Footprint Trees'!$P$2:$P$1036='Biomass Calcs'!A79)*('Footprint Trees'!$Q$2:$Q$1036='Biomass Calcs'!B79))*('Footprint Trees'!$B$2:$B$1036)^2))</f>
        <v>0.14835543995387299</v>
      </c>
      <c r="I79" s="345">
        <v>4.1654396057128897</v>
      </c>
      <c r="J79" s="88" cm="1">
        <f t="array" ref="J79">SQRT(SUMPRODUCT((('Footprint Trees'!$P$2:$P$1036='Biomass Calcs'!A79)*('Footprint Trees'!$Q$2:$Q$1036='Biomass Calcs'!B79))*('Footprint Trees'!$E$2:$E$1036)^2))</f>
        <v>0.17699999999999999</v>
      </c>
      <c r="K79" s="345">
        <v>4.0999999999999996</v>
      </c>
      <c r="L79" t="s">
        <v>1586</v>
      </c>
      <c r="M79" t="s">
        <v>1682</v>
      </c>
      <c r="N79" s="78" t="s">
        <v>1588</v>
      </c>
      <c r="O79" t="s">
        <v>1683</v>
      </c>
      <c r="P79">
        <v>0.49</v>
      </c>
      <c r="Q79" s="78" t="s">
        <v>1500</v>
      </c>
      <c r="R79" s="360">
        <f t="shared" ref="R79:R81" si="8">EXP(-1.103+1.994*LN(J79*100)+0.317*LN(K79)+1.303*LN(P79))</f>
        <v>63.097166150304766</v>
      </c>
      <c r="S79" s="360">
        <f>EXP(-1.103+1.994*LN(H79*100)+0.317*LN(I79)+1.303*LN(P79))</f>
        <v>44.597477643298269</v>
      </c>
      <c r="T79" s="663">
        <v>20</v>
      </c>
      <c r="U79" s="65" t="s">
        <v>1685</v>
      </c>
    </row>
    <row r="80" spans="1:23">
      <c r="A80">
        <v>38</v>
      </c>
      <c r="B80">
        <v>3</v>
      </c>
      <c r="C80" cm="1">
        <f t="array" ref="C80">MAX(IF(('Footprint Trees'!$P$2:$P$1036=A80)*('Footprint Trees'!$Q$2:$Q$1036=B80),'Footprint Trees'!$R$2:$R$1036))</f>
        <v>1</v>
      </c>
      <c r="D80" cm="1">
        <f t="array" ref="D80">_xlfn._xlws.FILTER('Footprint Trees'!S81:S1115, ('Footprint Trees'!P81:P1115=A80)*('Footprint Trees'!Q81:Q1115=B80)*('Footprint Trees'!R81:R1115=C80))</f>
        <v>6</v>
      </c>
      <c r="E80" s="78" t="str">
        <v>38.3.1</v>
      </c>
      <c r="F80" t="str" cm="1">
        <f t="array" ref="F80">_xlfn._xlws.FILTER('Footprint Trees'!X80:X1115, ('Footprint Trees'!P80:P1115=A80)*('Footprint Trees'!Q80:Q1115=B80)*('Footprint Trees'!R80:R1115=C80))</f>
        <v>burgundy lace desert willow</v>
      </c>
      <c r="G80" t="str" cm="1">
        <f t="array" ref="G80">_xlfn._xlws.FILTER('Footprint Trees'!Y83:Y1115, ('Footprint Trees'!P83:P1115=A80)*('Footprint Trees'!Q83:Q1115=B80)*('Footprint Trees'!R83:R1115=C80))</f>
        <v>Chilopsis linearis 'Burgundy Lace'</v>
      </c>
      <c r="H80" s="88" cm="1">
        <f t="array" ref="H80">SQRT(SUMPRODUCT((('Footprint Trees'!$P$2:$P$1036='Biomass Calcs'!A80)*('Footprint Trees'!$Q$2:$Q$1036='Biomass Calcs'!B80))*('Footprint Trees'!$B$2:$B$1036)^2))</f>
        <v>0</v>
      </c>
      <c r="I80" s="345">
        <v>0</v>
      </c>
      <c r="J80" s="88" cm="1">
        <f t="array" ref="J80">SQRT(SUMPRODUCT((('Footprint Trees'!$P$2:$P$1036='Biomass Calcs'!A80)*('Footprint Trees'!$Q$2:$Q$1036='Biomass Calcs'!B80))*('Footprint Trees'!$E$2:$E$1036)^2))</f>
        <v>0</v>
      </c>
      <c r="K80" s="345">
        <v>0</v>
      </c>
      <c r="L80" t="s">
        <v>1586</v>
      </c>
      <c r="M80" t="s">
        <v>1682</v>
      </c>
      <c r="N80" s="78" t="s">
        <v>1588</v>
      </c>
      <c r="O80" t="s">
        <v>1683</v>
      </c>
      <c r="P80">
        <v>0.49</v>
      </c>
      <c r="Q80" s="78" t="s">
        <v>1500</v>
      </c>
      <c r="R80" s="360" t="e">
        <f t="shared" si="8"/>
        <v>#NUM!</v>
      </c>
      <c r="S80" s="360" t="e">
        <f>EXP(-1.103+1.994*LN(H80*100)+0.317*LN(I80)+1.303*LN(P80))</f>
        <v>#NUM!</v>
      </c>
      <c r="T80" s="663">
        <v>21</v>
      </c>
      <c r="U80" s="65" t="s">
        <v>1686</v>
      </c>
    </row>
    <row r="81" spans="1:30">
      <c r="A81">
        <v>39</v>
      </c>
      <c r="B81">
        <v>1</v>
      </c>
      <c r="C81" cm="1">
        <f t="array" ref="C81">MAX(IF(('Footprint Trees'!$P$2:$P$1036=A81)*('Footprint Trees'!$Q$2:$Q$1036=B81),'Footprint Trees'!$R$2:$R$1036))</f>
        <v>1</v>
      </c>
      <c r="D81" cm="1">
        <f t="array" ref="D81">_xlfn._xlws.FILTER('Footprint Trees'!S82:S1116, ('Footprint Trees'!P82:P1116=A81)*('Footprint Trees'!Q82:Q1116=B81)*('Footprint Trees'!R82:R1116=C81))</f>
        <v>6</v>
      </c>
      <c r="E81" s="78" t="str">
        <v>39.1.1</v>
      </c>
      <c r="F81" t="str" cm="1">
        <f t="array" ref="F81">_xlfn._xlws.FILTER('Footprint Trees'!X81:X1116, ('Footprint Trees'!P81:P1116=A81)*('Footprint Trees'!Q81:Q1116=B81)*('Footprint Trees'!R81:R1116=C81))</f>
        <v>desert willow</v>
      </c>
      <c r="G81" t="str" cm="1">
        <f t="array" ref="G81">_xlfn._xlws.FILTER('Footprint Trees'!Y84:Y1116, ('Footprint Trees'!P84:P1116=A81)*('Footprint Trees'!Q84:Q1116=B81)*('Footprint Trees'!R84:R1116=C81))</f>
        <v>chilopsis linearis</v>
      </c>
      <c r="H81" s="88" cm="1">
        <f t="array" ref="H81">SQRT(SUMPRODUCT((('Footprint Trees'!$P$2:$P$1036='Biomass Calcs'!A81)*('Footprint Trees'!$Q$2:$Q$1036='Biomass Calcs'!B81))*('Footprint Trees'!$B$2:$B$1036)^2))</f>
        <v>5.82884209744551E-2</v>
      </c>
      <c r="I81" s="345">
        <v>3.0357577800750701</v>
      </c>
      <c r="J81" s="88" cm="1">
        <f t="array" ref="J81">SQRT(SUMPRODUCT((('Footprint Trees'!$P$2:$P$1036='Biomass Calcs'!A81)*('Footprint Trees'!$Q$2:$Q$1036='Biomass Calcs'!B81))*('Footprint Trees'!$E$2:$E$1036)^2))</f>
        <v>0</v>
      </c>
      <c r="K81" s="345">
        <v>2.9</v>
      </c>
      <c r="L81" t="s">
        <v>1586</v>
      </c>
      <c r="M81" t="s">
        <v>1682</v>
      </c>
      <c r="N81" s="78" t="s">
        <v>1588</v>
      </c>
      <c r="O81" t="s">
        <v>1683</v>
      </c>
      <c r="P81">
        <v>0.49</v>
      </c>
      <c r="Q81" s="78" t="s">
        <v>1500</v>
      </c>
      <c r="R81" s="360" t="e">
        <f t="shared" si="8"/>
        <v>#NUM!</v>
      </c>
      <c r="S81" s="360">
        <f>EXP(-1.103+1.994*LN(H81*100)+0.317*LN(I81)+1.303*LN(P81))</f>
        <v>6.2625101388636422</v>
      </c>
      <c r="T81" s="663">
        <v>22</v>
      </c>
      <c r="U81" s="65" t="s">
        <v>1687</v>
      </c>
    </row>
    <row r="82" spans="1:30" s="175" customFormat="1">
      <c r="A82" s="175">
        <v>19</v>
      </c>
      <c r="B82" s="175">
        <v>2</v>
      </c>
      <c r="C82" s="175" cm="1">
        <f t="array" ref="C82">MAX(IF(('Footprint Trees'!$P$2:$P$1036=A82)*('Footprint Trees'!$Q$2:$Q$1036=B82),'Footprint Trees'!$R$2:$R$1036))</f>
        <v>1</v>
      </c>
      <c r="D82" s="175" cm="1">
        <f t="array" ref="D82">_xlfn._xlws.FILTER('Footprint Trees'!S83:S1117, ('Footprint Trees'!P83:P1117=A82)*('Footprint Trees'!Q83:Q1117=B82)*('Footprint Trees'!R83:R1117=C82))</f>
        <v>6</v>
      </c>
      <c r="E82" s="344" t="str">
        <v>19.2.1</v>
      </c>
      <c r="F82" s="175" t="str" cm="1">
        <f t="array" ref="F82">_xlfn._xlws.FILTER('Footprint Trees'!X82:X1117, ('Footprint Trees'!P82:P1117=A82)*('Footprint Trees'!Q82:Q1117=B82)*('Footprint Trees'!R82:R1117=C82))</f>
        <v>engelmann oak</v>
      </c>
      <c r="G82" s="175" t="str" cm="1">
        <f t="array" ref="G82">_xlfn._xlws.FILTER('Footprint Trees'!Y85:Y1117, ('Footprint Trees'!P85:P1117=A82)*('Footprint Trees'!Q85:Q1117=B82)*('Footprint Trees'!R85:R1117=C82))</f>
        <v>Quercus engelmannii</v>
      </c>
      <c r="H82" s="354" cm="1">
        <f t="array" ref="H82">SQRT(SUMPRODUCT((('Footprint Trees'!$P$2:$P$1036='Biomass Calcs'!A82)*('Footprint Trees'!$Q$2:$Q$1036='Biomass Calcs'!B82))*('Footprint Trees'!$B$2:$B$1036)^2))</f>
        <v>2.9136229293112399E-2</v>
      </c>
      <c r="I82" s="356">
        <v>3.0467600822448699</v>
      </c>
      <c r="J82" s="354" cm="1">
        <f t="array" ref="J82">SQRT(SUMPRODUCT((('Footprint Trees'!$P$2:$P$1036='Biomass Calcs'!A82)*('Footprint Trees'!$Q$2:$Q$1036='Biomass Calcs'!B82))*('Footprint Trees'!$E$2:$E$1036)^2))</f>
        <v>2.7E-2</v>
      </c>
      <c r="K82" s="356">
        <v>2.9</v>
      </c>
      <c r="L82" s="175" t="s">
        <v>1597</v>
      </c>
      <c r="M82" s="175" t="s">
        <v>1629</v>
      </c>
      <c r="N82" s="344" t="s">
        <v>1588</v>
      </c>
      <c r="O82" s="175" t="s">
        <v>1630</v>
      </c>
      <c r="P82" s="652" t="s">
        <v>1631</v>
      </c>
      <c r="Q82" s="344" t="s">
        <v>1588</v>
      </c>
      <c r="R82" s="357">
        <f>EXP(-2.0127+2.4342*LN(J82*100))</f>
        <v>1.4994126516529216</v>
      </c>
      <c r="S82" s="357">
        <f>EXP(-2.0127+2.4342*LN(H82*100))</f>
        <v>1.8047587150214794</v>
      </c>
      <c r="T82" s="291">
        <v>1.8</v>
      </c>
      <c r="V82" s="656" cm="1">
        <f t="array" ref="V82">SUMPRODUCT(($D$2:$D$82=5)*IFERROR($R$2:$R$82,0))</f>
        <v>8166.7496524244252</v>
      </c>
      <c r="W82" s="656" cm="1">
        <f t="array" ref="W82">SUMPRODUCT(($D$2:$D$1000=5)*IFERROR($S$2:$S$1000,0))</f>
        <v>6557.4419466969703</v>
      </c>
    </row>
    <row r="83" spans="1:30">
      <c r="E83" s="78" t="str">
        <v>..</v>
      </c>
      <c r="F83"/>
      <c r="H83" s="88"/>
      <c r="I83" s="345"/>
      <c r="J83" s="88"/>
      <c r="K83" s="345"/>
      <c r="L83" t="s">
        <v>1626</v>
      </c>
      <c r="M83" t="s">
        <v>1688</v>
      </c>
      <c r="N83" s="78" t="s">
        <v>1588</v>
      </c>
      <c r="R83" s="641">
        <f>EXP(-2.0705+2.441*LN(J82*100))</f>
        <v>1.4247944788035338</v>
      </c>
      <c r="S83" s="641">
        <f>EXP(-2.0705+2.441*LN(H82*100))</f>
        <v>1.7158332258319151</v>
      </c>
      <c r="T83" s="65"/>
    </row>
    <row r="84" spans="1:30">
      <c r="E84" s="78" t="str">
        <v>..</v>
      </c>
      <c r="F84"/>
      <c r="H84" s="88"/>
      <c r="I84" s="345"/>
      <c r="J84" s="88"/>
      <c r="K84" s="345"/>
      <c r="T84" s="2"/>
    </row>
    <row r="85" spans="1:30">
      <c r="E85" s="78" t="str">
        <v>..</v>
      </c>
      <c r="F85"/>
      <c r="H85" s="358" t="s">
        <v>1689</v>
      </c>
      <c r="I85" s="345"/>
      <c r="J85" s="88"/>
      <c r="K85" s="345"/>
      <c r="T85" s="641"/>
    </row>
    <row r="86" spans="1:30">
      <c r="E86" s="78" t="str">
        <v>..</v>
      </c>
      <c r="F86"/>
      <c r="I86" s="345"/>
      <c r="J86" s="88"/>
      <c r="K86" s="345"/>
      <c r="T86" s="642"/>
    </row>
    <row r="87" spans="1:30">
      <c r="E87" s="78" t="str">
        <v>..</v>
      </c>
      <c r="F87"/>
      <c r="H87" s="345">
        <f t="shared" ref="H87:I87" si="9">COUNTIF(H89:H169, "&lt;&gt;#N/A")</f>
        <v>78</v>
      </c>
      <c r="I87" s="345">
        <f t="shared" si="9"/>
        <v>75</v>
      </c>
      <c r="J87" s="345">
        <f>COUNTIF(J89:J169, "&lt;&gt;#N/A")</f>
        <v>66</v>
      </c>
      <c r="K87" s="345">
        <f>COUNTIF(K89:K169, "&lt;&gt;#N/A")</f>
        <v>74</v>
      </c>
      <c r="L87" s="345">
        <f>COUNTIF(L89:L147, "&lt;&gt;#N/A")</f>
        <v>59</v>
      </c>
      <c r="M87" s="345">
        <f>COUNTIF(M89:M147, "&lt;&gt;#N/A")</f>
        <v>59</v>
      </c>
      <c r="T87" s="2"/>
    </row>
    <row r="88" spans="1:30">
      <c r="E88" s="78" t="str">
        <v>..</v>
      </c>
      <c r="F88"/>
      <c r="H88" s="344" t="s">
        <v>1572</v>
      </c>
      <c r="I88" s="344" t="s">
        <v>1571</v>
      </c>
      <c r="J88" s="344" t="s">
        <v>1551</v>
      </c>
      <c r="K88" s="356" t="s">
        <v>1552</v>
      </c>
      <c r="L88" s="175" t="s">
        <v>1690</v>
      </c>
      <c r="M88" s="175" t="s">
        <v>1691</v>
      </c>
      <c r="N88" s="175"/>
      <c r="O88" s="661" t="s">
        <v>1692</v>
      </c>
      <c r="P88" s="659" cm="1">
        <f t="array" ref="P88">SQRT(AVERAGE(_xlfn._xlws.FILTER(U89:U169^2,ISNUMBER(U89:U169))))</f>
        <v>0.54176410377138839</v>
      </c>
      <c r="R88" s="661" t="s">
        <v>1693</v>
      </c>
      <c r="S88" s="659" cm="1">
        <f t="array" ref="S88">SQRT(AVERAGE(_xlfn._xlws.FILTER(V89:V169^2,ISNUMBER(V89:V169))))*100</f>
        <v>6.2483179609554584</v>
      </c>
      <c r="T88" s="641"/>
      <c r="U88" s="175" t="s">
        <v>1694</v>
      </c>
      <c r="V88" s="175" t="s">
        <v>1695</v>
      </c>
      <c r="W88" s="656" t="s">
        <v>1696</v>
      </c>
      <c r="X88" s="358" t="s">
        <v>1697</v>
      </c>
      <c r="Y88" s="655"/>
    </row>
    <row r="89" spans="1:30">
      <c r="E89" s="78" t="str">
        <v>..</v>
      </c>
      <c r="F89"/>
      <c r="G89" s="358" t="s">
        <v>1181</v>
      </c>
      <c r="H89" s="358">
        <f>IF(K2=0,NA(),K2)</f>
        <v>10.8</v>
      </c>
      <c r="I89" s="358">
        <f>IF(I2=0,NA(),I2)</f>
        <v>9.8815746307372994</v>
      </c>
      <c r="J89" s="358">
        <f t="shared" ref="J89:J110" si="10">IF(J2=0,NA(),J2)</f>
        <v>0.29537772427859177</v>
      </c>
      <c r="K89" s="358">
        <f>IF(H2=0,NA(),H2)</f>
        <v>0.26250847860996457</v>
      </c>
      <c r="L89" s="291">
        <v>488.73</v>
      </c>
      <c r="M89" s="291">
        <v>365.96</v>
      </c>
      <c r="N89" s="38">
        <f>COUNT(M89:M147)</f>
        <v>59</v>
      </c>
      <c r="O89" s="662" t="s">
        <v>1698</v>
      </c>
      <c r="P89" s="659" cm="1">
        <f t="array" ref="P89">AVERAGE(_xlfn._xlws.FILTER(U89:U169,ISNUMBER(U89:U169)))</f>
        <v>0.27805427824132256</v>
      </c>
      <c r="R89" s="662" t="s">
        <v>1699</v>
      </c>
      <c r="S89" s="659" cm="1">
        <f t="array" ref="S89">AVERAGE(_xlfn._xlws.FILTER(V89:V169,ISNUMBER(V89:V169)))*100</f>
        <v>-1.975457153401734</v>
      </c>
      <c r="T89" s="642"/>
      <c r="U89" s="358">
        <f>I89-H89</f>
        <v>-0.91842536926270135</v>
      </c>
      <c r="V89" s="358">
        <f>K89-J89</f>
        <v>-3.2869245668627201E-2</v>
      </c>
      <c r="W89" s="358">
        <f>M89-L89</f>
        <v>-122.77000000000004</v>
      </c>
      <c r="X89" s="655"/>
      <c r="Y89" s="655">
        <f>1/81</f>
        <v>1.2345679012345678E-2</v>
      </c>
      <c r="Z89" s="655">
        <f>1/81</f>
        <v>1.2345679012345678E-2</v>
      </c>
      <c r="AA89" s="2">
        <f>24/81</f>
        <v>0.29629629629629628</v>
      </c>
      <c r="AB89" s="2">
        <f>24/81</f>
        <v>0.29629629629629628</v>
      </c>
      <c r="AC89">
        <f>4250/81</f>
        <v>52.469135802469133</v>
      </c>
      <c r="AD89">
        <f>4250/81</f>
        <v>52.469135802469133</v>
      </c>
    </row>
    <row r="90" spans="1:30">
      <c r="E90" s="78" t="str">
        <v>..</v>
      </c>
      <c r="F90"/>
      <c r="G90" s="358" t="s">
        <v>1183</v>
      </c>
      <c r="H90" s="358">
        <f t="shared" ref="H90:H110" si="11">IF(K3=0,NA(),K3)</f>
        <v>10</v>
      </c>
      <c r="I90" s="358">
        <f t="shared" ref="I90:I110" si="12">IF(I3=0,NA(),I3)</f>
        <v>10.6524505615234</v>
      </c>
      <c r="J90" s="358">
        <f t="shared" si="10"/>
        <v>0.16699999999999901</v>
      </c>
      <c r="K90" s="358">
        <f t="shared" ref="K90:K110" si="13">IF(H3=0,NA(),H3)</f>
        <v>0.17142462468964201</v>
      </c>
      <c r="L90" s="291">
        <v>46.02</v>
      </c>
      <c r="M90" s="291">
        <v>48.5</v>
      </c>
      <c r="N90" s="2"/>
      <c r="O90" s="662" t="s">
        <v>1700</v>
      </c>
      <c r="P90" s="659" cm="1">
        <f t="array" ref="P90">AVERAGE(_xlfn._xlws.FILTER(ABS(U89:U169),ISNUMBER(U89:U169)))</f>
        <v>0.41744844184853802</v>
      </c>
      <c r="Q90" s="358"/>
      <c r="R90" s="662" t="s">
        <v>1701</v>
      </c>
      <c r="S90" s="659" cm="1">
        <f t="array" ref="S90">AVERAGE(_xlfn._xlws.FILTER(ABS(V89:V169),ISNUMBER(V89:V169)))*100</f>
        <v>3.7953013564539213</v>
      </c>
      <c r="T90" s="65"/>
      <c r="U90" s="358">
        <f t="shared" ref="U90:U149" si="14">I90-H90</f>
        <v>0.6524505615234002</v>
      </c>
      <c r="V90" s="358">
        <f t="shared" ref="V90:V153" si="15">K90-J90</f>
        <v>4.4246246896429975E-3</v>
      </c>
      <c r="W90" s="358">
        <f t="shared" ref="W90:W150" si="16">M90-L90</f>
        <v>2.4799999999999969</v>
      </c>
      <c r="X90" s="655"/>
      <c r="Y90" s="655">
        <f>Y89+Y89</f>
        <v>2.4691358024691357E-2</v>
      </c>
      <c r="Z90" s="655">
        <f>Z89+Z89</f>
        <v>2.4691358024691357E-2</v>
      </c>
      <c r="AA90" s="2">
        <f>AA89+$AA$89</f>
        <v>0.59259259259259256</v>
      </c>
      <c r="AB90" s="2">
        <f>AB89+$AA$89</f>
        <v>0.59259259259259256</v>
      </c>
      <c r="AC90">
        <f>AC89+$AC$89</f>
        <v>104.93827160493827</v>
      </c>
      <c r="AD90">
        <f>AD89+$AC$89</f>
        <v>104.93827160493827</v>
      </c>
    </row>
    <row r="91" spans="1:30">
      <c r="E91" s="78" t="str">
        <v>..</v>
      </c>
      <c r="F91"/>
      <c r="G91" s="358" t="s">
        <v>1183</v>
      </c>
      <c r="H91" s="358">
        <f t="shared" si="11"/>
        <v>13.7</v>
      </c>
      <c r="I91" s="358">
        <f t="shared" si="12"/>
        <v>13.2140302658081</v>
      </c>
      <c r="J91" s="358">
        <f t="shared" si="10"/>
        <v>0.32799999999999901</v>
      </c>
      <c r="K91" s="358">
        <f t="shared" si="13"/>
        <v>0.32065579972712399</v>
      </c>
      <c r="L91" s="291">
        <v>178.71</v>
      </c>
      <c r="M91" s="291">
        <v>170.76</v>
      </c>
      <c r="N91" s="2"/>
      <c r="O91" s="358"/>
      <c r="P91" s="358"/>
      <c r="Q91"/>
      <c r="S91" s="78"/>
      <c r="T91" s="357"/>
      <c r="U91" s="358">
        <f t="shared" si="14"/>
        <v>-0.48596973419189915</v>
      </c>
      <c r="V91" s="358">
        <f t="shared" si="15"/>
        <v>-7.3442002728750233E-3</v>
      </c>
      <c r="W91" s="358">
        <f t="shared" si="16"/>
        <v>-7.9500000000000171</v>
      </c>
      <c r="X91" s="655"/>
      <c r="Y91" s="655">
        <f>Y90+Y89</f>
        <v>3.7037037037037035E-2</v>
      </c>
      <c r="Z91" s="655">
        <f>Z90+Z89</f>
        <v>3.7037037037037035E-2</v>
      </c>
      <c r="AA91" s="2">
        <f t="shared" ref="AA91:AB154" si="17">AA90+$AA$89</f>
        <v>0.88888888888888884</v>
      </c>
      <c r="AB91" s="2">
        <f t="shared" si="17"/>
        <v>0.88888888888888884</v>
      </c>
      <c r="AC91">
        <f t="shared" ref="AC91:AD154" si="18">AC90+$AC$89</f>
        <v>157.40740740740739</v>
      </c>
      <c r="AD91">
        <f t="shared" si="18"/>
        <v>157.40740740740739</v>
      </c>
    </row>
    <row r="92" spans="1:30">
      <c r="E92" s="78" t="str">
        <v>..</v>
      </c>
      <c r="F92"/>
      <c r="G92" s="358" t="s">
        <v>1185</v>
      </c>
      <c r="H92" s="358">
        <f t="shared" si="11"/>
        <v>13.3</v>
      </c>
      <c r="I92" s="358">
        <f t="shared" si="12"/>
        <v>13.1925754547119</v>
      </c>
      <c r="J92" s="358">
        <f t="shared" si="10"/>
        <v>0.97744565066299216</v>
      </c>
      <c r="K92" s="358">
        <f t="shared" si="13"/>
        <v>0.81144906992620658</v>
      </c>
      <c r="L92" s="291">
        <v>1543.94</v>
      </c>
      <c r="M92" s="291">
        <v>1089.74</v>
      </c>
      <c r="N92" s="2"/>
      <c r="O92" s="658" t="s">
        <v>1702</v>
      </c>
      <c r="P92" s="358" t="s">
        <v>1703</v>
      </c>
      <c r="Q92" s="358"/>
      <c r="R92" s="358"/>
      <c r="S92" s="358"/>
      <c r="T92" s="650"/>
      <c r="U92" s="358">
        <f t="shared" si="14"/>
        <v>-0.10742454528810086</v>
      </c>
      <c r="V92" s="358">
        <f t="shared" si="15"/>
        <v>-0.16599658073678558</v>
      </c>
      <c r="W92" s="358">
        <f t="shared" si="16"/>
        <v>-454.20000000000005</v>
      </c>
      <c r="X92" s="655"/>
      <c r="Y92" s="655">
        <f>Y91+$Y$89</f>
        <v>4.9382716049382713E-2</v>
      </c>
      <c r="Z92" s="655">
        <f>Z91+$Y$89</f>
        <v>4.9382716049382713E-2</v>
      </c>
      <c r="AA92" s="2">
        <f t="shared" si="17"/>
        <v>1.1851851851851851</v>
      </c>
      <c r="AB92" s="2">
        <f t="shared" si="17"/>
        <v>1.1851851851851851</v>
      </c>
      <c r="AC92">
        <f t="shared" si="18"/>
        <v>209.87654320987653</v>
      </c>
      <c r="AD92">
        <f t="shared" si="18"/>
        <v>209.87654320987653</v>
      </c>
    </row>
    <row r="93" spans="1:30">
      <c r="E93" s="78" t="str">
        <v>..</v>
      </c>
      <c r="F93"/>
      <c r="G93" s="358" t="s">
        <v>1186</v>
      </c>
      <c r="H93" s="358">
        <f t="shared" si="11"/>
        <v>13.9</v>
      </c>
      <c r="I93" s="358">
        <f t="shared" si="12"/>
        <v>14.3659677505493</v>
      </c>
      <c r="J93" s="358">
        <f t="shared" si="10"/>
        <v>0.35699999999999998</v>
      </c>
      <c r="K93" s="358">
        <f t="shared" si="13"/>
        <v>8.4026724883578E-2</v>
      </c>
      <c r="L93" s="291">
        <v>421.31</v>
      </c>
      <c r="M93" s="291">
        <v>16.04</v>
      </c>
      <c r="N93" s="2"/>
      <c r="O93" s="658" t="s">
        <v>1704</v>
      </c>
      <c r="P93" s="358" t="s">
        <v>1705</v>
      </c>
      <c r="Q93" s="358"/>
      <c r="R93" s="358"/>
      <c r="S93" s="358"/>
      <c r="T93" s="650"/>
      <c r="U93" s="358">
        <f t="shared" si="14"/>
        <v>0.46596775054930006</v>
      </c>
      <c r="V93" s="358">
        <f t="shared" si="15"/>
        <v>-0.272973275116422</v>
      </c>
      <c r="W93" s="358">
        <f t="shared" si="16"/>
        <v>-405.27</v>
      </c>
      <c r="X93" s="655"/>
      <c r="Y93" s="655">
        <f t="shared" ref="Y93:Z156" si="19">Y92+$Y$89</f>
        <v>6.1728395061728392E-2</v>
      </c>
      <c r="Z93" s="655">
        <f t="shared" si="19"/>
        <v>6.1728395061728392E-2</v>
      </c>
      <c r="AA93" s="2">
        <f t="shared" si="17"/>
        <v>1.4814814814814814</v>
      </c>
      <c r="AB93" s="2">
        <f t="shared" si="17"/>
        <v>1.4814814814814814</v>
      </c>
      <c r="AC93">
        <f t="shared" si="18"/>
        <v>262.34567901234567</v>
      </c>
      <c r="AD93">
        <f t="shared" si="18"/>
        <v>262.34567901234567</v>
      </c>
    </row>
    <row r="94" spans="1:30">
      <c r="E94" s="78" t="str">
        <v>..</v>
      </c>
      <c r="F94"/>
      <c r="G94" s="358" t="s">
        <v>1187</v>
      </c>
      <c r="H94" s="358">
        <f t="shared" si="11"/>
        <v>10.5</v>
      </c>
      <c r="I94" s="358">
        <f t="shared" si="12"/>
        <v>11.0961189270019</v>
      </c>
      <c r="J94" s="358">
        <f t="shared" si="10"/>
        <v>0.33100000000000002</v>
      </c>
      <c r="K94" s="358">
        <f t="shared" si="13"/>
        <v>0.32580039488486101</v>
      </c>
      <c r="L94" s="291">
        <v>355.15</v>
      </c>
      <c r="M94" s="291">
        <v>342.67</v>
      </c>
      <c r="N94" s="2"/>
      <c r="O94" s="4" t="s">
        <v>1706</v>
      </c>
      <c r="P94" t="s">
        <v>1707</v>
      </c>
      <c r="Q94" s="358"/>
      <c r="R94" s="358"/>
      <c r="S94" s="358"/>
      <c r="T94" s="2"/>
      <c r="U94" s="358">
        <f t="shared" si="14"/>
        <v>0.59611892700189983</v>
      </c>
      <c r="V94" s="358">
        <f t="shared" si="15"/>
        <v>-5.1996051151390055E-3</v>
      </c>
      <c r="W94" s="358">
        <f t="shared" si="16"/>
        <v>-12.479999999999961</v>
      </c>
      <c r="X94" s="655"/>
      <c r="Y94" s="655">
        <f t="shared" si="19"/>
        <v>7.407407407407407E-2</v>
      </c>
      <c r="Z94" s="655">
        <f t="shared" si="19"/>
        <v>7.407407407407407E-2</v>
      </c>
      <c r="AA94" s="2">
        <f t="shared" si="17"/>
        <v>1.7777777777777777</v>
      </c>
      <c r="AB94" s="2">
        <f t="shared" si="17"/>
        <v>1.7777777777777777</v>
      </c>
      <c r="AC94">
        <f t="shared" si="18"/>
        <v>314.81481481481478</v>
      </c>
      <c r="AD94">
        <f t="shared" si="18"/>
        <v>314.81481481481478</v>
      </c>
    </row>
    <row r="95" spans="1:30">
      <c r="E95" s="78" t="str">
        <v>..</v>
      </c>
      <c r="F95"/>
      <c r="G95" s="358" t="s">
        <v>1187</v>
      </c>
      <c r="H95" s="358">
        <f t="shared" si="11"/>
        <v>19.5</v>
      </c>
      <c r="I95" s="358">
        <f t="shared" si="12"/>
        <v>20.15184</v>
      </c>
      <c r="J95" s="358">
        <f t="shared" si="10"/>
        <v>0.98</v>
      </c>
      <c r="K95" s="358">
        <f t="shared" si="13"/>
        <v>0.95415399999999995</v>
      </c>
      <c r="L95" s="291">
        <v>4124.74</v>
      </c>
      <c r="M95" s="291">
        <v>3883.05</v>
      </c>
      <c r="N95" s="2"/>
      <c r="O95" s="358"/>
      <c r="P95" s="358"/>
      <c r="Q95" s="358"/>
      <c r="R95" s="358"/>
      <c r="S95" s="358"/>
      <c r="T95" s="641"/>
      <c r="U95" s="358">
        <f t="shared" si="14"/>
        <v>0.65183999999999997</v>
      </c>
      <c r="V95" s="358">
        <f t="shared" si="15"/>
        <v>-2.5846000000000036E-2</v>
      </c>
      <c r="W95" s="358">
        <f t="shared" si="16"/>
        <v>-241.6899999999996</v>
      </c>
      <c r="X95" s="655"/>
      <c r="Y95" s="655">
        <f t="shared" si="19"/>
        <v>8.6419753086419748E-2</v>
      </c>
      <c r="Z95" s="655">
        <f t="shared" si="19"/>
        <v>8.6419753086419748E-2</v>
      </c>
      <c r="AA95" s="2">
        <f t="shared" si="17"/>
        <v>2.074074074074074</v>
      </c>
      <c r="AB95" s="2">
        <f t="shared" si="17"/>
        <v>2.074074074074074</v>
      </c>
      <c r="AC95">
        <f t="shared" si="18"/>
        <v>367.28395061728389</v>
      </c>
      <c r="AD95">
        <f t="shared" si="18"/>
        <v>367.28395061728389</v>
      </c>
    </row>
    <row r="96" spans="1:30">
      <c r="E96" s="78" t="str">
        <v>..</v>
      </c>
      <c r="F96"/>
      <c r="G96" s="358" t="s">
        <v>1196</v>
      </c>
      <c r="H96" s="358">
        <f t="shared" si="11"/>
        <v>5.2</v>
      </c>
      <c r="I96" s="358">
        <f t="shared" si="12"/>
        <v>5.4205170000000003</v>
      </c>
      <c r="J96" s="358">
        <f t="shared" si="10"/>
        <v>0.36683000149933209</v>
      </c>
      <c r="K96" s="358">
        <f t="shared" si="13"/>
        <v>0.43854785542401187</v>
      </c>
      <c r="L96" s="291">
        <v>459.06</v>
      </c>
      <c r="M96" s="291">
        <v>668.68</v>
      </c>
      <c r="N96" s="2"/>
      <c r="O96" s="661" t="s">
        <v>1708</v>
      </c>
      <c r="P96" s="659" cm="1">
        <f t="array" ref="P96">SQRT(AVERAGE(_xlfn._xlws.FILTER(W89:W147^2,ISNUMBER(W89:W147))))</f>
        <v>200.77765080062306</v>
      </c>
      <c r="Q96" s="358"/>
      <c r="R96" s="358"/>
      <c r="S96" s="358"/>
      <c r="T96" s="2"/>
      <c r="U96" s="358">
        <f t="shared" si="14"/>
        <v>0.22051700000000007</v>
      </c>
      <c r="V96" s="358">
        <f t="shared" si="15"/>
        <v>7.1717853924679775E-2</v>
      </c>
      <c r="W96" s="358">
        <f t="shared" si="16"/>
        <v>209.61999999999995</v>
      </c>
      <c r="X96" s="655"/>
      <c r="Y96" s="655">
        <f t="shared" si="19"/>
        <v>9.8765432098765427E-2</v>
      </c>
      <c r="Z96" s="655">
        <f t="shared" si="19"/>
        <v>9.8765432098765427E-2</v>
      </c>
      <c r="AA96" s="2">
        <f t="shared" si="17"/>
        <v>2.3703703703703702</v>
      </c>
      <c r="AB96" s="2">
        <f t="shared" si="17"/>
        <v>2.3703703703703702</v>
      </c>
      <c r="AC96">
        <f t="shared" si="18"/>
        <v>419.753086419753</v>
      </c>
      <c r="AD96">
        <f t="shared" si="18"/>
        <v>419.753086419753</v>
      </c>
    </row>
    <row r="97" spans="5:30">
      <c r="E97" s="78" t="str">
        <v>..</v>
      </c>
      <c r="F97"/>
      <c r="G97" s="358" t="s">
        <v>1224</v>
      </c>
      <c r="H97" s="358">
        <f t="shared" si="11"/>
        <v>8.1999999999999993</v>
      </c>
      <c r="I97" s="358">
        <f t="shared" si="12"/>
        <v>9.5770389999999992</v>
      </c>
      <c r="J97" s="358">
        <f t="shared" si="10"/>
        <v>6.2E-2</v>
      </c>
      <c r="K97" s="358">
        <f t="shared" si="13"/>
        <v>7.5853000000000004E-2</v>
      </c>
      <c r="L97" s="291">
        <v>11.64</v>
      </c>
      <c r="M97" s="291">
        <v>18.11</v>
      </c>
      <c r="N97" s="2"/>
      <c r="O97" s="662" t="s">
        <v>1709</v>
      </c>
      <c r="P97" s="659" cm="1">
        <f t="array" ref="P97">AVERAGE(_xlfn._xlws.FILTER(W89:W147,ISNUMBER(W89:W147)))</f>
        <v>-70.431525423728814</v>
      </c>
      <c r="Q97" s="358"/>
      <c r="R97" s="358"/>
      <c r="S97" s="358"/>
      <c r="T97" s="2"/>
      <c r="U97" s="358">
        <f t="shared" si="14"/>
        <v>1.3770389999999999</v>
      </c>
      <c r="V97" s="358">
        <f t="shared" si="15"/>
        <v>1.3853000000000004E-2</v>
      </c>
      <c r="W97" s="358">
        <f t="shared" si="16"/>
        <v>6.4699999999999989</v>
      </c>
      <c r="X97" s="655"/>
      <c r="Y97" s="655">
        <f t="shared" si="19"/>
        <v>0.1111111111111111</v>
      </c>
      <c r="Z97" s="655">
        <f t="shared" si="19"/>
        <v>0.1111111111111111</v>
      </c>
      <c r="AA97" s="2">
        <f t="shared" si="17"/>
        <v>2.6666666666666665</v>
      </c>
      <c r="AB97" s="2">
        <f t="shared" si="17"/>
        <v>2.6666666666666665</v>
      </c>
      <c r="AC97">
        <f t="shared" si="18"/>
        <v>472.22222222222211</v>
      </c>
      <c r="AD97">
        <f t="shared" si="18"/>
        <v>472.22222222222211</v>
      </c>
    </row>
    <row r="98" spans="5:30">
      <c r="E98" s="78" t="str">
        <v>..</v>
      </c>
      <c r="F98"/>
      <c r="G98" s="358" t="s">
        <v>1181</v>
      </c>
      <c r="H98" s="358">
        <f t="shared" si="11"/>
        <v>8.1999999999999993</v>
      </c>
      <c r="I98" s="358">
        <f t="shared" si="12"/>
        <v>8.8925149999999995</v>
      </c>
      <c r="J98" s="358">
        <f t="shared" si="10"/>
        <v>0.15855992558020454</v>
      </c>
      <c r="K98" s="358">
        <f t="shared" si="13"/>
        <v>0.14711550019287567</v>
      </c>
      <c r="L98" s="291">
        <v>120.85</v>
      </c>
      <c r="M98" s="291">
        <v>110.19</v>
      </c>
      <c r="N98" s="2"/>
      <c r="O98" s="662" t="s">
        <v>1710</v>
      </c>
      <c r="P98" s="659" cm="1">
        <f t="array" ref="P98">AVERAGE(_xlfn._xlws.FILTER(ABS(W89:W147),ISNUMBER(W89:W147)))</f>
        <v>111.21016949152542</v>
      </c>
      <c r="Q98" s="358"/>
      <c r="R98" s="358"/>
      <c r="S98" s="358"/>
      <c r="T98" s="2"/>
      <c r="U98" s="358">
        <f t="shared" si="14"/>
        <v>0.69251500000000021</v>
      </c>
      <c r="V98" s="358">
        <f t="shared" si="15"/>
        <v>-1.1444425387328871E-2</v>
      </c>
      <c r="W98" s="358">
        <f t="shared" si="16"/>
        <v>-10.659999999999997</v>
      </c>
      <c r="X98" s="655"/>
      <c r="Y98" s="655">
        <f t="shared" si="19"/>
        <v>0.12345679012345678</v>
      </c>
      <c r="Z98" s="655">
        <f t="shared" si="19"/>
        <v>0.12345679012345678</v>
      </c>
      <c r="AA98" s="2">
        <f t="shared" si="17"/>
        <v>2.9629629629629628</v>
      </c>
      <c r="AB98" s="2">
        <f t="shared" si="17"/>
        <v>2.9629629629629628</v>
      </c>
      <c r="AC98">
        <f t="shared" si="18"/>
        <v>524.69135802469123</v>
      </c>
      <c r="AD98">
        <f t="shared" si="18"/>
        <v>524.69135802469123</v>
      </c>
    </row>
    <row r="99" spans="5:30">
      <c r="E99" s="78" t="str">
        <v>..</v>
      </c>
      <c r="F99"/>
      <c r="G99" s="358" t="s">
        <v>1244</v>
      </c>
      <c r="H99" s="358">
        <f t="shared" si="11"/>
        <v>4.0999999999999996</v>
      </c>
      <c r="I99" s="358">
        <f t="shared" si="12"/>
        <v>4.456283</v>
      </c>
      <c r="J99" s="358">
        <f t="shared" si="10"/>
        <v>0.10050000000000001</v>
      </c>
      <c r="K99" s="358">
        <f t="shared" si="13"/>
        <v>9.8658999999999997E-2</v>
      </c>
      <c r="L99" s="291">
        <v>10.1</v>
      </c>
      <c r="M99" s="291">
        <v>10.57</v>
      </c>
      <c r="N99" s="2"/>
      <c r="O99" s="662" t="s">
        <v>1711</v>
      </c>
      <c r="P99" s="660">
        <f>SUM(M89:M147)-SUM(L89:L147)</f>
        <v>-4155.4599999999955</v>
      </c>
      <c r="Q99" s="358"/>
      <c r="R99" s="358"/>
      <c r="S99" s="358"/>
      <c r="T99" s="360"/>
      <c r="U99" s="358">
        <f t="shared" si="14"/>
        <v>0.35628300000000035</v>
      </c>
      <c r="V99" s="358">
        <f t="shared" si="15"/>
        <v>-1.8410000000000093E-3</v>
      </c>
      <c r="W99" s="358">
        <f t="shared" si="16"/>
        <v>0.47000000000000064</v>
      </c>
      <c r="X99" s="655"/>
      <c r="Y99" s="655">
        <f t="shared" si="19"/>
        <v>0.13580246913580246</v>
      </c>
      <c r="Z99" s="655">
        <f t="shared" si="19"/>
        <v>0.13580246913580246</v>
      </c>
      <c r="AA99" s="2">
        <f t="shared" si="17"/>
        <v>3.2592592592592591</v>
      </c>
      <c r="AB99" s="2">
        <f t="shared" si="17"/>
        <v>3.2592592592592591</v>
      </c>
      <c r="AC99">
        <f t="shared" si="18"/>
        <v>577.16049382716039</v>
      </c>
      <c r="AD99">
        <f t="shared" si="18"/>
        <v>577.16049382716039</v>
      </c>
    </row>
    <row r="100" spans="5:30">
      <c r="E100" s="78" t="str">
        <v>..</v>
      </c>
      <c r="F100"/>
      <c r="G100" s="358" t="s">
        <v>1244</v>
      </c>
      <c r="H100" s="358">
        <f t="shared" si="11"/>
        <v>4.2</v>
      </c>
      <c r="I100" s="358">
        <f t="shared" si="12"/>
        <v>4.1664709999999996</v>
      </c>
      <c r="J100" s="358">
        <f t="shared" si="10"/>
        <v>9.5000000000000001E-2</v>
      </c>
      <c r="K100" s="358">
        <f t="shared" si="13"/>
        <v>3.2521000000000001E-2</v>
      </c>
      <c r="L100" s="291">
        <v>9.27</v>
      </c>
      <c r="M100" s="291">
        <v>1.1299999999999999</v>
      </c>
      <c r="N100" s="2"/>
      <c r="O100" s="358"/>
      <c r="P100" s="358"/>
      <c r="Q100" s="358"/>
      <c r="R100" s="358"/>
      <c r="S100" s="358"/>
      <c r="T100" s="360"/>
      <c r="U100" s="358">
        <f t="shared" si="14"/>
        <v>-3.3529000000000586E-2</v>
      </c>
      <c r="V100" s="358">
        <f t="shared" si="15"/>
        <v>-6.2479E-2</v>
      </c>
      <c r="W100" s="358">
        <f t="shared" si="16"/>
        <v>-8.14</v>
      </c>
      <c r="X100" s="655"/>
      <c r="Y100" s="655">
        <f t="shared" si="19"/>
        <v>0.14814814814814814</v>
      </c>
      <c r="Z100" s="655">
        <f t="shared" si="19"/>
        <v>0.14814814814814814</v>
      </c>
      <c r="AA100" s="2">
        <f t="shared" si="17"/>
        <v>3.5555555555555554</v>
      </c>
      <c r="AB100" s="2">
        <f t="shared" si="17"/>
        <v>3.5555555555555554</v>
      </c>
      <c r="AC100">
        <f t="shared" si="18"/>
        <v>629.62962962962956</v>
      </c>
      <c r="AD100">
        <f t="shared" si="18"/>
        <v>629.62962962962956</v>
      </c>
    </row>
    <row r="101" spans="5:30">
      <c r="F101"/>
      <c r="G101" s="358" t="s">
        <v>1256</v>
      </c>
      <c r="H101" s="358">
        <f t="shared" si="11"/>
        <v>11.3</v>
      </c>
      <c r="I101" s="358">
        <f t="shared" si="12"/>
        <v>12.53917</v>
      </c>
      <c r="J101" s="358">
        <f t="shared" si="10"/>
        <v>0.21232286735064596</v>
      </c>
      <c r="K101" s="358">
        <f t="shared" si="13"/>
        <v>0.19994032073596363</v>
      </c>
      <c r="L101" s="291">
        <v>191.6</v>
      </c>
      <c r="M101" s="291">
        <v>182.59</v>
      </c>
      <c r="N101" s="2"/>
      <c r="O101" s="358"/>
      <c r="P101" s="358"/>
      <c r="Q101" s="358"/>
      <c r="R101" s="358"/>
      <c r="S101" s="358"/>
      <c r="T101" s="360"/>
      <c r="U101" s="358">
        <f t="shared" si="14"/>
        <v>1.2391699999999997</v>
      </c>
      <c r="V101" s="358">
        <f t="shared" si="15"/>
        <v>-1.2382546614682327E-2</v>
      </c>
      <c r="W101" s="358">
        <f t="shared" si="16"/>
        <v>-9.0099999999999909</v>
      </c>
      <c r="X101" s="655"/>
      <c r="Y101" s="655">
        <f t="shared" si="19"/>
        <v>0.16049382716049382</v>
      </c>
      <c r="Z101" s="655">
        <f t="shared" si="19"/>
        <v>0.16049382716049382</v>
      </c>
      <c r="AA101" s="2">
        <f t="shared" si="17"/>
        <v>3.8518518518518516</v>
      </c>
      <c r="AB101" s="2">
        <f t="shared" si="17"/>
        <v>3.8518518518518516</v>
      </c>
      <c r="AC101">
        <f t="shared" si="18"/>
        <v>682.09876543209873</v>
      </c>
      <c r="AD101">
        <f t="shared" si="18"/>
        <v>682.09876543209873</v>
      </c>
    </row>
    <row r="102" spans="5:30">
      <c r="F102"/>
      <c r="G102" s="358" t="s">
        <v>1183</v>
      </c>
      <c r="H102" s="358">
        <f t="shared" si="11"/>
        <v>8.3000000000000007</v>
      </c>
      <c r="I102" s="358">
        <f t="shared" si="12"/>
        <v>8.4869979999999998</v>
      </c>
      <c r="J102" s="358">
        <f t="shared" si="10"/>
        <v>0.14899999999999999</v>
      </c>
      <c r="K102" s="358">
        <f t="shared" si="13"/>
        <v>0.17761199999999999</v>
      </c>
      <c r="L102" s="291">
        <v>36.590000000000003</v>
      </c>
      <c r="M102" s="291">
        <v>52.08</v>
      </c>
      <c r="N102" s="2"/>
      <c r="O102" s="358"/>
      <c r="P102" s="358"/>
      <c r="Q102" s="358"/>
      <c r="R102" s="358"/>
      <c r="S102" s="358"/>
      <c r="T102" s="360"/>
      <c r="U102" s="358">
        <f t="shared" si="14"/>
        <v>0.18699799999999911</v>
      </c>
      <c r="V102" s="358">
        <f t="shared" si="15"/>
        <v>2.8611999999999999E-2</v>
      </c>
      <c r="W102" s="358">
        <f t="shared" si="16"/>
        <v>15.489999999999995</v>
      </c>
      <c r="X102" s="655"/>
      <c r="Y102" s="655">
        <f t="shared" si="19"/>
        <v>0.1728395061728395</v>
      </c>
      <c r="Z102" s="655">
        <f t="shared" si="19"/>
        <v>0.1728395061728395</v>
      </c>
      <c r="AA102" s="2">
        <f t="shared" si="17"/>
        <v>4.1481481481481479</v>
      </c>
      <c r="AB102" s="2">
        <f t="shared" si="17"/>
        <v>4.1481481481481479</v>
      </c>
      <c r="AC102">
        <f t="shared" si="18"/>
        <v>734.5679012345679</v>
      </c>
      <c r="AD102">
        <f t="shared" si="18"/>
        <v>734.5679012345679</v>
      </c>
    </row>
    <row r="103" spans="5:30">
      <c r="F103"/>
      <c r="G103" s="358" t="s">
        <v>1273</v>
      </c>
      <c r="H103" s="358">
        <f t="shared" si="11"/>
        <v>6.2</v>
      </c>
      <c r="I103" s="358">
        <f t="shared" si="12"/>
        <v>6.6151340000000003</v>
      </c>
      <c r="J103" s="358">
        <f t="shared" si="10"/>
        <v>0.104</v>
      </c>
      <c r="K103" s="358">
        <f t="shared" si="13"/>
        <v>8.6301000000000003E-2</v>
      </c>
      <c r="L103" s="291">
        <v>25.97</v>
      </c>
      <c r="M103" s="291">
        <v>17.04</v>
      </c>
      <c r="N103" s="2"/>
      <c r="O103" s="358"/>
      <c r="P103" s="358"/>
      <c r="Q103" s="358"/>
      <c r="R103" s="358"/>
      <c r="S103" s="358"/>
      <c r="T103" s="357"/>
      <c r="U103" s="358">
        <f t="shared" si="14"/>
        <v>0.41513400000000011</v>
      </c>
      <c r="V103" s="358">
        <f t="shared" si="15"/>
        <v>-1.7698999999999993E-2</v>
      </c>
      <c r="W103" s="358">
        <f t="shared" si="16"/>
        <v>-8.93</v>
      </c>
      <c r="X103" s="655"/>
      <c r="Y103" s="655">
        <f t="shared" si="19"/>
        <v>0.18518518518518517</v>
      </c>
      <c r="Z103" s="655">
        <f t="shared" si="19"/>
        <v>0.18518518518518517</v>
      </c>
      <c r="AA103" s="2">
        <f t="shared" si="17"/>
        <v>4.4444444444444446</v>
      </c>
      <c r="AB103" s="2">
        <f t="shared" si="17"/>
        <v>4.4444444444444446</v>
      </c>
      <c r="AC103">
        <f t="shared" si="18"/>
        <v>787.03703703703707</v>
      </c>
      <c r="AD103">
        <f t="shared" si="18"/>
        <v>787.03703703703707</v>
      </c>
    </row>
    <row r="104" spans="5:30">
      <c r="F104"/>
      <c r="G104" s="358" t="s">
        <v>1187</v>
      </c>
      <c r="H104" s="358">
        <f t="shared" si="11"/>
        <v>10.5</v>
      </c>
      <c r="I104" s="358">
        <f t="shared" si="12"/>
        <v>10.370570000000001</v>
      </c>
      <c r="J104" s="358">
        <f t="shared" si="10"/>
        <v>0.33700000000000002</v>
      </c>
      <c r="K104" s="358">
        <f t="shared" si="13"/>
        <v>0.31379400000000002</v>
      </c>
      <c r="L104" s="291">
        <v>369.86</v>
      </c>
      <c r="M104" s="291">
        <v>314.8</v>
      </c>
      <c r="N104" s="2"/>
      <c r="O104" s="358"/>
      <c r="P104" s="358"/>
      <c r="Q104" s="358"/>
      <c r="R104" s="358"/>
      <c r="S104" s="358"/>
      <c r="T104" s="641"/>
      <c r="U104" s="358">
        <f t="shared" si="14"/>
        <v>-0.12942999999999927</v>
      </c>
      <c r="V104" s="358">
        <f t="shared" si="15"/>
        <v>-2.3206000000000004E-2</v>
      </c>
      <c r="W104" s="358">
        <f t="shared" si="16"/>
        <v>-55.06</v>
      </c>
      <c r="X104" s="655"/>
      <c r="Y104" s="655">
        <f t="shared" si="19"/>
        <v>0.19753086419753085</v>
      </c>
      <c r="Z104" s="655">
        <f t="shared" si="19"/>
        <v>0.19753086419753085</v>
      </c>
      <c r="AA104" s="2">
        <f t="shared" si="17"/>
        <v>4.7407407407407405</v>
      </c>
      <c r="AB104" s="2">
        <f t="shared" si="17"/>
        <v>4.7407407407407405</v>
      </c>
      <c r="AC104">
        <f t="shared" si="18"/>
        <v>839.50617283950623</v>
      </c>
      <c r="AD104">
        <f t="shared" si="18"/>
        <v>839.50617283950623</v>
      </c>
    </row>
    <row r="105" spans="5:30">
      <c r="F105"/>
      <c r="G105" s="358" t="s">
        <v>1187</v>
      </c>
      <c r="H105" s="358">
        <f t="shared" si="11"/>
        <v>9.6</v>
      </c>
      <c r="I105" s="358">
        <f t="shared" si="12"/>
        <v>10.902290000000001</v>
      </c>
      <c r="J105" s="358">
        <f t="shared" si="10"/>
        <v>0.31900000000000001</v>
      </c>
      <c r="K105" s="358">
        <f t="shared" si="13"/>
        <v>0.26653300000000002</v>
      </c>
      <c r="L105" s="291">
        <v>326.73</v>
      </c>
      <c r="M105" s="291">
        <v>217.71</v>
      </c>
      <c r="N105" s="2"/>
      <c r="O105" s="358"/>
      <c r="P105" s="358"/>
      <c r="Q105" s="358"/>
      <c r="R105" s="358"/>
      <c r="S105" s="358"/>
      <c r="U105" s="358">
        <f t="shared" si="14"/>
        <v>1.3022900000000011</v>
      </c>
      <c r="V105" s="358">
        <f t="shared" si="15"/>
        <v>-5.2466999999999986E-2</v>
      </c>
      <c r="W105" s="358">
        <f t="shared" si="16"/>
        <v>-109.02000000000001</v>
      </c>
      <c r="X105" s="655"/>
      <c r="Y105" s="655">
        <f t="shared" si="19"/>
        <v>0.20987654320987653</v>
      </c>
      <c r="Z105" s="655">
        <f t="shared" si="19"/>
        <v>0.20987654320987653</v>
      </c>
      <c r="AA105" s="2">
        <f t="shared" si="17"/>
        <v>5.0370370370370363</v>
      </c>
      <c r="AB105" s="2">
        <f t="shared" si="17"/>
        <v>5.0370370370370363</v>
      </c>
      <c r="AC105">
        <f t="shared" si="18"/>
        <v>891.9753086419754</v>
      </c>
      <c r="AD105">
        <f t="shared" si="18"/>
        <v>891.9753086419754</v>
      </c>
    </row>
    <row r="106" spans="5:30">
      <c r="F106"/>
      <c r="G106" s="358" t="s">
        <v>1187</v>
      </c>
      <c r="H106" s="358">
        <f t="shared" si="11"/>
        <v>7.7</v>
      </c>
      <c r="I106" s="358">
        <f t="shared" si="12"/>
        <v>8.0154589999999999</v>
      </c>
      <c r="J106" s="358">
        <f t="shared" si="10"/>
        <v>0.27400000000000002</v>
      </c>
      <c r="K106" s="358">
        <f t="shared" si="13"/>
        <v>0.52017199999999997</v>
      </c>
      <c r="L106" s="291">
        <v>231.73</v>
      </c>
      <c r="M106" s="291">
        <v>986.14</v>
      </c>
      <c r="N106" s="2"/>
      <c r="O106" s="358"/>
      <c r="P106" s="358"/>
      <c r="Q106" s="358"/>
      <c r="R106" s="358"/>
      <c r="S106" s="358"/>
      <c r="U106" s="358">
        <f t="shared" si="14"/>
        <v>0.31545899999999971</v>
      </c>
      <c r="V106" s="358">
        <f t="shared" si="15"/>
        <v>0.24617199999999995</v>
      </c>
      <c r="W106" s="358">
        <f t="shared" si="16"/>
        <v>754.41</v>
      </c>
      <c r="X106" s="655"/>
      <c r="Y106" s="655">
        <f t="shared" si="19"/>
        <v>0.22222222222222221</v>
      </c>
      <c r="Z106" s="655">
        <f t="shared" si="19"/>
        <v>0.22222222222222221</v>
      </c>
      <c r="AA106" s="2">
        <f t="shared" si="17"/>
        <v>5.3333333333333321</v>
      </c>
      <c r="AB106" s="2">
        <f t="shared" si="17"/>
        <v>5.3333333333333321</v>
      </c>
      <c r="AC106">
        <f t="shared" si="18"/>
        <v>944.44444444444457</v>
      </c>
      <c r="AD106">
        <f t="shared" si="18"/>
        <v>944.44444444444457</v>
      </c>
    </row>
    <row r="107" spans="5:30">
      <c r="F107"/>
      <c r="G107" s="358" t="s">
        <v>1294</v>
      </c>
      <c r="H107" s="358" t="e">
        <f t="shared" si="11"/>
        <v>#N/A</v>
      </c>
      <c r="I107" s="358" t="e">
        <f t="shared" si="12"/>
        <v>#N/A</v>
      </c>
      <c r="J107" s="358" t="e">
        <f t="shared" si="10"/>
        <v>#N/A</v>
      </c>
      <c r="K107" s="358" t="e">
        <f t="shared" si="13"/>
        <v>#N/A</v>
      </c>
      <c r="L107" s="291">
        <v>1073.1099999999999</v>
      </c>
      <c r="M107" s="291">
        <v>912.6</v>
      </c>
      <c r="N107" s="175"/>
      <c r="O107" s="358"/>
      <c r="P107" s="358"/>
      <c r="Q107" s="358"/>
      <c r="R107" s="358"/>
      <c r="S107" s="358"/>
      <c r="U107" s="358" t="e">
        <f t="shared" si="14"/>
        <v>#N/A</v>
      </c>
      <c r="V107" s="358" t="e">
        <f t="shared" si="15"/>
        <v>#N/A</v>
      </c>
      <c r="W107" s="358">
        <f t="shared" si="16"/>
        <v>-160.50999999999988</v>
      </c>
      <c r="X107" s="655"/>
      <c r="Y107" s="655">
        <f t="shared" si="19"/>
        <v>0.23456790123456789</v>
      </c>
      <c r="Z107" s="655">
        <f t="shared" si="19"/>
        <v>0.23456790123456789</v>
      </c>
      <c r="AA107" s="2">
        <f t="shared" si="17"/>
        <v>5.629629629629628</v>
      </c>
      <c r="AB107" s="2">
        <f t="shared" si="17"/>
        <v>5.629629629629628</v>
      </c>
      <c r="AC107">
        <f t="shared" si="18"/>
        <v>996.91358024691374</v>
      </c>
      <c r="AD107">
        <f t="shared" si="18"/>
        <v>996.91358024691374</v>
      </c>
    </row>
    <row r="108" spans="5:30">
      <c r="F108"/>
      <c r="G108" s="358" t="s">
        <v>1187</v>
      </c>
      <c r="H108" s="358">
        <f t="shared" si="11"/>
        <v>15</v>
      </c>
      <c r="I108" s="358">
        <f t="shared" si="12"/>
        <v>16.0622043609619</v>
      </c>
      <c r="J108" s="358">
        <f t="shared" si="10"/>
        <v>0.54</v>
      </c>
      <c r="K108" s="358">
        <f t="shared" si="13"/>
        <v>0.50263159058756701</v>
      </c>
      <c r="L108" s="291">
        <v>579.17999999999995</v>
      </c>
      <c r="M108" s="291">
        <v>543.13</v>
      </c>
      <c r="N108" s="2"/>
      <c r="O108" s="358"/>
      <c r="P108" s="358"/>
      <c r="Q108" s="358"/>
      <c r="R108" s="358"/>
      <c r="S108" s="358"/>
      <c r="U108" s="358">
        <f t="shared" si="14"/>
        <v>1.0622043609618999</v>
      </c>
      <c r="V108" s="358">
        <f t="shared" si="15"/>
        <v>-3.7368409412433023E-2</v>
      </c>
      <c r="W108" s="358">
        <f t="shared" si="16"/>
        <v>-36.049999999999955</v>
      </c>
      <c r="X108" s="655"/>
      <c r="Y108" s="655">
        <f t="shared" si="19"/>
        <v>0.24691358024691357</v>
      </c>
      <c r="Z108" s="655">
        <f t="shared" si="19"/>
        <v>0.24691358024691357</v>
      </c>
      <c r="AA108" s="2">
        <f t="shared" si="17"/>
        <v>5.9259259259259238</v>
      </c>
      <c r="AB108" s="2">
        <f t="shared" si="17"/>
        <v>5.9259259259259238</v>
      </c>
      <c r="AC108">
        <f t="shared" si="18"/>
        <v>1049.3827160493829</v>
      </c>
      <c r="AD108">
        <f t="shared" si="18"/>
        <v>1049.3827160493829</v>
      </c>
    </row>
    <row r="109" spans="5:30">
      <c r="F109"/>
      <c r="G109" s="358" t="s">
        <v>1187</v>
      </c>
      <c r="H109" s="358">
        <f t="shared" si="11"/>
        <v>13.7</v>
      </c>
      <c r="I109" s="358">
        <f t="shared" si="12"/>
        <v>14.0765838623046</v>
      </c>
      <c r="J109" s="358">
        <f t="shared" si="10"/>
        <v>0.41099999999999998</v>
      </c>
      <c r="K109" s="358">
        <f t="shared" si="13"/>
        <v>0.39947534756974001</v>
      </c>
      <c r="L109" s="291">
        <v>324.42</v>
      </c>
      <c r="M109" s="291">
        <v>263.83999999999997</v>
      </c>
      <c r="N109" s="2"/>
      <c r="O109" s="358"/>
      <c r="P109" s="358"/>
      <c r="Q109" s="358"/>
      <c r="R109" s="358"/>
      <c r="S109" s="358"/>
      <c r="T109" s="659"/>
      <c r="U109" s="358">
        <f t="shared" si="14"/>
        <v>0.37658386230460117</v>
      </c>
      <c r="V109" s="358">
        <f t="shared" si="15"/>
        <v>-1.1524652430259963E-2</v>
      </c>
      <c r="W109" s="358">
        <f t="shared" si="16"/>
        <v>-60.580000000000041</v>
      </c>
      <c r="X109" s="655"/>
      <c r="Y109" s="655">
        <f t="shared" si="19"/>
        <v>0.25925925925925924</v>
      </c>
      <c r="Z109" s="655">
        <f t="shared" si="19"/>
        <v>0.25925925925925924</v>
      </c>
      <c r="AA109" s="2">
        <f t="shared" si="17"/>
        <v>6.2222222222222197</v>
      </c>
      <c r="AB109" s="2">
        <f t="shared" si="17"/>
        <v>6.2222222222222197</v>
      </c>
      <c r="AC109">
        <f t="shared" si="18"/>
        <v>1101.851851851852</v>
      </c>
      <c r="AD109">
        <f t="shared" si="18"/>
        <v>1101.851851851852</v>
      </c>
    </row>
    <row r="110" spans="5:30">
      <c r="F110"/>
      <c r="G110" s="358" t="s">
        <v>1297</v>
      </c>
      <c r="H110" s="358">
        <f t="shared" si="11"/>
        <v>12.2</v>
      </c>
      <c r="I110" s="358">
        <f t="shared" si="12"/>
        <v>12.2070198059082</v>
      </c>
      <c r="J110" s="358">
        <f t="shared" si="10"/>
        <v>0.318</v>
      </c>
      <c r="K110" s="358">
        <f t="shared" si="13"/>
        <v>0.290196681076764</v>
      </c>
      <c r="L110" s="291">
        <v>30.94</v>
      </c>
      <c r="M110" s="291">
        <v>31.89</v>
      </c>
      <c r="N110" s="2"/>
      <c r="O110" s="358"/>
      <c r="P110" s="358"/>
      <c r="Q110" s="358"/>
      <c r="R110" s="358"/>
      <c r="S110" s="358"/>
      <c r="T110" s="659"/>
      <c r="U110" s="358">
        <f t="shared" si="14"/>
        <v>7.0198059082002828E-3</v>
      </c>
      <c r="V110" s="358">
        <f t="shared" si="15"/>
        <v>-2.7803318923236009E-2</v>
      </c>
      <c r="W110" s="358">
        <f t="shared" si="16"/>
        <v>0.94999999999999929</v>
      </c>
      <c r="X110" s="655"/>
      <c r="Y110" s="655">
        <f t="shared" si="19"/>
        <v>0.27160493827160492</v>
      </c>
      <c r="Z110" s="655">
        <f t="shared" si="19"/>
        <v>0.27160493827160492</v>
      </c>
      <c r="AA110" s="2">
        <f t="shared" si="17"/>
        <v>6.5185185185185155</v>
      </c>
      <c r="AB110" s="2">
        <f t="shared" si="17"/>
        <v>6.5185185185185155</v>
      </c>
      <c r="AC110">
        <f t="shared" si="18"/>
        <v>1154.320987654321</v>
      </c>
      <c r="AD110">
        <f t="shared" si="18"/>
        <v>1154.320987654321</v>
      </c>
    </row>
    <row r="111" spans="5:30">
      <c r="F111"/>
      <c r="G111" s="358" t="s">
        <v>1299</v>
      </c>
      <c r="H111" s="358">
        <f>IF(K24=0,NA(),K24)</f>
        <v>4.3</v>
      </c>
      <c r="I111" s="358">
        <f>IF(I24=0,NA(),I24)</f>
        <v>4.4393973350524902</v>
      </c>
      <c r="J111" s="358">
        <f>IF(J24=0,NA(),J24)</f>
        <v>0.57799999999999996</v>
      </c>
      <c r="K111" s="358">
        <f>IF(H24=0,NA(),H24)</f>
        <v>0.57481053796556703</v>
      </c>
      <c r="L111" s="291">
        <v>54.74</v>
      </c>
      <c r="M111" s="291">
        <v>53.87</v>
      </c>
      <c r="N111" s="2"/>
      <c r="O111" s="358"/>
      <c r="P111" s="358"/>
      <c r="Q111" s="358"/>
      <c r="R111" s="358"/>
      <c r="S111" s="358"/>
      <c r="T111" s="659"/>
      <c r="U111" s="358">
        <f t="shared" si="14"/>
        <v>0.13939733505249041</v>
      </c>
      <c r="V111" s="358">
        <f t="shared" si="15"/>
        <v>-3.1894620344329327E-3</v>
      </c>
      <c r="W111" s="358">
        <f t="shared" si="16"/>
        <v>-0.87000000000000455</v>
      </c>
      <c r="X111" s="655"/>
      <c r="Y111" s="655">
        <f t="shared" si="19"/>
        <v>0.2839506172839506</v>
      </c>
      <c r="Z111" s="655">
        <f t="shared" si="19"/>
        <v>0.2839506172839506</v>
      </c>
      <c r="AA111" s="2">
        <f t="shared" si="17"/>
        <v>6.8148148148148113</v>
      </c>
      <c r="AB111" s="2">
        <f t="shared" si="17"/>
        <v>6.8148148148148113</v>
      </c>
      <c r="AC111">
        <f t="shared" si="18"/>
        <v>1206.7901234567901</v>
      </c>
      <c r="AD111">
        <f t="shared" si="18"/>
        <v>1206.7901234567901</v>
      </c>
    </row>
    <row r="112" spans="5:30">
      <c r="F112"/>
      <c r="G112" s="358" t="s">
        <v>1301</v>
      </c>
      <c r="H112" s="358">
        <f>IF(K25=0,NA(),K25)</f>
        <v>23.7</v>
      </c>
      <c r="I112" s="358">
        <f>IF(I25=0,NA(),I25)</f>
        <v>24.813697814941399</v>
      </c>
      <c r="J112" s="358">
        <f>IF(J25=0,NA(),J25)</f>
        <v>0.46899999999999997</v>
      </c>
      <c r="K112" s="358">
        <f>IF(H25=0,NA(),H25)</f>
        <v>0.359674810764049</v>
      </c>
      <c r="L112" s="291">
        <v>1470.98</v>
      </c>
      <c r="M112" s="291">
        <v>1280.5</v>
      </c>
      <c r="N112" s="641"/>
      <c r="O112" s="358"/>
      <c r="P112" s="358"/>
      <c r="Q112" s="358"/>
      <c r="R112" s="358"/>
      <c r="S112" s="358"/>
      <c r="T112" s="78"/>
      <c r="U112" s="358">
        <f t="shared" si="14"/>
        <v>1.1136978149413999</v>
      </c>
      <c r="V112" s="358">
        <f t="shared" si="15"/>
        <v>-0.10932518923595097</v>
      </c>
      <c r="W112" s="358">
        <f t="shared" si="16"/>
        <v>-190.48000000000002</v>
      </c>
      <c r="X112" s="655"/>
      <c r="Y112" s="655">
        <f t="shared" si="19"/>
        <v>0.29629629629629628</v>
      </c>
      <c r="Z112" s="655">
        <f t="shared" si="19"/>
        <v>0.29629629629629628</v>
      </c>
      <c r="AA112" s="2">
        <f t="shared" si="17"/>
        <v>7.1111111111111072</v>
      </c>
      <c r="AB112" s="2">
        <f t="shared" si="17"/>
        <v>7.1111111111111072</v>
      </c>
      <c r="AC112">
        <f t="shared" si="18"/>
        <v>1259.2592592592591</v>
      </c>
      <c r="AD112">
        <f t="shared" si="18"/>
        <v>1259.2592592592591</v>
      </c>
    </row>
    <row r="113" spans="6:30">
      <c r="F113"/>
      <c r="G113" s="358" t="s">
        <v>1304</v>
      </c>
      <c r="H113" s="358">
        <f>IF(K26=0,NA(),K26)</f>
        <v>6.5</v>
      </c>
      <c r="I113" s="358">
        <f>IF(I26=0,NA(),I26)</f>
        <v>6.5767874717712402</v>
      </c>
      <c r="J113" s="358" t="e">
        <f>IF(J26=0,NA(),J26)</f>
        <v>#N/A</v>
      </c>
      <c r="K113" s="358" t="str">
        <f>IF(H26=0,NA(),H26)</f>
        <v>x</v>
      </c>
      <c r="L113" s="291">
        <v>923.36</v>
      </c>
      <c r="M113" s="291">
        <v>1004.55</v>
      </c>
      <c r="N113" s="2"/>
      <c r="O113" s="358"/>
      <c r="P113" s="358"/>
      <c r="Q113" s="358"/>
      <c r="R113" s="358"/>
      <c r="S113" s="358"/>
      <c r="T113" s="358"/>
      <c r="U113" s="358">
        <f t="shared" si="14"/>
        <v>7.6787471771240234E-2</v>
      </c>
      <c r="V113" s="358" t="e">
        <f t="shared" si="15"/>
        <v>#VALUE!</v>
      </c>
      <c r="W113" s="358">
        <f t="shared" si="16"/>
        <v>81.189999999999941</v>
      </c>
      <c r="X113" s="655"/>
      <c r="Y113" s="655">
        <f t="shared" si="19"/>
        <v>0.30864197530864196</v>
      </c>
      <c r="Z113" s="655">
        <f t="shared" si="19"/>
        <v>0.30864197530864196</v>
      </c>
      <c r="AA113" s="2">
        <f t="shared" si="17"/>
        <v>7.407407407407403</v>
      </c>
      <c r="AB113" s="2">
        <f t="shared" si="17"/>
        <v>7.407407407407403</v>
      </c>
      <c r="AC113">
        <f t="shared" si="18"/>
        <v>1311.7283950617282</v>
      </c>
      <c r="AD113">
        <f t="shared" si="18"/>
        <v>1311.7283950617282</v>
      </c>
    </row>
    <row r="114" spans="6:30">
      <c r="F114"/>
      <c r="G114" s="358" t="s">
        <v>1299</v>
      </c>
      <c r="H114" s="358">
        <f>IF(K27=0,NA(),K27)</f>
        <v>7.8</v>
      </c>
      <c r="I114" s="358">
        <f>IF(I27=0,NA(),I27)</f>
        <v>7.6719403266906703</v>
      </c>
      <c r="J114" s="358">
        <f>IF(J27=0,NA(),J27)</f>
        <v>0.48199999999999998</v>
      </c>
      <c r="K114" s="358">
        <f>IF(H27=0,NA(),H27)</f>
        <v>0.43879488173376602</v>
      </c>
      <c r="L114" s="291">
        <v>2066.58</v>
      </c>
      <c r="M114" s="291">
        <v>1851.17</v>
      </c>
      <c r="N114" s="2"/>
      <c r="O114" s="358"/>
      <c r="P114" s="358"/>
      <c r="Q114" s="358"/>
      <c r="R114" s="358"/>
      <c r="S114" s="358"/>
      <c r="T114" s="358"/>
      <c r="U114" s="358">
        <f t="shared" si="14"/>
        <v>-0.12805967330932955</v>
      </c>
      <c r="V114" s="358">
        <f t="shared" si="15"/>
        <v>-4.3205118266233966E-2</v>
      </c>
      <c r="W114" s="358">
        <f t="shared" si="16"/>
        <v>-215.40999999999985</v>
      </c>
      <c r="X114" s="655"/>
      <c r="Y114" s="655">
        <f t="shared" si="19"/>
        <v>0.32098765432098764</v>
      </c>
      <c r="Z114" s="655">
        <f t="shared" si="19"/>
        <v>0.32098765432098764</v>
      </c>
      <c r="AA114" s="2">
        <f t="shared" si="17"/>
        <v>7.7037037037036988</v>
      </c>
      <c r="AB114" s="2">
        <f t="shared" si="17"/>
        <v>7.7037037037036988</v>
      </c>
      <c r="AC114">
        <f t="shared" si="18"/>
        <v>1364.1975308641972</v>
      </c>
      <c r="AD114">
        <f t="shared" si="18"/>
        <v>1364.1975308641972</v>
      </c>
    </row>
    <row r="115" spans="6:30">
      <c r="F115"/>
      <c r="G115" s="358" t="s">
        <v>1308</v>
      </c>
      <c r="H115" s="358" t="e">
        <f>IF(K28=0,NA(),K28)</f>
        <v>#N/A</v>
      </c>
      <c r="I115" s="358" t="e">
        <f>IF(I28=0,NA(),I28)</f>
        <v>#N/A</v>
      </c>
      <c r="J115" s="358" t="e">
        <f>IF(J28=0,NA(),J28)</f>
        <v>#N/A</v>
      </c>
      <c r="K115" s="358" t="e">
        <f>IF(H28=0,NA(),H28)</f>
        <v>#N/A</v>
      </c>
      <c r="L115" s="291">
        <v>453.62</v>
      </c>
      <c r="M115" s="291">
        <v>484.06</v>
      </c>
      <c r="N115"/>
      <c r="O115" s="358"/>
      <c r="P115" s="358"/>
      <c r="Q115" s="358"/>
      <c r="R115" s="358"/>
      <c r="S115" s="358"/>
      <c r="T115" s="358"/>
      <c r="U115" s="358" t="e">
        <f t="shared" si="14"/>
        <v>#N/A</v>
      </c>
      <c r="V115" s="358" t="e">
        <f t="shared" si="15"/>
        <v>#N/A</v>
      </c>
      <c r="W115" s="358">
        <f t="shared" si="16"/>
        <v>30.439999999999998</v>
      </c>
      <c r="X115" s="655"/>
      <c r="Y115" s="655">
        <f t="shared" si="19"/>
        <v>0.33333333333333331</v>
      </c>
      <c r="Z115" s="655">
        <f t="shared" si="19"/>
        <v>0.33333333333333331</v>
      </c>
      <c r="AA115" s="2">
        <f t="shared" si="17"/>
        <v>7.9999999999999947</v>
      </c>
      <c r="AB115" s="2">
        <f t="shared" si="17"/>
        <v>7.9999999999999947</v>
      </c>
      <c r="AC115">
        <f t="shared" si="18"/>
        <v>1416.6666666666663</v>
      </c>
      <c r="AD115">
        <f t="shared" si="18"/>
        <v>1416.6666666666663</v>
      </c>
    </row>
    <row r="116" spans="6:30">
      <c r="F116"/>
      <c r="G116" s="358" t="s">
        <v>1187</v>
      </c>
      <c r="H116" s="358">
        <f>IF(K29=0,NA(),K29)</f>
        <v>6.2</v>
      </c>
      <c r="I116" s="358">
        <f>IF(I29=0,NA(),I29)</f>
        <v>6.6830124855041504</v>
      </c>
      <c r="J116" s="358" t="e">
        <f>IF(J29=0,NA(),J29)</f>
        <v>#N/A</v>
      </c>
      <c r="K116" s="358" t="e">
        <f>IF(H29=0,NA(),H29)</f>
        <v>#N/A</v>
      </c>
      <c r="L116" s="291">
        <v>2056.7199999999998</v>
      </c>
      <c r="M116" s="291">
        <v>1619.14</v>
      </c>
      <c r="N116" s="175"/>
      <c r="O116" s="358"/>
      <c r="P116" s="358"/>
      <c r="Q116" s="358"/>
      <c r="R116" s="358"/>
      <c r="S116" s="358"/>
      <c r="T116" s="358"/>
      <c r="U116" s="358">
        <f t="shared" si="14"/>
        <v>0.48301248550415021</v>
      </c>
      <c r="V116" s="358" t="e">
        <f t="shared" si="15"/>
        <v>#N/A</v>
      </c>
      <c r="W116" s="358">
        <f t="shared" si="16"/>
        <v>-437.5799999999997</v>
      </c>
      <c r="X116" s="655"/>
      <c r="Y116" s="655">
        <f t="shared" si="19"/>
        <v>0.34567901234567899</v>
      </c>
      <c r="Z116" s="655">
        <f t="shared" si="19"/>
        <v>0.34567901234567899</v>
      </c>
      <c r="AA116" s="2">
        <f t="shared" si="17"/>
        <v>8.2962962962962905</v>
      </c>
      <c r="AB116" s="2">
        <f t="shared" si="17"/>
        <v>8.2962962962962905</v>
      </c>
      <c r="AC116">
        <f t="shared" si="18"/>
        <v>1469.1358024691353</v>
      </c>
      <c r="AD116">
        <f t="shared" si="18"/>
        <v>1469.1358024691353</v>
      </c>
    </row>
    <row r="117" spans="6:30">
      <c r="F117"/>
      <c r="G117" s="358" t="s">
        <v>1312</v>
      </c>
      <c r="H117" s="358">
        <f>IF(K30=0,NA(),K30)</f>
        <v>13.1</v>
      </c>
      <c r="I117" s="358">
        <f>IF(I30=0,NA(),I30)</f>
        <v>13.056458473205501</v>
      </c>
      <c r="J117" s="358">
        <f>IF(J30=0,NA(),J30)</f>
        <v>0.55600000000000005</v>
      </c>
      <c r="K117" s="358">
        <f>IF(H30=0,NA(),H30)</f>
        <v>0.52420286499511304</v>
      </c>
      <c r="L117" s="291">
        <v>702.71</v>
      </c>
      <c r="M117" s="291">
        <v>562.54</v>
      </c>
      <c r="N117" s="642"/>
      <c r="O117" s="358"/>
      <c r="P117" s="358"/>
      <c r="Q117" s="358"/>
      <c r="R117" s="358"/>
      <c r="S117" s="358"/>
      <c r="T117" s="358"/>
      <c r="U117" s="358">
        <f t="shared" si="14"/>
        <v>-4.3541526794498964E-2</v>
      </c>
      <c r="V117" s="358">
        <f t="shared" si="15"/>
        <v>-3.1797135004887012E-2</v>
      </c>
      <c r="W117" s="358">
        <f t="shared" si="16"/>
        <v>-140.17000000000007</v>
      </c>
      <c r="X117" s="655"/>
      <c r="Y117" s="655">
        <f t="shared" si="19"/>
        <v>0.35802469135802467</v>
      </c>
      <c r="Z117" s="655">
        <f t="shared" si="19"/>
        <v>0.35802469135802467</v>
      </c>
      <c r="AA117" s="2">
        <f t="shared" si="17"/>
        <v>8.5925925925925863</v>
      </c>
      <c r="AB117" s="2">
        <f t="shared" si="17"/>
        <v>8.5925925925925863</v>
      </c>
      <c r="AC117">
        <f t="shared" si="18"/>
        <v>1521.6049382716044</v>
      </c>
      <c r="AD117">
        <f t="shared" si="18"/>
        <v>1521.6049382716044</v>
      </c>
    </row>
    <row r="118" spans="6:30">
      <c r="F118"/>
      <c r="G118" s="358" t="s">
        <v>1312</v>
      </c>
      <c r="H118" s="358">
        <f>IF(K31=0,NA(),K31)</f>
        <v>15.2</v>
      </c>
      <c r="I118" s="358">
        <f>IF(I31=0,NA(),I31)</f>
        <v>15.740143775939901</v>
      </c>
      <c r="J118" s="358">
        <f>IF(J31=0,NA(),J31)</f>
        <v>0.437</v>
      </c>
      <c r="K118" s="358">
        <f>IF(H31=0,NA(),H31)</f>
        <v>0.448922766648643</v>
      </c>
      <c r="L118" s="291">
        <v>481.68</v>
      </c>
      <c r="M118" s="291">
        <v>369.82</v>
      </c>
      <c r="N118" s="642"/>
      <c r="O118" s="358"/>
      <c r="P118" s="358"/>
      <c r="Q118" s="358"/>
      <c r="R118" s="358"/>
      <c r="S118" s="358"/>
      <c r="T118" s="358"/>
      <c r="U118" s="358">
        <f t="shared" si="14"/>
        <v>0.54014377593990126</v>
      </c>
      <c r="V118" s="358">
        <f t="shared" si="15"/>
        <v>1.1922766648643002E-2</v>
      </c>
      <c r="W118" s="358">
        <f t="shared" si="16"/>
        <v>-111.86000000000001</v>
      </c>
      <c r="X118" s="655"/>
      <c r="Y118" s="655">
        <f t="shared" si="19"/>
        <v>0.37037037037037035</v>
      </c>
      <c r="Z118" s="655">
        <f t="shared" si="19"/>
        <v>0.37037037037037035</v>
      </c>
      <c r="AA118" s="2">
        <f t="shared" si="17"/>
        <v>8.8888888888888822</v>
      </c>
      <c r="AB118" s="2">
        <f t="shared" si="17"/>
        <v>8.8888888888888822</v>
      </c>
      <c r="AC118">
        <f t="shared" si="18"/>
        <v>1574.0740740740735</v>
      </c>
      <c r="AD118">
        <f t="shared" si="18"/>
        <v>1574.0740740740735</v>
      </c>
    </row>
    <row r="119" spans="6:30">
      <c r="F119"/>
      <c r="G119" s="358" t="s">
        <v>1312</v>
      </c>
      <c r="H119" s="358">
        <f>IF(K32=0,NA(),K32)</f>
        <v>13.5</v>
      </c>
      <c r="I119" s="358">
        <f>IF(I32=0,NA(),I32)</f>
        <v>13.365461349487299</v>
      </c>
      <c r="J119" s="358">
        <f>IF(J32=0,NA(),J32)</f>
        <v>0.63856479702532931</v>
      </c>
      <c r="K119" s="358">
        <f>IF(H32=0,NA(),H32)</f>
        <v>0.61061580782171276</v>
      </c>
      <c r="L119" s="291">
        <v>291.81</v>
      </c>
      <c r="M119" s="291">
        <v>281.88</v>
      </c>
      <c r="N119" s="642"/>
      <c r="O119" s="358"/>
      <c r="P119" s="358"/>
      <c r="Q119" s="358"/>
      <c r="R119" s="358"/>
      <c r="S119" s="358"/>
      <c r="T119" s="358"/>
      <c r="U119" s="358">
        <f t="shared" si="14"/>
        <v>-0.13453865051270064</v>
      </c>
      <c r="V119" s="358">
        <f t="shared" si="15"/>
        <v>-2.7948989203616548E-2</v>
      </c>
      <c r="W119" s="358">
        <f t="shared" si="16"/>
        <v>-9.9300000000000068</v>
      </c>
      <c r="X119" s="655"/>
      <c r="Y119" s="655">
        <f t="shared" si="19"/>
        <v>0.38271604938271603</v>
      </c>
      <c r="Z119" s="655">
        <f t="shared" si="19"/>
        <v>0.38271604938271603</v>
      </c>
      <c r="AA119" s="2">
        <f t="shared" si="17"/>
        <v>9.185185185185178</v>
      </c>
      <c r="AB119" s="2">
        <f t="shared" si="17"/>
        <v>9.185185185185178</v>
      </c>
      <c r="AC119">
        <f t="shared" si="18"/>
        <v>1626.5432098765425</v>
      </c>
      <c r="AD119">
        <f t="shared" si="18"/>
        <v>1626.5432098765425</v>
      </c>
    </row>
    <row r="120" spans="6:30">
      <c r="F120"/>
      <c r="G120" s="358" t="s">
        <v>1315</v>
      </c>
      <c r="H120" s="358">
        <f>IF(K33=0,NA(),K33)</f>
        <v>5.0999999999999996</v>
      </c>
      <c r="I120" s="358">
        <f>IF(I33=0,NA(),I33)</f>
        <v>4.8240850000000002</v>
      </c>
      <c r="J120" s="358">
        <f>IF(J33=0,NA(),J33)</f>
        <v>0.30429919487241502</v>
      </c>
      <c r="K120" s="358">
        <f>IF(H33=0,NA(),H33)</f>
        <v>0.31250432941480988</v>
      </c>
      <c r="L120" s="291">
        <v>347.86</v>
      </c>
      <c r="M120" s="291">
        <v>302.61</v>
      </c>
      <c r="N120" s="650"/>
      <c r="O120" s="358"/>
      <c r="P120" s="358"/>
      <c r="Q120" s="358"/>
      <c r="R120" s="358"/>
      <c r="S120" s="358"/>
      <c r="T120" s="358"/>
      <c r="U120" s="358">
        <f t="shared" si="14"/>
        <v>-0.27591499999999947</v>
      </c>
      <c r="V120" s="358">
        <f t="shared" si="15"/>
        <v>8.2051345423948541E-3</v>
      </c>
      <c r="W120" s="358">
        <f t="shared" si="16"/>
        <v>-45.25</v>
      </c>
      <c r="X120" s="655"/>
      <c r="Y120" s="655">
        <f t="shared" si="19"/>
        <v>0.39506172839506171</v>
      </c>
      <c r="Z120" s="655">
        <f t="shared" si="19"/>
        <v>0.39506172839506171</v>
      </c>
      <c r="AA120" s="2">
        <f t="shared" si="17"/>
        <v>9.4814814814814738</v>
      </c>
      <c r="AB120" s="2">
        <f t="shared" si="17"/>
        <v>9.4814814814814738</v>
      </c>
      <c r="AC120">
        <f t="shared" si="18"/>
        <v>1679.0123456790116</v>
      </c>
      <c r="AD120">
        <f t="shared" si="18"/>
        <v>1679.0123456790116</v>
      </c>
    </row>
    <row r="121" spans="6:30">
      <c r="F121"/>
      <c r="G121" s="358" t="s">
        <v>1393</v>
      </c>
      <c r="H121" s="358">
        <f>IF(K34=0,NA(),K34)</f>
        <v>12.4</v>
      </c>
      <c r="I121" s="358">
        <f>IF(I34=0,NA(),I34)</f>
        <v>12.976625442504799</v>
      </c>
      <c r="J121" s="358">
        <f>IF(J34=0,NA(),J34)</f>
        <v>0.52503333227519944</v>
      </c>
      <c r="K121" s="358">
        <f>IF(H34=0,NA(),H34)</f>
        <v>0.47589148703207512</v>
      </c>
      <c r="L121" s="291">
        <v>741.26</v>
      </c>
      <c r="M121" s="291">
        <v>601.63</v>
      </c>
      <c r="N121" s="2"/>
      <c r="O121" s="358"/>
      <c r="P121" s="358"/>
      <c r="Q121" s="358"/>
      <c r="R121" s="358"/>
      <c r="S121" s="358"/>
      <c r="T121" s="358"/>
      <c r="U121" s="358">
        <f t="shared" si="14"/>
        <v>0.57662544250479897</v>
      </c>
      <c r="V121" s="358">
        <f t="shared" si="15"/>
        <v>-4.9141845243124316E-2</v>
      </c>
      <c r="W121" s="358">
        <f t="shared" si="16"/>
        <v>-139.63</v>
      </c>
      <c r="X121" s="655"/>
      <c r="Y121" s="655">
        <f t="shared" si="19"/>
        <v>0.40740740740740738</v>
      </c>
      <c r="Z121" s="655">
        <f t="shared" si="19"/>
        <v>0.40740740740740738</v>
      </c>
      <c r="AA121" s="2">
        <f t="shared" si="17"/>
        <v>9.7777777777777697</v>
      </c>
      <c r="AB121" s="2">
        <f t="shared" si="17"/>
        <v>9.7777777777777697</v>
      </c>
      <c r="AC121">
        <f t="shared" si="18"/>
        <v>1731.4814814814806</v>
      </c>
      <c r="AD121">
        <f t="shared" si="18"/>
        <v>1731.4814814814806</v>
      </c>
    </row>
    <row r="122" spans="6:30">
      <c r="F122"/>
      <c r="G122" s="358" t="s">
        <v>1398</v>
      </c>
      <c r="H122" s="358">
        <f>IF(K35=0,NA(),K35)</f>
        <v>4.2</v>
      </c>
      <c r="I122" s="358" t="e">
        <f>IF(I35=0,NA(),I35)</f>
        <v>#N/A</v>
      </c>
      <c r="J122" s="358" t="e">
        <f>IF(J35=0,NA(),J35)</f>
        <v>#N/A</v>
      </c>
      <c r="K122" s="358" t="e">
        <f>IF(H35=0,NA(),H35)</f>
        <v>#N/A</v>
      </c>
      <c r="L122" s="291">
        <v>938.79</v>
      </c>
      <c r="M122" s="291">
        <v>760.33</v>
      </c>
      <c r="N122" s="357"/>
      <c r="O122" s="358"/>
      <c r="P122" s="358"/>
      <c r="Q122" s="358"/>
      <c r="R122" s="358"/>
      <c r="S122" s="358"/>
      <c r="T122" s="358"/>
      <c r="U122" s="358" t="e">
        <f t="shared" si="14"/>
        <v>#N/A</v>
      </c>
      <c r="V122" s="358" t="e">
        <f t="shared" si="15"/>
        <v>#N/A</v>
      </c>
      <c r="W122" s="358">
        <f t="shared" si="16"/>
        <v>-178.45999999999992</v>
      </c>
      <c r="X122" s="655"/>
      <c r="Y122" s="655">
        <f t="shared" si="19"/>
        <v>0.41975308641975306</v>
      </c>
      <c r="Z122" s="655">
        <f t="shared" si="19"/>
        <v>0.41975308641975306</v>
      </c>
      <c r="AA122" s="2">
        <f t="shared" si="17"/>
        <v>10.074074074074066</v>
      </c>
      <c r="AB122" s="2">
        <f t="shared" si="17"/>
        <v>10.074074074074066</v>
      </c>
      <c r="AC122">
        <f t="shared" si="18"/>
        <v>1783.9506172839497</v>
      </c>
      <c r="AD122">
        <f t="shared" si="18"/>
        <v>1783.9506172839497</v>
      </c>
    </row>
    <row r="123" spans="6:30">
      <c r="F123"/>
      <c r="G123" s="358" t="s">
        <v>1399</v>
      </c>
      <c r="H123" s="358">
        <f>IF(K36=0,NA(),K36)</f>
        <v>10.7</v>
      </c>
      <c r="I123" s="358">
        <f>IF(I36=0,NA(),I36)</f>
        <v>11.3740901947021</v>
      </c>
      <c r="J123" s="358">
        <f>IF(J36=0,NA(),J36)</f>
        <v>0.44773652966895611</v>
      </c>
      <c r="K123" s="358">
        <f>IF(H36=0,NA(),H36)</f>
        <v>0.40575123337985436</v>
      </c>
      <c r="L123" s="291">
        <v>16.34</v>
      </c>
      <c r="M123" s="291">
        <v>11.05</v>
      </c>
      <c r="N123" s="2"/>
      <c r="O123" s="358"/>
      <c r="P123" s="358"/>
      <c r="Q123" s="358"/>
      <c r="R123" s="358"/>
      <c r="S123" s="358"/>
      <c r="T123" s="358"/>
      <c r="U123" s="358">
        <f t="shared" si="14"/>
        <v>0.67409019470210119</v>
      </c>
      <c r="V123" s="358">
        <f t="shared" si="15"/>
        <v>-4.1985296289101748E-2</v>
      </c>
      <c r="W123" s="358">
        <f t="shared" si="16"/>
        <v>-5.2899999999999991</v>
      </c>
      <c r="X123" s="655"/>
      <c r="Y123" s="655">
        <f t="shared" si="19"/>
        <v>0.43209876543209874</v>
      </c>
      <c r="Z123" s="655">
        <f t="shared" si="19"/>
        <v>0.43209876543209874</v>
      </c>
      <c r="AA123" s="2">
        <f t="shared" si="17"/>
        <v>10.370370370370361</v>
      </c>
      <c r="AB123" s="2">
        <f t="shared" si="17"/>
        <v>10.370370370370361</v>
      </c>
      <c r="AC123">
        <f t="shared" si="18"/>
        <v>1836.4197530864187</v>
      </c>
      <c r="AD123">
        <f t="shared" si="18"/>
        <v>1836.4197530864187</v>
      </c>
    </row>
    <row r="124" spans="6:30">
      <c r="F124"/>
      <c r="G124" s="358" t="s">
        <v>1399</v>
      </c>
      <c r="H124" s="358">
        <f>IF(K37=0,NA(),K37)</f>
        <v>13.2</v>
      </c>
      <c r="I124" s="358">
        <f>IF(I37=0,NA(),I37)</f>
        <v>13.874636650085399</v>
      </c>
      <c r="J124" s="358">
        <f>IF(J37=0,NA(),J37)</f>
        <v>0.3788192180974983</v>
      </c>
      <c r="K124" s="358">
        <f>IF(H37=0,NA(),H37)</f>
        <v>0.337008559451065</v>
      </c>
      <c r="L124" s="291">
        <v>2580.61</v>
      </c>
      <c r="M124" s="291">
        <v>2319.9299999999998</v>
      </c>
      <c r="N124" s="2"/>
      <c r="O124" s="358"/>
      <c r="P124" s="358"/>
      <c r="Q124" s="358"/>
      <c r="R124" s="358"/>
      <c r="S124" s="358"/>
      <c r="T124" s="358"/>
      <c r="U124" s="358">
        <f t="shared" si="14"/>
        <v>0.67463665008540019</v>
      </c>
      <c r="V124" s="358">
        <f t="shared" si="15"/>
        <v>-4.1810658646433296E-2</v>
      </c>
      <c r="W124" s="358">
        <f t="shared" si="16"/>
        <v>-260.68000000000029</v>
      </c>
      <c r="X124" s="655"/>
      <c r="Y124" s="655">
        <f t="shared" si="19"/>
        <v>0.44444444444444442</v>
      </c>
      <c r="Z124" s="655">
        <f t="shared" si="19"/>
        <v>0.44444444444444442</v>
      </c>
      <c r="AA124" s="2">
        <f t="shared" si="17"/>
        <v>10.666666666666657</v>
      </c>
      <c r="AB124" s="2">
        <f t="shared" si="17"/>
        <v>10.666666666666657</v>
      </c>
      <c r="AC124">
        <f t="shared" si="18"/>
        <v>1888.8888888888878</v>
      </c>
      <c r="AD124">
        <f t="shared" si="18"/>
        <v>1888.8888888888878</v>
      </c>
    </row>
    <row r="125" spans="6:30">
      <c r="F125"/>
      <c r="G125" s="358" t="s">
        <v>1399</v>
      </c>
      <c r="H125" s="358">
        <f>IF(K38=0,NA(),K38)</f>
        <v>13</v>
      </c>
      <c r="I125" s="358">
        <f>IF(I38=0,NA(),I38)</f>
        <v>13.894880294799799</v>
      </c>
      <c r="J125" s="358">
        <f>IF(J38=0,NA(),J38)</f>
        <v>0.30346169445252891</v>
      </c>
      <c r="K125" s="358">
        <f>IF(H38=0,NA(),H38)</f>
        <v>0.29885026967557526</v>
      </c>
      <c r="L125" s="291">
        <v>2057.02</v>
      </c>
      <c r="M125" s="291">
        <v>1347.64</v>
      </c>
      <c r="N125" s="2"/>
      <c r="O125" s="358"/>
      <c r="P125" s="358"/>
      <c r="Q125" s="358"/>
      <c r="R125" s="358"/>
      <c r="S125" s="358"/>
      <c r="T125" s="358"/>
      <c r="U125" s="358">
        <f t="shared" si="14"/>
        <v>0.89488029479979936</v>
      </c>
      <c r="V125" s="358">
        <f t="shared" si="15"/>
        <v>-4.6114247769536432E-3</v>
      </c>
      <c r="W125" s="358">
        <f t="shared" si="16"/>
        <v>-709.37999999999988</v>
      </c>
      <c r="X125" s="655"/>
      <c r="Y125" s="655">
        <f t="shared" si="19"/>
        <v>0.4567901234567901</v>
      </c>
      <c r="Z125" s="655">
        <f t="shared" si="19"/>
        <v>0.4567901234567901</v>
      </c>
      <c r="AA125" s="2">
        <f t="shared" si="17"/>
        <v>10.962962962962953</v>
      </c>
      <c r="AB125" s="2">
        <f t="shared" si="17"/>
        <v>10.962962962962953</v>
      </c>
      <c r="AC125">
        <f t="shared" si="18"/>
        <v>1941.3580246913568</v>
      </c>
      <c r="AD125">
        <f t="shared" si="18"/>
        <v>1941.3580246913568</v>
      </c>
    </row>
    <row r="126" spans="6:30">
      <c r="F126"/>
      <c r="G126" s="358" t="s">
        <v>1399</v>
      </c>
      <c r="H126" s="358">
        <f>IF(K39=0,NA(),K39)</f>
        <v>15.3</v>
      </c>
      <c r="I126" s="358">
        <f>IF(I39=0,NA(),I39)</f>
        <v>15.126721382141101</v>
      </c>
      <c r="J126" s="358">
        <f>IF(J39=0,NA(),J39)</f>
        <v>0.32800000000000001</v>
      </c>
      <c r="K126" s="358">
        <f>IF(H39=0,NA(),H39)</f>
        <v>0.30838308026487399</v>
      </c>
      <c r="L126" s="291">
        <v>1079.3800000000001</v>
      </c>
      <c r="M126" s="291">
        <v>1090.6300000000001</v>
      </c>
      <c r="N126" s="2"/>
      <c r="O126" s="358"/>
      <c r="P126" s="358"/>
      <c r="Q126" s="358"/>
      <c r="R126" s="358"/>
      <c r="S126" s="358"/>
      <c r="T126" s="358"/>
      <c r="U126" s="358">
        <f t="shared" si="14"/>
        <v>-0.17327861785889986</v>
      </c>
      <c r="V126" s="358">
        <f t="shared" si="15"/>
        <v>-1.9616919735126026E-2</v>
      </c>
      <c r="W126" s="358">
        <f t="shared" si="16"/>
        <v>11.25</v>
      </c>
      <c r="X126" s="655"/>
      <c r="Y126" s="655">
        <f t="shared" si="19"/>
        <v>0.46913580246913578</v>
      </c>
      <c r="Z126" s="655">
        <f t="shared" si="19"/>
        <v>0.46913580246913578</v>
      </c>
      <c r="AA126" s="2">
        <f t="shared" si="17"/>
        <v>11.259259259259249</v>
      </c>
      <c r="AB126" s="2">
        <f t="shared" si="17"/>
        <v>11.259259259259249</v>
      </c>
      <c r="AC126">
        <f t="shared" si="18"/>
        <v>1993.8271604938259</v>
      </c>
      <c r="AD126">
        <f t="shared" si="18"/>
        <v>1993.8271604938259</v>
      </c>
    </row>
    <row r="127" spans="6:30">
      <c r="F127"/>
      <c r="G127" s="358" t="s">
        <v>1312</v>
      </c>
      <c r="H127" s="358">
        <f>IF(K40=0,NA(),K40)</f>
        <v>13.2</v>
      </c>
      <c r="I127" s="358">
        <f>IF(I40=0,NA(),I40)</f>
        <v>12.241008758544901</v>
      </c>
      <c r="J127" s="358">
        <f>IF(J40=0,NA(),J40)</f>
        <v>0.41292251089036064</v>
      </c>
      <c r="K127" s="358">
        <f>IF(H40=0,NA(),H40)</f>
        <v>0.38514455751494053</v>
      </c>
      <c r="L127" s="291">
        <v>944.21</v>
      </c>
      <c r="M127" s="291">
        <v>802.14</v>
      </c>
      <c r="N127" s="642"/>
      <c r="O127" s="358"/>
      <c r="P127" s="358"/>
      <c r="Q127" s="358"/>
      <c r="R127" s="358"/>
      <c r="S127" s="358"/>
      <c r="T127" s="358"/>
      <c r="U127" s="358">
        <f t="shared" si="14"/>
        <v>-0.95899124145509873</v>
      </c>
      <c r="V127" s="358">
        <f t="shared" si="15"/>
        <v>-2.7777953375420106E-2</v>
      </c>
      <c r="W127" s="358">
        <f t="shared" si="16"/>
        <v>-142.07000000000005</v>
      </c>
      <c r="X127" s="655"/>
      <c r="Y127" s="655">
        <f t="shared" si="19"/>
        <v>0.48148148148148145</v>
      </c>
      <c r="Z127" s="655">
        <f t="shared" si="19"/>
        <v>0.48148148148148145</v>
      </c>
      <c r="AA127" s="2">
        <f t="shared" si="17"/>
        <v>11.555555555555545</v>
      </c>
      <c r="AB127" s="2">
        <f t="shared" si="17"/>
        <v>11.555555555555545</v>
      </c>
      <c r="AC127">
        <f t="shared" si="18"/>
        <v>2046.2962962962949</v>
      </c>
      <c r="AD127">
        <f t="shared" si="18"/>
        <v>2046.2962962962949</v>
      </c>
    </row>
    <row r="128" spans="6:30">
      <c r="F128"/>
      <c r="G128" s="358" t="s">
        <v>1312</v>
      </c>
      <c r="H128" s="358">
        <f>IF(K41=0,NA(),K41)</f>
        <v>14</v>
      </c>
      <c r="I128" s="358">
        <f>IF(I41=0,NA(),I41)</f>
        <v>13.9149875640869</v>
      </c>
      <c r="J128" s="358">
        <f>IF(J41=0,NA(),J41)</f>
        <v>0.45</v>
      </c>
      <c r="K128" s="358">
        <f>IF(H41=0,NA(),H41)</f>
        <v>0.41157524853162902</v>
      </c>
      <c r="L128" s="291">
        <v>1086.96</v>
      </c>
      <c r="M128" s="291">
        <v>774.87</v>
      </c>
      <c r="N128" s="642"/>
      <c r="O128" s="358"/>
      <c r="P128" s="358"/>
      <c r="Q128" s="358"/>
      <c r="R128" s="358"/>
      <c r="S128" s="358"/>
      <c r="T128" s="358"/>
      <c r="U128" s="358">
        <f t="shared" si="14"/>
        <v>-8.5012435913100148E-2</v>
      </c>
      <c r="V128" s="358">
        <f t="shared" si="15"/>
        <v>-3.8424751468370988E-2</v>
      </c>
      <c r="W128" s="358">
        <f t="shared" si="16"/>
        <v>-312.09000000000003</v>
      </c>
      <c r="X128" s="655"/>
      <c r="Y128" s="655">
        <f t="shared" si="19"/>
        <v>0.49382716049382713</v>
      </c>
      <c r="Z128" s="655">
        <f t="shared" si="19"/>
        <v>0.49382716049382713</v>
      </c>
      <c r="AA128" s="2">
        <f t="shared" si="17"/>
        <v>11.851851851851841</v>
      </c>
      <c r="AB128" s="2">
        <f t="shared" si="17"/>
        <v>11.851851851851841</v>
      </c>
      <c r="AC128">
        <f t="shared" si="18"/>
        <v>2098.765432098764</v>
      </c>
      <c r="AD128">
        <f t="shared" si="18"/>
        <v>2098.765432098764</v>
      </c>
    </row>
    <row r="129" spans="6:30">
      <c r="F129"/>
      <c r="G129" s="358" t="s">
        <v>1401</v>
      </c>
      <c r="H129" s="358">
        <f>IF(K42=0,NA(),K42)</f>
        <v>3.1</v>
      </c>
      <c r="I129" s="358">
        <f>IF(I42=0,NA(),I42)</f>
        <v>3.3631234169006299</v>
      </c>
      <c r="J129" s="358">
        <f>IF(J42=0,NA(),J42)</f>
        <v>0.13900000000000001</v>
      </c>
      <c r="K129" s="358">
        <f>IF(H42=0,NA(),H42)</f>
        <v>0.11365509998630099</v>
      </c>
      <c r="L129" s="291">
        <v>2308.17</v>
      </c>
      <c r="M129" s="291">
        <v>2227.41</v>
      </c>
      <c r="N129" s="2"/>
      <c r="O129" s="358"/>
      <c r="P129" s="358"/>
      <c r="Q129" s="358"/>
      <c r="R129" s="358"/>
      <c r="S129" s="358"/>
      <c r="T129" s="358"/>
      <c r="U129" s="358">
        <f t="shared" si="14"/>
        <v>0.26312341690062979</v>
      </c>
      <c r="V129" s="358">
        <f t="shared" si="15"/>
        <v>-2.5344900013699018E-2</v>
      </c>
      <c r="W129" s="358">
        <f t="shared" si="16"/>
        <v>-80.760000000000218</v>
      </c>
      <c r="X129" s="655"/>
      <c r="Y129" s="655">
        <f t="shared" si="19"/>
        <v>0.50617283950617287</v>
      </c>
      <c r="Z129" s="655">
        <f t="shared" si="19"/>
        <v>0.50617283950617287</v>
      </c>
      <c r="AA129" s="2">
        <f t="shared" si="17"/>
        <v>12.148148148148136</v>
      </c>
      <c r="AB129" s="2">
        <f t="shared" si="17"/>
        <v>12.148148148148136</v>
      </c>
      <c r="AC129">
        <f t="shared" si="18"/>
        <v>2151.2345679012333</v>
      </c>
      <c r="AD129">
        <f t="shared" si="18"/>
        <v>2151.2345679012333</v>
      </c>
    </row>
    <row r="130" spans="6:30">
      <c r="F130"/>
      <c r="G130" s="358" t="s">
        <v>1402</v>
      </c>
      <c r="H130" s="358">
        <f>IF(K43=0,NA(),K43)</f>
        <v>17.899999999999999</v>
      </c>
      <c r="I130" s="358">
        <f>IF(I43=0,NA(),I43)</f>
        <v>18.2246398925781</v>
      </c>
      <c r="J130" s="358">
        <f>IF(J43=0,NA(),J43)</f>
        <v>0.73199999999999998</v>
      </c>
      <c r="K130" s="358">
        <f>IF(H43=0,NA(),H43)</f>
        <v>0.69444430196134599</v>
      </c>
      <c r="L130" s="291">
        <v>2179.59</v>
      </c>
      <c r="M130" s="291">
        <v>1744.46</v>
      </c>
      <c r="N130" s="2"/>
      <c r="O130" s="358"/>
      <c r="P130" s="358"/>
      <c r="Q130" s="358"/>
      <c r="R130" s="358"/>
      <c r="S130" s="358"/>
      <c r="T130" s="358"/>
      <c r="U130" s="358">
        <f t="shared" si="14"/>
        <v>0.32463989257810155</v>
      </c>
      <c r="V130" s="358">
        <f t="shared" si="15"/>
        <v>-3.7555698038653995E-2</v>
      </c>
      <c r="W130" s="358">
        <f t="shared" si="16"/>
        <v>-435.13000000000011</v>
      </c>
      <c r="X130" s="655"/>
      <c r="Y130" s="655">
        <f t="shared" si="19"/>
        <v>0.5185185185185186</v>
      </c>
      <c r="Z130" s="655">
        <f t="shared" si="19"/>
        <v>0.5185185185185186</v>
      </c>
      <c r="AA130" s="2">
        <f t="shared" si="17"/>
        <v>12.444444444444432</v>
      </c>
      <c r="AB130" s="2">
        <f t="shared" si="17"/>
        <v>12.444444444444432</v>
      </c>
      <c r="AC130">
        <f t="shared" si="18"/>
        <v>2203.7037037037026</v>
      </c>
      <c r="AD130">
        <f t="shared" si="18"/>
        <v>2203.7037037037026</v>
      </c>
    </row>
    <row r="131" spans="6:30">
      <c r="F131"/>
      <c r="G131" s="358" t="s">
        <v>1402</v>
      </c>
      <c r="H131" s="358">
        <f>IF(K44=0,NA(),K44)</f>
        <v>16.8</v>
      </c>
      <c r="I131" s="358">
        <f>IF(I44=0,NA(),I44)</f>
        <v>16.29150390625</v>
      </c>
      <c r="J131" s="358">
        <f>IF(J44=0,NA(),J44)</f>
        <v>0.67389168269092037</v>
      </c>
      <c r="K131" s="358">
        <f>IF(H44=0,NA(),H44)</f>
        <v>0.56310853136793249</v>
      </c>
      <c r="L131" s="291">
        <v>9.69</v>
      </c>
      <c r="M131" s="291">
        <v>13.49</v>
      </c>
      <c r="N131" s="2"/>
      <c r="O131" s="358"/>
      <c r="P131" s="358"/>
      <c r="Q131" s="358"/>
      <c r="R131" s="358"/>
      <c r="S131" s="358"/>
      <c r="T131" s="358"/>
      <c r="U131" s="358">
        <f t="shared" si="14"/>
        <v>-0.50849609375000071</v>
      </c>
      <c r="V131" s="358">
        <f t="shared" si="15"/>
        <v>-0.11078315132298788</v>
      </c>
      <c r="W131" s="358">
        <f t="shared" si="16"/>
        <v>3.8000000000000007</v>
      </c>
      <c r="X131" s="655"/>
      <c r="Y131" s="655">
        <f t="shared" si="19"/>
        <v>0.53086419753086433</v>
      </c>
      <c r="Z131" s="655">
        <f t="shared" si="19"/>
        <v>0.53086419753086433</v>
      </c>
      <c r="AA131" s="2">
        <f t="shared" si="17"/>
        <v>12.740740740740728</v>
      </c>
      <c r="AB131" s="2">
        <f t="shared" si="17"/>
        <v>12.740740740740728</v>
      </c>
      <c r="AC131">
        <f t="shared" si="18"/>
        <v>2256.1728395061718</v>
      </c>
      <c r="AD131">
        <f t="shared" si="18"/>
        <v>2256.1728395061718</v>
      </c>
    </row>
    <row r="132" spans="6:30">
      <c r="F132"/>
      <c r="G132" s="358" t="s">
        <v>1407</v>
      </c>
      <c r="H132" s="358">
        <f>IF(K45=0,NA(),K45)</f>
        <v>4</v>
      </c>
      <c r="I132" s="358" t="e">
        <f>IF(I45=0,NA(),I45)</f>
        <v>#N/A</v>
      </c>
      <c r="J132" s="358">
        <f>IF(J45=0,NA(),J45)</f>
        <v>6.9289248805280035E-2</v>
      </c>
      <c r="K132" s="358" t="e">
        <f>IF(H45=0,NA(),H45)</f>
        <v>#N/A</v>
      </c>
      <c r="L132" s="291">
        <v>1.28</v>
      </c>
      <c r="M132" s="291">
        <v>2.4700000000000002</v>
      </c>
      <c r="N132" s="357"/>
      <c r="O132" s="358"/>
      <c r="P132" s="358"/>
      <c r="Q132" s="358"/>
      <c r="R132" s="358"/>
      <c r="S132" s="358"/>
      <c r="T132" s="358"/>
      <c r="U132" s="358" t="e">
        <f t="shared" si="14"/>
        <v>#N/A</v>
      </c>
      <c r="V132" s="358" t="e">
        <f t="shared" si="15"/>
        <v>#N/A</v>
      </c>
      <c r="W132" s="358">
        <f t="shared" si="16"/>
        <v>1.1900000000000002</v>
      </c>
      <c r="X132" s="655"/>
      <c r="Y132" s="655">
        <f t="shared" si="19"/>
        <v>0.54320987654321007</v>
      </c>
      <c r="Z132" s="655">
        <f t="shared" si="19"/>
        <v>0.54320987654321007</v>
      </c>
      <c r="AA132" s="2">
        <f t="shared" si="17"/>
        <v>13.037037037037024</v>
      </c>
      <c r="AB132" s="2">
        <f t="shared" si="17"/>
        <v>13.037037037037024</v>
      </c>
      <c r="AC132">
        <f t="shared" si="18"/>
        <v>2308.6419753086411</v>
      </c>
      <c r="AD132">
        <f t="shared" si="18"/>
        <v>2308.6419753086411</v>
      </c>
    </row>
    <row r="133" spans="6:30">
      <c r="F133"/>
      <c r="G133" s="358" t="s">
        <v>1409</v>
      </c>
      <c r="H133" s="358">
        <f>IF(K46=0,NA(),K46)</f>
        <v>11.8</v>
      </c>
      <c r="I133" s="358">
        <f>IF(I46=0,NA(),I46)</f>
        <v>12.9264621734619</v>
      </c>
      <c r="J133" s="358">
        <f>IF(J46=0,NA(),J46)</f>
        <v>0.629</v>
      </c>
      <c r="K133" s="358">
        <f>IF(H46=0,NA(),H46)</f>
        <v>0.61544881485006497</v>
      </c>
      <c r="L133" s="291">
        <v>0.63</v>
      </c>
      <c r="M133" s="291">
        <v>4.37</v>
      </c>
      <c r="N133"/>
      <c r="O133" s="358"/>
      <c r="P133" s="358"/>
      <c r="Q133" s="358"/>
      <c r="R133" s="358"/>
      <c r="S133" s="358"/>
      <c r="T133" s="358"/>
      <c r="U133" s="358">
        <f t="shared" si="14"/>
        <v>1.1264621734618991</v>
      </c>
      <c r="V133" s="358">
        <f t="shared" si="15"/>
        <v>-1.355118514993503E-2</v>
      </c>
      <c r="W133" s="358">
        <f t="shared" si="16"/>
        <v>3.74</v>
      </c>
      <c r="X133" s="655"/>
      <c r="Y133" s="655">
        <f t="shared" si="19"/>
        <v>0.5555555555555558</v>
      </c>
      <c r="Z133" s="655">
        <f t="shared" si="19"/>
        <v>0.5555555555555558</v>
      </c>
      <c r="AA133" s="2">
        <f t="shared" si="17"/>
        <v>13.33333333333332</v>
      </c>
      <c r="AB133" s="2">
        <f t="shared" si="17"/>
        <v>13.33333333333332</v>
      </c>
      <c r="AC133">
        <f t="shared" si="18"/>
        <v>2361.1111111111104</v>
      </c>
      <c r="AD133">
        <f t="shared" si="18"/>
        <v>2361.1111111111104</v>
      </c>
    </row>
    <row r="134" spans="6:30">
      <c r="F134"/>
      <c r="G134" s="358" t="s">
        <v>1409</v>
      </c>
      <c r="H134" s="358">
        <f>IF(K47=0,NA(),K47)</f>
        <v>11.7</v>
      </c>
      <c r="I134" s="358">
        <f>IF(I47=0,NA(),I47)</f>
        <v>12.026494026184</v>
      </c>
      <c r="J134" s="358">
        <f>IF(J47=0,NA(),J47)</f>
        <v>0.59404881954263655</v>
      </c>
      <c r="K134" s="358">
        <f>IF(H47=0,NA(),H47)</f>
        <v>0.54802051731561352</v>
      </c>
      <c r="L134" s="291">
        <v>15.7</v>
      </c>
      <c r="M134" s="291">
        <v>18.54</v>
      </c>
      <c r="N134"/>
      <c r="O134" s="358"/>
      <c r="P134" s="358"/>
      <c r="Q134" s="358"/>
      <c r="R134" s="358"/>
      <c r="S134" s="358"/>
      <c r="T134" s="358"/>
      <c r="U134" s="358">
        <f t="shared" si="14"/>
        <v>0.32649402618400103</v>
      </c>
      <c r="V134" s="358">
        <f t="shared" si="15"/>
        <v>-4.6028302227023032E-2</v>
      </c>
      <c r="W134" s="358">
        <f t="shared" si="16"/>
        <v>2.84</v>
      </c>
      <c r="X134" s="655"/>
      <c r="Y134" s="655">
        <f t="shared" si="19"/>
        <v>0.56790123456790154</v>
      </c>
      <c r="Z134" s="655">
        <f t="shared" si="19"/>
        <v>0.56790123456790154</v>
      </c>
      <c r="AA134" s="2">
        <f t="shared" si="17"/>
        <v>13.629629629629616</v>
      </c>
      <c r="AB134" s="2">
        <f t="shared" si="17"/>
        <v>13.629629629629616</v>
      </c>
      <c r="AC134">
        <f t="shared" si="18"/>
        <v>2413.5802469135797</v>
      </c>
      <c r="AD134">
        <f t="shared" si="18"/>
        <v>2413.5802469135797</v>
      </c>
    </row>
    <row r="135" spans="6:30">
      <c r="F135"/>
      <c r="G135" s="358" t="s">
        <v>1409</v>
      </c>
      <c r="H135" s="358">
        <f>IF(K48=0,NA(),K48)</f>
        <v>13.2</v>
      </c>
      <c r="I135" s="358">
        <f>IF(I48=0,NA(),I48)</f>
        <v>13.942717552185</v>
      </c>
      <c r="J135" s="358">
        <f>IF(J48=0,NA(),J48)</f>
        <v>0.61081257354445473</v>
      </c>
      <c r="K135" s="358">
        <f>IF(H48=0,NA(),H48)</f>
        <v>0.51702523988146742</v>
      </c>
      <c r="L135" s="291">
        <v>30.17</v>
      </c>
      <c r="M135" s="291">
        <v>65.31</v>
      </c>
      <c r="N135"/>
      <c r="O135" s="358"/>
      <c r="P135" s="358"/>
      <c r="Q135" s="358"/>
      <c r="R135" s="358"/>
      <c r="S135" s="358"/>
      <c r="T135" s="358"/>
      <c r="U135" s="358">
        <f t="shared" si="14"/>
        <v>0.74271755218500068</v>
      </c>
      <c r="V135" s="358">
        <f t="shared" si="15"/>
        <v>-9.3787333662987304E-2</v>
      </c>
      <c r="W135" s="358">
        <f t="shared" si="16"/>
        <v>35.14</v>
      </c>
      <c r="X135" s="655"/>
      <c r="Y135" s="655">
        <f t="shared" si="19"/>
        <v>0.58024691358024727</v>
      </c>
      <c r="Z135" s="655">
        <f t="shared" si="19"/>
        <v>0.58024691358024727</v>
      </c>
      <c r="AA135" s="2">
        <f t="shared" si="17"/>
        <v>13.925925925925911</v>
      </c>
      <c r="AB135" s="2">
        <f t="shared" si="17"/>
        <v>13.925925925925911</v>
      </c>
      <c r="AC135">
        <f t="shared" si="18"/>
        <v>2466.049382716049</v>
      </c>
      <c r="AD135">
        <f t="shared" si="18"/>
        <v>2466.049382716049</v>
      </c>
    </row>
    <row r="136" spans="6:30">
      <c r="F136"/>
      <c r="G136" s="358" t="s">
        <v>1409</v>
      </c>
      <c r="H136" s="358">
        <f>IF(K49=0,NA(),K49)</f>
        <v>14.1</v>
      </c>
      <c r="I136" s="358">
        <f>IF(I49=0,NA(),I49)</f>
        <v>14.3909034729003</v>
      </c>
      <c r="J136" s="358">
        <f>IF(J49=0,NA(),J49)</f>
        <v>0.83827740038724585</v>
      </c>
      <c r="K136" s="358">
        <f>IF(H49=0,NA(),H49)</f>
        <v>0.82021094865869382</v>
      </c>
      <c r="L136" s="291">
        <v>19.18</v>
      </c>
      <c r="M136" s="291">
        <v>17.36</v>
      </c>
      <c r="N136"/>
      <c r="O136" s="358"/>
      <c r="P136" s="358"/>
      <c r="Q136" s="358"/>
      <c r="R136" s="358"/>
      <c r="S136" s="358"/>
      <c r="T136" s="358"/>
      <c r="U136" s="358">
        <f t="shared" si="14"/>
        <v>0.29090347290030039</v>
      </c>
      <c r="V136" s="358">
        <f t="shared" si="15"/>
        <v>-1.8066451728552035E-2</v>
      </c>
      <c r="W136" s="358">
        <f t="shared" si="16"/>
        <v>-1.8200000000000003</v>
      </c>
      <c r="X136" s="655"/>
      <c r="Y136" s="655">
        <f t="shared" si="19"/>
        <v>0.592592592592593</v>
      </c>
      <c r="Z136" s="655">
        <f t="shared" si="19"/>
        <v>0.592592592592593</v>
      </c>
      <c r="AA136" s="2">
        <f t="shared" si="17"/>
        <v>14.222222222222207</v>
      </c>
      <c r="AB136" s="2">
        <f t="shared" si="17"/>
        <v>14.222222222222207</v>
      </c>
      <c r="AC136">
        <f t="shared" si="18"/>
        <v>2518.5185185185182</v>
      </c>
      <c r="AD136">
        <f t="shared" si="18"/>
        <v>2518.5185185185182</v>
      </c>
    </row>
    <row r="137" spans="6:30">
      <c r="F137"/>
      <c r="G137" s="358" t="s">
        <v>1409</v>
      </c>
      <c r="H137" s="358">
        <f>IF(K50=0,NA(),K50)</f>
        <v>13</v>
      </c>
      <c r="I137" s="358">
        <f>IF(I50=0,NA(),I50)</f>
        <v>13.256700515746999</v>
      </c>
      <c r="J137" s="358">
        <f>IF(J50=0,NA(),J50)</f>
        <v>0.836575160998699</v>
      </c>
      <c r="K137" s="358">
        <f>IF(H50=0,NA(),H50)</f>
        <v>0.75325191821260917</v>
      </c>
      <c r="L137" s="291">
        <v>65.62</v>
      </c>
      <c r="M137" s="291">
        <v>70.31</v>
      </c>
      <c r="N137"/>
      <c r="O137" s="358"/>
      <c r="P137" s="358"/>
      <c r="Q137" s="358"/>
      <c r="R137" s="358"/>
      <c r="S137" s="358"/>
      <c r="T137" s="358"/>
      <c r="U137" s="358">
        <f t="shared" si="14"/>
        <v>0.25670051574699926</v>
      </c>
      <c r="V137" s="358">
        <f t="shared" si="15"/>
        <v>-8.3323242786089824E-2</v>
      </c>
      <c r="W137" s="358">
        <f t="shared" si="16"/>
        <v>4.6899999999999977</v>
      </c>
      <c r="X137" s="655"/>
      <c r="Y137" s="655">
        <f t="shared" si="19"/>
        <v>0.60493827160493874</v>
      </c>
      <c r="Z137" s="655">
        <f t="shared" si="19"/>
        <v>0.60493827160493874</v>
      </c>
      <c r="AA137" s="2">
        <f t="shared" si="17"/>
        <v>14.518518518518503</v>
      </c>
      <c r="AB137" s="2">
        <f t="shared" si="17"/>
        <v>14.518518518518503</v>
      </c>
      <c r="AC137">
        <f t="shared" si="18"/>
        <v>2570.9876543209875</v>
      </c>
      <c r="AD137">
        <f t="shared" si="18"/>
        <v>2570.9876543209875</v>
      </c>
    </row>
    <row r="138" spans="6:30">
      <c r="F138"/>
      <c r="G138" s="358" t="s">
        <v>1413</v>
      </c>
      <c r="H138" s="358">
        <f>IF(K51=0,NA(),K51)</f>
        <v>3</v>
      </c>
      <c r="I138" s="358">
        <f>IF(I51=0,NA(),I51)</f>
        <v>3.3028759999999999</v>
      </c>
      <c r="J138" s="358">
        <f>IF(J51=0,NA(),J51)</f>
        <v>0.1</v>
      </c>
      <c r="K138" s="358">
        <f>IF(H51=0,NA(),H51)</f>
        <v>0.11525100000000001</v>
      </c>
      <c r="L138" s="291">
        <v>803.24</v>
      </c>
      <c r="M138" s="291">
        <v>724.14</v>
      </c>
      <c r="N138" s="2"/>
      <c r="O138" s="358"/>
      <c r="P138" s="358"/>
      <c r="Q138" s="358"/>
      <c r="R138" s="358"/>
      <c r="S138" s="358"/>
      <c r="T138" s="358"/>
      <c r="U138" s="358">
        <f t="shared" si="14"/>
        <v>0.30287599999999992</v>
      </c>
      <c r="V138" s="358">
        <f t="shared" si="15"/>
        <v>1.5251000000000001E-2</v>
      </c>
      <c r="W138" s="358">
        <f t="shared" si="16"/>
        <v>-79.100000000000023</v>
      </c>
      <c r="X138" s="655"/>
      <c r="Y138" s="655">
        <f t="shared" si="19"/>
        <v>0.61728395061728447</v>
      </c>
      <c r="Z138" s="655">
        <f t="shared" si="19"/>
        <v>0.61728395061728447</v>
      </c>
      <c r="AA138" s="2">
        <f t="shared" si="17"/>
        <v>14.814814814814799</v>
      </c>
      <c r="AB138" s="2">
        <f t="shared" si="17"/>
        <v>14.814814814814799</v>
      </c>
      <c r="AC138">
        <f t="shared" si="18"/>
        <v>2623.4567901234568</v>
      </c>
      <c r="AD138">
        <f t="shared" si="18"/>
        <v>2623.4567901234568</v>
      </c>
    </row>
    <row r="139" spans="6:30">
      <c r="F139"/>
      <c r="G139" s="358" t="s">
        <v>1413</v>
      </c>
      <c r="H139" s="358">
        <f>IF(K52=0,NA(),K52)</f>
        <v>2.5</v>
      </c>
      <c r="I139" s="358">
        <f>IF(I52=0,NA(),I52)</f>
        <v>2.458907</v>
      </c>
      <c r="J139" s="358">
        <f>IF(J52=0,NA(),J52)</f>
        <v>4.2000000000000003E-2</v>
      </c>
      <c r="K139" s="358">
        <f>IF(H52=0,NA(),H52)</f>
        <v>5.5622999999999999E-2</v>
      </c>
      <c r="L139" s="291">
        <v>30.38</v>
      </c>
      <c r="M139" s="291">
        <v>35.799999999999997</v>
      </c>
      <c r="N139" s="2"/>
      <c r="O139" s="358"/>
      <c r="P139" s="358"/>
      <c r="Q139" s="358"/>
      <c r="R139" s="358"/>
      <c r="S139" s="358"/>
      <c r="T139" s="358"/>
      <c r="U139" s="358">
        <f t="shared" si="14"/>
        <v>-4.1093000000000046E-2</v>
      </c>
      <c r="V139" s="358">
        <f t="shared" si="15"/>
        <v>1.3622999999999996E-2</v>
      </c>
      <c r="W139" s="358">
        <f t="shared" si="16"/>
        <v>5.4199999999999982</v>
      </c>
      <c r="X139" s="655"/>
      <c r="Y139" s="655">
        <f t="shared" si="19"/>
        <v>0.62962962962963021</v>
      </c>
      <c r="Z139" s="655">
        <f t="shared" si="19"/>
        <v>0.62962962962963021</v>
      </c>
      <c r="AA139" s="2">
        <f t="shared" si="17"/>
        <v>15.111111111111095</v>
      </c>
      <c r="AB139" s="2">
        <f t="shared" si="17"/>
        <v>15.111111111111095</v>
      </c>
      <c r="AC139">
        <f t="shared" si="18"/>
        <v>2675.9259259259261</v>
      </c>
      <c r="AD139">
        <f t="shared" si="18"/>
        <v>2675.9259259259261</v>
      </c>
    </row>
    <row r="140" spans="6:30">
      <c r="F140"/>
      <c r="G140" s="358" t="s">
        <v>1413</v>
      </c>
      <c r="H140" s="358">
        <f>IF(K53=0,NA(),K53)</f>
        <v>2.5</v>
      </c>
      <c r="I140" s="358">
        <f>IF(I53=0,NA(),I53)</f>
        <v>2.8698619999999999</v>
      </c>
      <c r="J140" s="358">
        <f>IF(J53=0,NA(),J53)</f>
        <v>3.1E-2</v>
      </c>
      <c r="K140" s="358">
        <f>IF(H53=0,NA(),H53)</f>
        <v>7.1114999999999998E-2</v>
      </c>
      <c r="L140" s="291">
        <v>31.72</v>
      </c>
      <c r="M140" s="291">
        <v>35.880000000000003</v>
      </c>
      <c r="N140" s="2"/>
      <c r="O140" s="358"/>
      <c r="P140" s="358"/>
      <c r="Q140" s="358"/>
      <c r="R140" s="358"/>
      <c r="S140" s="358"/>
      <c r="T140" s="358"/>
      <c r="U140" s="358">
        <f t="shared" si="14"/>
        <v>0.36986199999999991</v>
      </c>
      <c r="V140" s="358">
        <f t="shared" si="15"/>
        <v>4.0114999999999998E-2</v>
      </c>
      <c r="W140" s="358">
        <f t="shared" si="16"/>
        <v>4.1600000000000037</v>
      </c>
      <c r="X140" s="655"/>
      <c r="Y140" s="655">
        <f t="shared" si="19"/>
        <v>0.64197530864197594</v>
      </c>
      <c r="Z140" s="655">
        <f t="shared" si="19"/>
        <v>0.64197530864197594</v>
      </c>
      <c r="AA140" s="2">
        <f t="shared" si="17"/>
        <v>15.407407407407391</v>
      </c>
      <c r="AB140" s="2">
        <f t="shared" si="17"/>
        <v>15.407407407407391</v>
      </c>
      <c r="AC140">
        <f t="shared" si="18"/>
        <v>2728.3950617283954</v>
      </c>
      <c r="AD140">
        <f t="shared" si="18"/>
        <v>2728.3950617283954</v>
      </c>
    </row>
    <row r="141" spans="6:30">
      <c r="F141"/>
      <c r="G141" s="358" t="s">
        <v>1413</v>
      </c>
      <c r="H141" s="358">
        <f>IF(K54=0,NA(),K54)</f>
        <v>3.4</v>
      </c>
      <c r="I141" s="358">
        <f>IF(I54=0,NA(),I54)</f>
        <v>3.4712320000000001</v>
      </c>
      <c r="J141" s="358">
        <f>IF(J54=0,NA(),J54)</f>
        <v>0.123</v>
      </c>
      <c r="K141" s="358">
        <f>IF(H54=0,NA(),H54)</f>
        <v>0.13206499999999999</v>
      </c>
      <c r="L141" s="291">
        <v>603.27</v>
      </c>
      <c r="M141" s="291">
        <v>492.97</v>
      </c>
      <c r="N141" s="2"/>
      <c r="O141" s="358"/>
      <c r="P141" s="358"/>
      <c r="Q141" s="358"/>
      <c r="R141" s="358"/>
      <c r="S141" s="358"/>
      <c r="T141" s="358"/>
      <c r="U141" s="358">
        <f t="shared" si="14"/>
        <v>7.1232000000000184E-2</v>
      </c>
      <c r="V141" s="358">
        <f t="shared" si="15"/>
        <v>9.0649999999999897E-3</v>
      </c>
      <c r="W141" s="358">
        <f t="shared" si="16"/>
        <v>-110.29999999999995</v>
      </c>
      <c r="X141" s="655"/>
      <c r="Y141" s="655">
        <f t="shared" si="19"/>
        <v>0.65432098765432167</v>
      </c>
      <c r="Z141" s="655">
        <f t="shared" si="19"/>
        <v>0.65432098765432167</v>
      </c>
      <c r="AA141" s="2">
        <f t="shared" si="17"/>
        <v>15.703703703703686</v>
      </c>
      <c r="AB141" s="2">
        <f t="shared" si="17"/>
        <v>15.703703703703686</v>
      </c>
      <c r="AC141">
        <f t="shared" si="18"/>
        <v>2780.8641975308647</v>
      </c>
      <c r="AD141">
        <f t="shared" si="18"/>
        <v>2780.8641975308647</v>
      </c>
    </row>
    <row r="142" spans="6:30">
      <c r="F142"/>
      <c r="G142" s="358" t="s">
        <v>1435</v>
      </c>
      <c r="H142" s="358">
        <f>IF(K55=0,NA(),K55)</f>
        <v>3.1</v>
      </c>
      <c r="I142" s="358" t="e">
        <f>IF(I55=0,NA(),I55)</f>
        <v>#N/A</v>
      </c>
      <c r="J142" s="358" t="e">
        <f>IF(J55=0,NA(),J55)</f>
        <v>#N/A</v>
      </c>
      <c r="K142" s="358" t="e">
        <f>IF(H55=0,NA(),H55)</f>
        <v>#N/A</v>
      </c>
      <c r="L142" s="291">
        <v>743.11</v>
      </c>
      <c r="M142" s="291">
        <v>694.51</v>
      </c>
      <c r="N142" s="65"/>
      <c r="O142" s="358"/>
      <c r="P142" s="358"/>
      <c r="Q142" s="358"/>
      <c r="R142" s="358"/>
      <c r="S142" s="358"/>
      <c r="T142" s="358"/>
      <c r="U142" s="358" t="e">
        <f t="shared" si="14"/>
        <v>#N/A</v>
      </c>
      <c r="V142" s="358" t="e">
        <f t="shared" si="15"/>
        <v>#N/A</v>
      </c>
      <c r="W142" s="358">
        <f t="shared" si="16"/>
        <v>-48.600000000000023</v>
      </c>
      <c r="X142" s="655"/>
      <c r="Y142" s="655">
        <f t="shared" si="19"/>
        <v>0.66666666666666741</v>
      </c>
      <c r="Z142" s="655">
        <f t="shared" si="19"/>
        <v>0.66666666666666741</v>
      </c>
      <c r="AA142" s="2">
        <f t="shared" si="17"/>
        <v>15.999999999999982</v>
      </c>
      <c r="AB142" s="2">
        <f t="shared" si="17"/>
        <v>15.999999999999982</v>
      </c>
      <c r="AC142">
        <f t="shared" si="18"/>
        <v>2833.3333333333339</v>
      </c>
      <c r="AD142">
        <f t="shared" si="18"/>
        <v>2833.3333333333339</v>
      </c>
    </row>
    <row r="143" spans="6:30">
      <c r="F143"/>
      <c r="G143" s="358" t="s">
        <v>1438</v>
      </c>
      <c r="H143" s="358">
        <f>IF(K56=0,NA(),K56)</f>
        <v>4.0999999999999996</v>
      </c>
      <c r="I143" s="358">
        <f>IF(I56=0,NA(),I56)</f>
        <v>4.318683</v>
      </c>
      <c r="J143" s="358">
        <f>IF(J56=0,NA(),J56)</f>
        <v>0.10260116958397697</v>
      </c>
      <c r="K143" s="358">
        <f>IF(H56=0,NA(),H56)</f>
        <v>0.14129018866856963</v>
      </c>
      <c r="L143" s="291">
        <v>226.42</v>
      </c>
      <c r="M143" s="291">
        <v>249.54</v>
      </c>
      <c r="N143" s="2"/>
      <c r="O143" s="358"/>
      <c r="P143" s="358"/>
      <c r="Q143" s="358"/>
      <c r="R143" s="358"/>
      <c r="S143" s="358"/>
      <c r="T143" s="358"/>
      <c r="U143" s="358">
        <f t="shared" si="14"/>
        <v>0.2186830000000004</v>
      </c>
      <c r="V143" s="358">
        <f t="shared" si="15"/>
        <v>3.8689019084592657E-2</v>
      </c>
      <c r="W143" s="358">
        <f t="shared" si="16"/>
        <v>23.120000000000005</v>
      </c>
      <c r="X143" s="655"/>
      <c r="Y143" s="655">
        <f t="shared" si="19"/>
        <v>0.67901234567901314</v>
      </c>
      <c r="Z143" s="655">
        <f t="shared" si="19"/>
        <v>0.67901234567901314</v>
      </c>
      <c r="AA143" s="2">
        <f t="shared" si="17"/>
        <v>16.29629629629628</v>
      </c>
      <c r="AB143" s="2">
        <f t="shared" si="17"/>
        <v>16.29629629629628</v>
      </c>
      <c r="AC143">
        <f t="shared" si="18"/>
        <v>2885.8024691358032</v>
      </c>
      <c r="AD143">
        <f t="shared" si="18"/>
        <v>2885.8024691358032</v>
      </c>
    </row>
    <row r="144" spans="6:30">
      <c r="F144"/>
      <c r="G144" s="358" t="s">
        <v>1438</v>
      </c>
      <c r="H144" s="358">
        <f>IF(K57=0,NA(),K57)</f>
        <v>4.2</v>
      </c>
      <c r="I144" s="358">
        <f>IF(I57=0,NA(),I57)</f>
        <v>4.9751570000000003</v>
      </c>
      <c r="J144" s="358">
        <f>IF(J57=0,NA(),J57)</f>
        <v>4.2999999999999997E-2</v>
      </c>
      <c r="K144" s="358">
        <f>IF(H57=0,NA(),H57)</f>
        <v>5.3754999999999997E-2</v>
      </c>
      <c r="L144" s="291">
        <v>220.71</v>
      </c>
      <c r="M144" s="291">
        <v>219.46</v>
      </c>
      <c r="N144" s="641"/>
      <c r="O144" s="358"/>
      <c r="P144" s="358"/>
      <c r="Q144" s="358"/>
      <c r="R144" s="358"/>
      <c r="S144" s="358"/>
      <c r="T144" s="358"/>
      <c r="U144" s="358">
        <f t="shared" si="14"/>
        <v>0.7751570000000001</v>
      </c>
      <c r="V144" s="358">
        <f t="shared" si="15"/>
        <v>1.0755000000000001E-2</v>
      </c>
      <c r="W144" s="358">
        <f t="shared" si="16"/>
        <v>-1.25</v>
      </c>
      <c r="X144" s="655"/>
      <c r="Y144" s="655">
        <f t="shared" si="19"/>
        <v>0.69135802469135887</v>
      </c>
      <c r="Z144" s="655">
        <f t="shared" si="19"/>
        <v>0.69135802469135887</v>
      </c>
      <c r="AA144" s="2">
        <f t="shared" si="17"/>
        <v>16.592592592592577</v>
      </c>
      <c r="AB144" s="2">
        <f t="shared" si="17"/>
        <v>16.592592592592577</v>
      </c>
      <c r="AC144">
        <f t="shared" si="18"/>
        <v>2938.2716049382725</v>
      </c>
      <c r="AD144">
        <f t="shared" si="18"/>
        <v>2938.2716049382725</v>
      </c>
    </row>
    <row r="145" spans="6:30">
      <c r="F145"/>
      <c r="G145" s="358" t="s">
        <v>1413</v>
      </c>
      <c r="H145" s="358">
        <f>IF(K58=0,NA(),K58)</f>
        <v>3.4</v>
      </c>
      <c r="I145" s="358">
        <f>IF(I58=0,NA(),I58)</f>
        <v>3.181546</v>
      </c>
      <c r="J145" s="358">
        <f>IF(J58=0,NA(),J58)</f>
        <v>0.13400000000000001</v>
      </c>
      <c r="K145" s="358">
        <f>IF(H58=0,NA(),H58)</f>
        <v>0.128414</v>
      </c>
      <c r="L145" s="291">
        <v>270.19</v>
      </c>
      <c r="M145" s="291">
        <v>273.58</v>
      </c>
      <c r="N145" s="2"/>
      <c r="O145" s="358"/>
      <c r="P145" s="358"/>
      <c r="Q145" s="358"/>
      <c r="R145" s="358"/>
      <c r="S145" s="358"/>
      <c r="T145" s="358"/>
      <c r="U145" s="358">
        <f t="shared" si="14"/>
        <v>-0.21845399999999993</v>
      </c>
      <c r="V145" s="358">
        <f t="shared" si="15"/>
        <v>-5.5860000000000076E-3</v>
      </c>
      <c r="W145" s="358">
        <f t="shared" si="16"/>
        <v>3.3899999999999864</v>
      </c>
      <c r="X145" s="655"/>
      <c r="Y145" s="655">
        <f t="shared" si="19"/>
        <v>0.70370370370370461</v>
      </c>
      <c r="Z145" s="655">
        <f t="shared" si="19"/>
        <v>0.70370370370370461</v>
      </c>
      <c r="AA145" s="2">
        <f t="shared" si="17"/>
        <v>16.888888888888875</v>
      </c>
      <c r="AB145" s="2">
        <f t="shared" si="17"/>
        <v>16.888888888888875</v>
      </c>
      <c r="AC145">
        <f t="shared" si="18"/>
        <v>2990.7407407407418</v>
      </c>
      <c r="AD145">
        <f t="shared" si="18"/>
        <v>2990.7407407407418</v>
      </c>
    </row>
    <row r="146" spans="6:30">
      <c r="F146"/>
      <c r="G146" s="358" t="s">
        <v>1438</v>
      </c>
      <c r="H146" s="358">
        <f>IF(K59=0,NA(),K59)</f>
        <v>4.0999999999999996</v>
      </c>
      <c r="I146" s="358">
        <f>IF(I59=0,NA(),I59)</f>
        <v>4.3639279999999996</v>
      </c>
      <c r="J146" s="358">
        <f>IF(J59=0,NA(),J59)</f>
        <v>0.06</v>
      </c>
      <c r="K146" s="358">
        <f>IF(H59=0,NA(),H59)</f>
        <v>5.8106999999999999E-2</v>
      </c>
      <c r="L146" s="291">
        <v>2.12</v>
      </c>
      <c r="M146" s="291">
        <v>4.53</v>
      </c>
      <c r="N146" s="641"/>
      <c r="O146" s="358"/>
      <c r="P146" s="358"/>
      <c r="Q146" s="358"/>
      <c r="R146" s="358"/>
      <c r="S146" s="358"/>
      <c r="T146" s="358"/>
      <c r="U146" s="358">
        <f t="shared" si="14"/>
        <v>0.26392799999999994</v>
      </c>
      <c r="V146" s="358">
        <f t="shared" si="15"/>
        <v>-1.8929999999999989E-3</v>
      </c>
      <c r="W146" s="358">
        <f t="shared" si="16"/>
        <v>2.41</v>
      </c>
      <c r="X146" s="655"/>
      <c r="Y146" s="655">
        <f t="shared" si="19"/>
        <v>0.71604938271605034</v>
      </c>
      <c r="Z146" s="655">
        <f t="shared" si="19"/>
        <v>0.71604938271605034</v>
      </c>
      <c r="AA146" s="2">
        <f t="shared" si="17"/>
        <v>17.185185185185173</v>
      </c>
      <c r="AB146" s="2">
        <f t="shared" si="17"/>
        <v>17.185185185185173</v>
      </c>
      <c r="AC146">
        <f t="shared" si="18"/>
        <v>3043.2098765432111</v>
      </c>
      <c r="AD146">
        <f t="shared" si="18"/>
        <v>3043.2098765432111</v>
      </c>
    </row>
    <row r="147" spans="6:30">
      <c r="F147"/>
      <c r="G147" s="358" t="s">
        <v>1488</v>
      </c>
      <c r="H147" s="358">
        <f>IF(K60=0,NA(),K60)</f>
        <v>4</v>
      </c>
      <c r="I147" s="358">
        <f>IF(I60=0,NA(),I60)</f>
        <v>3.8706119999999999</v>
      </c>
      <c r="J147" s="358">
        <f>IF(J60=0,NA(),J60)</f>
        <v>4.5999999999999999E-2</v>
      </c>
      <c r="K147" s="358">
        <f>IF(H60=0,NA(),H60)</f>
        <v>5.2110999999999998E-2</v>
      </c>
      <c r="L147" s="291">
        <v>1.5</v>
      </c>
      <c r="M147" s="291">
        <v>1.8</v>
      </c>
      <c r="N147" s="641"/>
      <c r="O147" s="358"/>
      <c r="P147" s="358"/>
      <c r="Q147" s="358"/>
      <c r="R147" s="358"/>
      <c r="S147" s="358"/>
      <c r="T147" s="358"/>
      <c r="U147" s="358">
        <f t="shared" si="14"/>
        <v>-0.12938800000000006</v>
      </c>
      <c r="V147" s="358">
        <f t="shared" si="15"/>
        <v>6.1109999999999984E-3</v>
      </c>
      <c r="W147" s="358">
        <f t="shared" si="16"/>
        <v>0.30000000000000004</v>
      </c>
      <c r="X147" s="655"/>
      <c r="Y147" s="655">
        <f t="shared" si="19"/>
        <v>0.72839506172839608</v>
      </c>
      <c r="Z147" s="655">
        <f t="shared" si="19"/>
        <v>0.72839506172839608</v>
      </c>
      <c r="AA147" s="2">
        <f t="shared" si="17"/>
        <v>17.48148148148147</v>
      </c>
      <c r="AB147" s="2">
        <f t="shared" si="17"/>
        <v>17.48148148148147</v>
      </c>
      <c r="AC147">
        <f t="shared" si="18"/>
        <v>3095.6790123456803</v>
      </c>
      <c r="AD147">
        <f t="shared" si="18"/>
        <v>3095.6790123456803</v>
      </c>
    </row>
    <row r="148" spans="6:30">
      <c r="F148"/>
      <c r="G148" s="358" t="s">
        <v>1495</v>
      </c>
      <c r="H148" s="358">
        <f>IF(K61=0,NA(),K61)</f>
        <v>9.4</v>
      </c>
      <c r="I148" s="358">
        <f>IF(I61=0,NA(),I61)</f>
        <v>10.09027</v>
      </c>
      <c r="J148" s="358">
        <f>IF(J61=0,NA(),J61)</f>
        <v>0.746</v>
      </c>
      <c r="K148" s="358">
        <f>IF(H61=0,NA(),H61)</f>
        <v>0.72011899999999995</v>
      </c>
      <c r="L148" s="358"/>
      <c r="M148" s="358"/>
      <c r="N148" s="2"/>
      <c r="O148" s="358"/>
      <c r="P148" s="358"/>
      <c r="Q148" s="358"/>
      <c r="R148" s="358"/>
      <c r="S148" s="358"/>
      <c r="T148" s="358"/>
      <c r="U148" s="358">
        <f t="shared" si="14"/>
        <v>0.69026999999999994</v>
      </c>
      <c r="V148" s="358">
        <f t="shared" si="15"/>
        <v>-2.5881000000000043E-2</v>
      </c>
      <c r="W148" s="358"/>
      <c r="X148" s="655"/>
      <c r="Y148" s="655">
        <f t="shared" si="19"/>
        <v>0.74074074074074181</v>
      </c>
      <c r="Z148" s="655">
        <f t="shared" si="19"/>
        <v>0.74074074074074181</v>
      </c>
      <c r="AA148" s="2">
        <f t="shared" si="17"/>
        <v>17.777777777777768</v>
      </c>
      <c r="AB148" s="2">
        <f t="shared" si="17"/>
        <v>17.777777777777768</v>
      </c>
      <c r="AC148">
        <f t="shared" si="18"/>
        <v>3148.1481481481496</v>
      </c>
      <c r="AD148">
        <f t="shared" si="18"/>
        <v>3148.1481481481496</v>
      </c>
    </row>
    <row r="149" spans="6:30">
      <c r="F149"/>
      <c r="G149" s="358" t="s">
        <v>1435</v>
      </c>
      <c r="H149" s="358">
        <f>IF(K62=0,NA(),K62)</f>
        <v>4.3</v>
      </c>
      <c r="I149" s="358">
        <f>IF(I62=0,NA(),I62)</f>
        <v>4.3274192810058496</v>
      </c>
      <c r="J149" s="358" t="e">
        <f>IF(J62=0,NA(),J62)</f>
        <v>#N/A</v>
      </c>
      <c r="K149" s="358">
        <f>IF(H62=0,NA(),H62)</f>
        <v>7.26102747168033E-2</v>
      </c>
      <c r="L149" s="358"/>
      <c r="M149" s="358"/>
      <c r="N149" s="291"/>
      <c r="O149" s="65"/>
      <c r="P149" s="358"/>
      <c r="Q149" s="358"/>
      <c r="R149" s="358"/>
      <c r="S149" s="358"/>
      <c r="T149" s="358"/>
      <c r="U149" s="358">
        <f t="shared" si="14"/>
        <v>2.7419281005849783E-2</v>
      </c>
      <c r="V149" s="358" t="e">
        <f t="shared" si="15"/>
        <v>#N/A</v>
      </c>
      <c r="W149" s="358"/>
      <c r="X149" s="358"/>
      <c r="Y149" s="655">
        <f t="shared" si="19"/>
        <v>0.75308641975308754</v>
      </c>
      <c r="Z149" s="655">
        <f t="shared" si="19"/>
        <v>0.75308641975308754</v>
      </c>
      <c r="AA149" s="2">
        <f t="shared" si="17"/>
        <v>18.074074074074066</v>
      </c>
      <c r="AB149" s="2">
        <f t="shared" si="17"/>
        <v>18.074074074074066</v>
      </c>
      <c r="AC149">
        <f t="shared" si="18"/>
        <v>3200.6172839506189</v>
      </c>
      <c r="AD149">
        <f t="shared" si="18"/>
        <v>3200.6172839506189</v>
      </c>
    </row>
    <row r="150" spans="6:30">
      <c r="F150"/>
      <c r="G150" s="358" t="s">
        <v>1506</v>
      </c>
      <c r="H150" s="358">
        <f>IF(K63=0,NA(),K63)</f>
        <v>10.1</v>
      </c>
      <c r="I150" s="358">
        <f>IF(I63=0,NA(),I63)</f>
        <v>11.3087148666381</v>
      </c>
      <c r="J150" s="358">
        <f>IF(J63=0,NA(),J63)</f>
        <v>0.45873630769756996</v>
      </c>
      <c r="K150" s="358">
        <f>IF(H63=0,NA(),H63)</f>
        <v>0.40570165475602199</v>
      </c>
      <c r="L150" s="358"/>
      <c r="M150" s="358"/>
      <c r="N150" s="2"/>
      <c r="O150" s="358"/>
      <c r="P150" s="358"/>
      <c r="Q150" s="358"/>
      <c r="R150" s="358"/>
      <c r="S150" s="358"/>
      <c r="T150" s="358"/>
      <c r="U150" s="358"/>
      <c r="V150" s="358">
        <f t="shared" si="15"/>
        <v>-5.3034652941547966E-2</v>
      </c>
      <c r="W150" s="358"/>
      <c r="X150" s="655"/>
      <c r="Y150" s="655">
        <f t="shared" si="19"/>
        <v>0.76543209876543328</v>
      </c>
      <c r="Z150" s="655">
        <f t="shared" si="19"/>
        <v>0.76543209876543328</v>
      </c>
      <c r="AA150" s="2">
        <f t="shared" si="17"/>
        <v>18.370370370370363</v>
      </c>
      <c r="AB150" s="2">
        <f t="shared" si="17"/>
        <v>18.370370370370363</v>
      </c>
      <c r="AC150">
        <f t="shared" si="18"/>
        <v>3253.0864197530882</v>
      </c>
      <c r="AD150">
        <f t="shared" si="18"/>
        <v>3253.0864197530882</v>
      </c>
    </row>
    <row r="151" spans="6:30">
      <c r="F151"/>
      <c r="G151" s="358" t="s">
        <v>1438</v>
      </c>
      <c r="H151" s="358">
        <f>IF(K64=0,NA(),K64)</f>
        <v>4.4000000000000004</v>
      </c>
      <c r="I151" s="358">
        <f>IF(I64=0,NA(),I64)</f>
        <v>5.1155753135681099</v>
      </c>
      <c r="J151" s="358" t="e">
        <f>IF(J64=0,NA(),J64)</f>
        <v>#N/A</v>
      </c>
      <c r="K151" s="358">
        <f>IF(H64=0,NA(),H64)</f>
        <v>0.232445329431301</v>
      </c>
      <c r="L151" s="358"/>
      <c r="M151" s="358"/>
      <c r="N151" s="641"/>
      <c r="O151" s="358"/>
      <c r="P151" s="358"/>
      <c r="Q151" s="358"/>
      <c r="R151" s="358"/>
      <c r="S151" s="358"/>
      <c r="T151" s="358"/>
      <c r="U151" s="358">
        <f t="shared" ref="U151:U154" si="20">I151-H151</f>
        <v>0.71557531356810955</v>
      </c>
      <c r="V151" s="358" t="e">
        <f t="shared" si="15"/>
        <v>#N/A</v>
      </c>
      <c r="W151" s="358"/>
      <c r="X151" s="655"/>
      <c r="Y151" s="655">
        <f t="shared" si="19"/>
        <v>0.77777777777777901</v>
      </c>
      <c r="Z151" s="655">
        <f t="shared" si="19"/>
        <v>0.77777777777777901</v>
      </c>
      <c r="AA151" s="2">
        <f t="shared" si="17"/>
        <v>18.666666666666661</v>
      </c>
      <c r="AB151" s="2">
        <f t="shared" si="17"/>
        <v>18.666666666666661</v>
      </c>
      <c r="AC151">
        <f t="shared" si="18"/>
        <v>3305.5555555555575</v>
      </c>
      <c r="AD151">
        <f t="shared" si="18"/>
        <v>3305.5555555555575</v>
      </c>
    </row>
    <row r="152" spans="6:30">
      <c r="F152"/>
      <c r="G152" s="358" t="s">
        <v>1512</v>
      </c>
      <c r="H152" s="358">
        <f>IF(K65=0,NA(),K65)</f>
        <v>2.4</v>
      </c>
      <c r="I152" s="358">
        <f>IF(I65=0,NA(),I65)</f>
        <v>2.3333390000000001</v>
      </c>
      <c r="J152" s="358">
        <f>IF(J65=0,NA(),J65)</f>
        <v>6.3E-2</v>
      </c>
      <c r="K152" s="358">
        <f>IF(H65=0,NA(),H65)</f>
        <v>7.7751000000000001E-2</v>
      </c>
      <c r="L152" s="358"/>
      <c r="M152" s="358"/>
      <c r="N152" s="642"/>
      <c r="O152" s="358"/>
      <c r="P152" s="358"/>
      <c r="Q152" s="358"/>
      <c r="R152" s="358"/>
      <c r="S152" s="358"/>
      <c r="T152" s="358"/>
      <c r="U152" s="358">
        <f t="shared" si="20"/>
        <v>-6.6660999999999859E-2</v>
      </c>
      <c r="V152" s="358">
        <f t="shared" si="15"/>
        <v>1.4751E-2</v>
      </c>
      <c r="W152" s="358"/>
      <c r="X152" s="655"/>
      <c r="Y152" s="655">
        <f t="shared" si="19"/>
        <v>0.79012345679012475</v>
      </c>
      <c r="Z152" s="655">
        <f t="shared" si="19"/>
        <v>0.79012345679012475</v>
      </c>
      <c r="AA152" s="2">
        <f t="shared" si="17"/>
        <v>18.962962962962958</v>
      </c>
      <c r="AB152" s="2">
        <f t="shared" si="17"/>
        <v>18.962962962962958</v>
      </c>
      <c r="AC152">
        <f t="shared" si="18"/>
        <v>3358.0246913580268</v>
      </c>
      <c r="AD152">
        <f t="shared" si="18"/>
        <v>3358.0246913580268</v>
      </c>
    </row>
    <row r="153" spans="6:30">
      <c r="F153"/>
      <c r="G153" s="358" t="s">
        <v>1519</v>
      </c>
      <c r="H153" s="358">
        <f>IF(K66=0,NA(),K66)</f>
        <v>3.3</v>
      </c>
      <c r="I153" s="358">
        <f>IF(I66=0,NA(),I66)</f>
        <v>2.9577469999999999</v>
      </c>
      <c r="J153" s="358" t="e">
        <f>IF(J66=0,NA(),J66)</f>
        <v>#N/A</v>
      </c>
      <c r="K153" s="358">
        <f>IF(H66=0,NA(),H66)</f>
        <v>9.0177999999999994E-2</v>
      </c>
      <c r="L153" s="358"/>
      <c r="M153" s="358"/>
      <c r="N153" s="2"/>
      <c r="O153" s="358"/>
      <c r="P153" s="358"/>
      <c r="Q153" s="358"/>
      <c r="R153" s="358"/>
      <c r="S153" s="358"/>
      <c r="T153" s="358"/>
      <c r="U153" s="358">
        <f t="shared" si="20"/>
        <v>-0.34225299999999992</v>
      </c>
      <c r="V153" s="358" t="e">
        <f t="shared" si="15"/>
        <v>#N/A</v>
      </c>
      <c r="W153" s="358"/>
      <c r="X153" s="655"/>
      <c r="Y153" s="655">
        <f t="shared" si="19"/>
        <v>0.80246913580247048</v>
      </c>
      <c r="Z153" s="655">
        <f t="shared" si="19"/>
        <v>0.80246913580247048</v>
      </c>
      <c r="AA153" s="2">
        <f t="shared" si="17"/>
        <v>19.259259259259256</v>
      </c>
      <c r="AB153" s="2">
        <f t="shared" si="17"/>
        <v>19.259259259259256</v>
      </c>
      <c r="AC153">
        <f t="shared" si="18"/>
        <v>3410.493827160496</v>
      </c>
      <c r="AD153">
        <f t="shared" si="18"/>
        <v>3410.493827160496</v>
      </c>
    </row>
    <row r="154" spans="6:30">
      <c r="F154"/>
      <c r="G154" s="358" t="s">
        <v>1438</v>
      </c>
      <c r="H154" s="358">
        <f t="shared" ref="H154:H169" si="21">IF(K67=0,NA(),K67)</f>
        <v>3.1</v>
      </c>
      <c r="I154" s="358">
        <f t="shared" ref="I154:J169" si="22">IF(I67=0,NA(),I67)</f>
        <v>2.9521360397338801</v>
      </c>
      <c r="J154" s="358" t="e">
        <f t="shared" si="22"/>
        <v>#N/A</v>
      </c>
      <c r="K154" s="358">
        <f t="shared" ref="K154:K169" si="23">IF(H67=0,NA(),H67)</f>
        <v>5.4230102218448401E-2</v>
      </c>
      <c r="L154" s="358"/>
      <c r="M154" s="358"/>
      <c r="N154" s="641"/>
      <c r="O154" s="358"/>
      <c r="P154" s="358"/>
      <c r="Q154" s="358"/>
      <c r="R154" s="358"/>
      <c r="S154" s="358"/>
      <c r="T154" s="358"/>
      <c r="U154" s="358">
        <f t="shared" si="20"/>
        <v>-0.14786396026612003</v>
      </c>
      <c r="V154" s="358" t="e">
        <f t="shared" ref="V154:V169" si="24">K154-J154</f>
        <v>#N/A</v>
      </c>
      <c r="W154" s="358"/>
      <c r="X154" s="655"/>
      <c r="Y154" s="655">
        <f t="shared" si="19"/>
        <v>0.81481481481481621</v>
      </c>
      <c r="Z154" s="655">
        <f t="shared" si="19"/>
        <v>0.81481481481481621</v>
      </c>
      <c r="AA154" s="2">
        <f t="shared" si="17"/>
        <v>19.555555555555554</v>
      </c>
      <c r="AB154" s="2">
        <f t="shared" si="17"/>
        <v>19.555555555555554</v>
      </c>
      <c r="AC154">
        <f t="shared" si="18"/>
        <v>3462.9629629629653</v>
      </c>
      <c r="AD154">
        <f t="shared" si="18"/>
        <v>3462.9629629629653</v>
      </c>
    </row>
    <row r="155" spans="6:30">
      <c r="F155"/>
      <c r="G155" s="358" t="s">
        <v>1527</v>
      </c>
      <c r="H155" s="358">
        <f t="shared" si="21"/>
        <v>3.5</v>
      </c>
      <c r="I155" s="358">
        <f t="shared" si="22"/>
        <v>3.5228480000000002</v>
      </c>
      <c r="J155" s="358">
        <f t="shared" si="22"/>
        <v>0.14899999999999999</v>
      </c>
      <c r="K155" s="358">
        <f t="shared" si="23"/>
        <v>0.15962999999999999</v>
      </c>
      <c r="L155" s="358"/>
      <c r="M155" s="358"/>
      <c r="N155" s="642"/>
      <c r="O155" s="358"/>
      <c r="P155" s="358"/>
      <c r="Q155" s="358"/>
      <c r="R155" s="358"/>
      <c r="S155" s="358"/>
      <c r="T155" s="358"/>
      <c r="U155" s="358">
        <f t="shared" ref="U155:U169" si="25">I155-H155</f>
        <v>2.2848000000000201E-2</v>
      </c>
      <c r="V155" s="358">
        <f t="shared" si="24"/>
        <v>1.0630000000000001E-2</v>
      </c>
      <c r="W155" s="358"/>
      <c r="X155" s="655"/>
      <c r="Y155" s="655">
        <f t="shared" si="19"/>
        <v>0.82716049382716195</v>
      </c>
      <c r="Z155" s="655">
        <f t="shared" si="19"/>
        <v>0.82716049382716195</v>
      </c>
      <c r="AA155" s="2">
        <f t="shared" ref="AA155:AB169" si="26">AA154+$AA$89</f>
        <v>19.851851851851851</v>
      </c>
      <c r="AB155" s="2">
        <f t="shared" si="26"/>
        <v>19.851851851851851</v>
      </c>
      <c r="AC155">
        <f t="shared" ref="AC155:AD169" si="27">AC154+$AC$89</f>
        <v>3515.4320987654346</v>
      </c>
      <c r="AD155">
        <f t="shared" si="27"/>
        <v>3515.4320987654346</v>
      </c>
    </row>
    <row r="156" spans="6:30">
      <c r="F156"/>
      <c r="G156" s="358" t="s">
        <v>1435</v>
      </c>
      <c r="H156" s="358">
        <f t="shared" si="21"/>
        <v>3.1</v>
      </c>
      <c r="I156" s="358">
        <f t="shared" si="22"/>
        <v>3.0311982631683301</v>
      </c>
      <c r="J156" s="358" t="e">
        <f t="shared" si="22"/>
        <v>#N/A</v>
      </c>
      <c r="K156" s="358">
        <f t="shared" si="23"/>
        <v>9.7415755709861995E-2</v>
      </c>
      <c r="L156" s="358"/>
      <c r="M156" s="358"/>
      <c r="N156"/>
      <c r="O156" s="358"/>
      <c r="P156" s="358"/>
      <c r="Q156" s="358"/>
      <c r="R156" s="358"/>
      <c r="S156" s="358"/>
      <c r="T156" s="358"/>
      <c r="U156" s="358">
        <f t="shared" si="25"/>
        <v>-6.8801736831670013E-2</v>
      </c>
      <c r="V156" s="358" t="e">
        <f t="shared" si="24"/>
        <v>#N/A</v>
      </c>
      <c r="W156" s="358"/>
      <c r="X156" s="655"/>
      <c r="Y156" s="655">
        <f t="shared" si="19"/>
        <v>0.83950617283950768</v>
      </c>
      <c r="Z156" s="655">
        <f t="shared" si="19"/>
        <v>0.83950617283950768</v>
      </c>
      <c r="AA156" s="2">
        <f t="shared" si="26"/>
        <v>20.148148148148149</v>
      </c>
      <c r="AB156" s="2">
        <f t="shared" si="26"/>
        <v>20.148148148148149</v>
      </c>
      <c r="AC156">
        <f t="shared" si="27"/>
        <v>3567.9012345679039</v>
      </c>
      <c r="AD156">
        <f t="shared" si="27"/>
        <v>3567.9012345679039</v>
      </c>
    </row>
    <row r="157" spans="6:30">
      <c r="F157"/>
      <c r="G157" s="358" t="s">
        <v>1532</v>
      </c>
      <c r="H157" s="358">
        <f t="shared" si="21"/>
        <v>4.5999999999999996</v>
      </c>
      <c r="I157" s="358">
        <f t="shared" si="22"/>
        <v>5.3603625297546298</v>
      </c>
      <c r="J157" s="358">
        <f t="shared" si="22"/>
        <v>9.8000000000000004E-2</v>
      </c>
      <c r="K157" s="358">
        <f t="shared" si="23"/>
        <v>9.91045572118541E-2</v>
      </c>
      <c r="L157" s="358"/>
      <c r="M157" s="358"/>
      <c r="N157" s="357"/>
      <c r="O157" s="358"/>
      <c r="P157" s="358"/>
      <c r="Q157" s="358"/>
      <c r="R157" s="358"/>
      <c r="S157" s="358"/>
      <c r="T157" s="358"/>
      <c r="U157" s="358">
        <f t="shared" si="25"/>
        <v>0.76036252975463015</v>
      </c>
      <c r="V157" s="358">
        <f t="shared" si="24"/>
        <v>1.1045572118540958E-3</v>
      </c>
      <c r="W157" s="358"/>
      <c r="X157" s="655"/>
      <c r="Y157" s="655">
        <f t="shared" ref="Y157:Z169" si="28">Y156+$Y$89</f>
        <v>0.85185185185185341</v>
      </c>
      <c r="Z157" s="655">
        <f t="shared" si="28"/>
        <v>0.85185185185185341</v>
      </c>
      <c r="AA157" s="2">
        <f t="shared" si="26"/>
        <v>20.444444444444446</v>
      </c>
      <c r="AB157" s="2">
        <f t="shared" si="26"/>
        <v>20.444444444444446</v>
      </c>
      <c r="AC157">
        <f t="shared" si="27"/>
        <v>3620.3703703703732</v>
      </c>
      <c r="AD157">
        <f t="shared" si="27"/>
        <v>3620.3703703703732</v>
      </c>
    </row>
    <row r="158" spans="6:30">
      <c r="F158"/>
      <c r="G158" s="358" t="s">
        <v>1534</v>
      </c>
      <c r="H158" s="358">
        <f t="shared" si="21"/>
        <v>10</v>
      </c>
      <c r="I158" s="358">
        <f t="shared" si="22"/>
        <v>10.509901046752899</v>
      </c>
      <c r="J158" s="358">
        <f t="shared" si="22"/>
        <v>0.34200000000000003</v>
      </c>
      <c r="K158" s="358">
        <f t="shared" si="23"/>
        <v>0.31484960302383502</v>
      </c>
      <c r="L158" s="358"/>
      <c r="M158" s="358"/>
      <c r="N158" s="650"/>
      <c r="O158" s="358"/>
      <c r="P158" s="358"/>
      <c r="Q158" s="358"/>
      <c r="R158" s="358"/>
      <c r="S158" s="358"/>
      <c r="T158" s="358"/>
      <c r="U158" s="358">
        <f t="shared" si="25"/>
        <v>0.50990104675289949</v>
      </c>
      <c r="V158" s="358">
        <f t="shared" si="24"/>
        <v>-2.7150396976165003E-2</v>
      </c>
      <c r="W158" s="358"/>
      <c r="X158" s="655"/>
      <c r="Y158" s="655">
        <f t="shared" si="28"/>
        <v>0.86419753086419915</v>
      </c>
      <c r="Z158" s="655">
        <f t="shared" si="28"/>
        <v>0.86419753086419915</v>
      </c>
      <c r="AA158" s="2">
        <f t="shared" si="26"/>
        <v>20.740740740740744</v>
      </c>
      <c r="AB158" s="2">
        <f t="shared" si="26"/>
        <v>20.740740740740744</v>
      </c>
      <c r="AC158">
        <f t="shared" si="27"/>
        <v>3672.8395061728424</v>
      </c>
      <c r="AD158">
        <f t="shared" si="27"/>
        <v>3672.8395061728424</v>
      </c>
    </row>
    <row r="159" spans="6:30">
      <c r="F159"/>
      <c r="G159" s="358" t="s">
        <v>1536</v>
      </c>
      <c r="H159" s="358">
        <f t="shared" si="21"/>
        <v>9.9</v>
      </c>
      <c r="I159" s="358">
        <f t="shared" si="22"/>
        <v>10.4095745086669</v>
      </c>
      <c r="J159" s="358">
        <f t="shared" si="22"/>
        <v>0.38700000000000001</v>
      </c>
      <c r="K159" s="358">
        <f t="shared" si="23"/>
        <v>0.376305840101119</v>
      </c>
      <c r="L159" s="358"/>
      <c r="M159" s="358"/>
      <c r="N159" s="650"/>
      <c r="O159" s="358"/>
      <c r="P159" s="358"/>
      <c r="Q159" s="358"/>
      <c r="R159" s="358"/>
      <c r="S159" s="358"/>
      <c r="T159" s="358"/>
      <c r="U159" s="358">
        <f t="shared" si="25"/>
        <v>0.50957450866689946</v>
      </c>
      <c r="V159" s="358">
        <f t="shared" si="24"/>
        <v>-1.0694159898881006E-2</v>
      </c>
      <c r="W159" s="358"/>
      <c r="X159" s="655"/>
      <c r="Y159" s="655">
        <f t="shared" si="28"/>
        <v>0.87654320987654488</v>
      </c>
      <c r="Z159" s="655">
        <f t="shared" si="28"/>
        <v>0.87654320987654488</v>
      </c>
      <c r="AA159" s="2">
        <f t="shared" si="26"/>
        <v>21.037037037037042</v>
      </c>
      <c r="AB159" s="2">
        <f t="shared" si="26"/>
        <v>21.037037037037042</v>
      </c>
      <c r="AC159">
        <f t="shared" si="27"/>
        <v>3725.3086419753117</v>
      </c>
      <c r="AD159">
        <f t="shared" si="27"/>
        <v>3725.3086419753117</v>
      </c>
    </row>
    <row r="160" spans="6:30">
      <c r="F160"/>
      <c r="G160" s="358" t="s">
        <v>1538</v>
      </c>
      <c r="H160" s="358">
        <f t="shared" si="21"/>
        <v>3.2</v>
      </c>
      <c r="I160" s="358">
        <f t="shared" si="22"/>
        <v>4.0904731750488201</v>
      </c>
      <c r="J160" s="358">
        <f t="shared" si="22"/>
        <v>0.2106418761785035</v>
      </c>
      <c r="K160" s="358">
        <f t="shared" si="23"/>
        <v>0.24117363308149423</v>
      </c>
      <c r="L160" s="358"/>
      <c r="M160" s="358"/>
      <c r="N160" s="2"/>
      <c r="O160" s="358"/>
      <c r="P160" s="358"/>
      <c r="Q160" s="358"/>
      <c r="R160" s="358"/>
      <c r="S160" s="358"/>
      <c r="T160" s="358"/>
      <c r="U160" s="358">
        <f t="shared" si="25"/>
        <v>0.89047317504881995</v>
      </c>
      <c r="V160" s="358">
        <f t="shared" si="24"/>
        <v>3.0531756902990731E-2</v>
      </c>
      <c r="W160" s="358"/>
      <c r="X160" s="655"/>
      <c r="Y160" s="655">
        <f t="shared" si="28"/>
        <v>0.88888888888889062</v>
      </c>
      <c r="Z160" s="655">
        <f t="shared" si="28"/>
        <v>0.88888888888889062</v>
      </c>
      <c r="AA160" s="2">
        <f t="shared" si="26"/>
        <v>21.333333333333339</v>
      </c>
      <c r="AB160" s="2">
        <f t="shared" si="26"/>
        <v>21.333333333333339</v>
      </c>
      <c r="AC160">
        <f t="shared" si="27"/>
        <v>3777.777777777781</v>
      </c>
      <c r="AD160">
        <f t="shared" si="27"/>
        <v>3777.777777777781</v>
      </c>
    </row>
    <row r="161" spans="6:30">
      <c r="F161"/>
      <c r="G161" s="358" t="s">
        <v>1541</v>
      </c>
      <c r="H161" s="358">
        <f t="shared" si="21"/>
        <v>6.1</v>
      </c>
      <c r="I161" s="358">
        <f t="shared" si="22"/>
        <v>6.2746605873107901</v>
      </c>
      <c r="J161" s="358" t="e">
        <f t="shared" si="22"/>
        <v>#N/A</v>
      </c>
      <c r="K161" s="358">
        <f t="shared" si="23"/>
        <v>5.6307791381785002E-2</v>
      </c>
      <c r="L161" s="358"/>
      <c r="M161" s="358"/>
      <c r="N161" s="641"/>
      <c r="O161" s="358"/>
      <c r="P161" s="358"/>
      <c r="Q161" s="358"/>
      <c r="R161" s="358"/>
      <c r="S161" s="358"/>
      <c r="T161" s="358"/>
      <c r="U161" s="358">
        <f t="shared" si="25"/>
        <v>0.17466058731079048</v>
      </c>
      <c r="V161" s="358" t="e">
        <f t="shared" si="24"/>
        <v>#N/A</v>
      </c>
      <c r="W161" s="358"/>
      <c r="X161" s="655"/>
      <c r="Y161" s="655">
        <f t="shared" si="28"/>
        <v>0.90123456790123635</v>
      </c>
      <c r="Z161" s="655">
        <f t="shared" si="28"/>
        <v>0.90123456790123635</v>
      </c>
      <c r="AA161" s="2">
        <f t="shared" si="26"/>
        <v>21.629629629629637</v>
      </c>
      <c r="AB161" s="2">
        <f t="shared" si="26"/>
        <v>21.629629629629637</v>
      </c>
      <c r="AC161">
        <f t="shared" si="27"/>
        <v>3830.2469135802503</v>
      </c>
      <c r="AD161">
        <f t="shared" si="27"/>
        <v>3830.2469135802503</v>
      </c>
    </row>
    <row r="162" spans="6:30">
      <c r="F162"/>
      <c r="G162" s="358" t="s">
        <v>1538</v>
      </c>
      <c r="H162" s="358">
        <f t="shared" si="21"/>
        <v>3</v>
      </c>
      <c r="I162" s="358">
        <f t="shared" si="22"/>
        <v>2.9571454524993799</v>
      </c>
      <c r="J162" s="358">
        <f t="shared" si="22"/>
        <v>0.16136604351597644</v>
      </c>
      <c r="K162" s="358">
        <f t="shared" si="23"/>
        <v>0.14718126570193071</v>
      </c>
      <c r="L162" s="358"/>
      <c r="M162" s="358"/>
      <c r="N162" s="2"/>
      <c r="O162" s="358"/>
      <c r="P162" s="358"/>
      <c r="Q162" s="358"/>
      <c r="R162" s="358"/>
      <c r="S162" s="358"/>
      <c r="T162" s="358"/>
      <c r="U162" s="358">
        <f t="shared" si="25"/>
        <v>-4.2854547500620122E-2</v>
      </c>
      <c r="V162" s="358">
        <f t="shared" si="24"/>
        <v>-1.4184777814045729E-2</v>
      </c>
      <c r="W162" s="358"/>
      <c r="X162" s="655"/>
      <c r="Y162" s="655">
        <f t="shared" si="28"/>
        <v>0.91358024691358208</v>
      </c>
      <c r="Z162" s="655">
        <f t="shared" si="28"/>
        <v>0.91358024691358208</v>
      </c>
      <c r="AA162" s="2">
        <f t="shared" si="26"/>
        <v>21.925925925925934</v>
      </c>
      <c r="AB162" s="2">
        <f t="shared" si="26"/>
        <v>21.925925925925934</v>
      </c>
      <c r="AC162">
        <f t="shared" si="27"/>
        <v>3882.7160493827196</v>
      </c>
      <c r="AD162">
        <f t="shared" si="27"/>
        <v>3882.7160493827196</v>
      </c>
    </row>
    <row r="163" spans="6:30">
      <c r="F163"/>
      <c r="G163" s="358" t="s">
        <v>1538</v>
      </c>
      <c r="H163" s="358">
        <f t="shared" si="21"/>
        <v>5</v>
      </c>
      <c r="I163" s="358">
        <f t="shared" si="22"/>
        <v>5.1600165367126403</v>
      </c>
      <c r="J163" s="358">
        <f t="shared" si="22"/>
        <v>0.38286159379075885</v>
      </c>
      <c r="K163" s="358">
        <f t="shared" si="23"/>
        <v>0.31015289365180687</v>
      </c>
      <c r="L163" s="358"/>
      <c r="M163" s="358"/>
      <c r="N163" s="2"/>
      <c r="O163" s="358"/>
      <c r="P163" s="358"/>
      <c r="Q163" s="358"/>
      <c r="R163" s="358"/>
      <c r="S163" s="358"/>
      <c r="T163" s="358"/>
      <c r="U163" s="358">
        <f t="shared" si="25"/>
        <v>0.16001653671264027</v>
      </c>
      <c r="V163" s="358">
        <f t="shared" si="24"/>
        <v>-7.2708700138951976E-2</v>
      </c>
      <c r="W163" s="358"/>
      <c r="X163" s="655"/>
      <c r="Y163" s="655">
        <f t="shared" si="28"/>
        <v>0.92592592592592782</v>
      </c>
      <c r="Z163" s="655">
        <f t="shared" si="28"/>
        <v>0.92592592592592782</v>
      </c>
      <c r="AA163" s="2">
        <f t="shared" si="26"/>
        <v>22.222222222222232</v>
      </c>
      <c r="AB163" s="2">
        <f t="shared" si="26"/>
        <v>22.222222222222232</v>
      </c>
      <c r="AC163">
        <f t="shared" si="27"/>
        <v>3935.1851851851889</v>
      </c>
      <c r="AD163">
        <f t="shared" si="27"/>
        <v>3935.1851851851889</v>
      </c>
    </row>
    <row r="164" spans="6:30">
      <c r="F164"/>
      <c r="G164" s="358" t="s">
        <v>1543</v>
      </c>
      <c r="H164" s="358">
        <f t="shared" si="21"/>
        <v>2.6</v>
      </c>
      <c r="I164" s="358">
        <f t="shared" si="22"/>
        <v>2.4823970794677699</v>
      </c>
      <c r="J164" s="358">
        <f t="shared" si="22"/>
        <v>0.04</v>
      </c>
      <c r="K164" s="358">
        <f t="shared" si="23"/>
        <v>5.3779423694049797E-2</v>
      </c>
      <c r="L164" s="358"/>
      <c r="M164" s="358"/>
      <c r="N164" s="2"/>
      <c r="O164" s="358"/>
      <c r="P164" s="358"/>
      <c r="Q164" s="358"/>
      <c r="R164" s="358"/>
      <c r="S164" s="358"/>
      <c r="T164" s="358"/>
      <c r="U164" s="358">
        <f t="shared" si="25"/>
        <v>-0.1176029205322302</v>
      </c>
      <c r="V164" s="358">
        <f t="shared" si="24"/>
        <v>1.3779423694049796E-2</v>
      </c>
      <c r="W164" s="358"/>
      <c r="X164" s="655"/>
      <c r="Y164" s="655">
        <f t="shared" si="28"/>
        <v>0.93827160493827355</v>
      </c>
      <c r="Z164" s="655">
        <f t="shared" si="28"/>
        <v>0.93827160493827355</v>
      </c>
      <c r="AA164" s="2">
        <f t="shared" si="26"/>
        <v>22.51851851851853</v>
      </c>
      <c r="AB164" s="2">
        <f t="shared" si="26"/>
        <v>22.51851851851853</v>
      </c>
      <c r="AC164">
        <f t="shared" si="27"/>
        <v>3987.6543209876581</v>
      </c>
      <c r="AD164">
        <f t="shared" si="27"/>
        <v>3987.6543209876581</v>
      </c>
    </row>
    <row r="165" spans="6:30">
      <c r="F165"/>
      <c r="G165" s="358" t="s">
        <v>1546</v>
      </c>
      <c r="H165" s="358">
        <f t="shared" si="21"/>
        <v>4.8</v>
      </c>
      <c r="I165" s="358">
        <f t="shared" si="22"/>
        <v>5.3009014129638601</v>
      </c>
      <c r="J165" s="358" t="e">
        <f t="shared" si="22"/>
        <v>#N/A</v>
      </c>
      <c r="K165" s="358">
        <f t="shared" si="23"/>
        <v>0.13472003303803801</v>
      </c>
      <c r="L165" s="358"/>
      <c r="M165" s="358"/>
      <c r="N165" s="360"/>
      <c r="O165" s="358"/>
      <c r="P165" s="358"/>
      <c r="Q165" s="358"/>
      <c r="R165" s="358"/>
      <c r="S165" s="358"/>
      <c r="T165" s="358"/>
      <c r="U165" s="358">
        <f t="shared" si="25"/>
        <v>0.50090141296386026</v>
      </c>
      <c r="V165" s="358" t="e">
        <f t="shared" si="24"/>
        <v>#N/A</v>
      </c>
      <c r="W165" s="358"/>
      <c r="X165" s="655"/>
      <c r="Y165" s="655">
        <f t="shared" si="28"/>
        <v>0.95061728395061929</v>
      </c>
      <c r="Z165" s="655">
        <f t="shared" si="28"/>
        <v>0.95061728395061929</v>
      </c>
      <c r="AA165" s="2">
        <f t="shared" si="26"/>
        <v>22.814814814814827</v>
      </c>
      <c r="AB165" s="2">
        <f t="shared" si="26"/>
        <v>22.814814814814827</v>
      </c>
      <c r="AC165">
        <f t="shared" si="27"/>
        <v>4040.1234567901274</v>
      </c>
      <c r="AD165">
        <f t="shared" si="27"/>
        <v>4040.1234567901274</v>
      </c>
    </row>
    <row r="166" spans="6:30">
      <c r="F166"/>
      <c r="G166" s="358" t="s">
        <v>1546</v>
      </c>
      <c r="H166" s="358">
        <f t="shared" si="21"/>
        <v>4.0999999999999996</v>
      </c>
      <c r="I166" s="358">
        <f t="shared" si="22"/>
        <v>4.1654396057128897</v>
      </c>
      <c r="J166" s="358">
        <f t="shared" si="22"/>
        <v>0.17699999999999999</v>
      </c>
      <c r="K166" s="358">
        <f t="shared" si="23"/>
        <v>0.14835543995387299</v>
      </c>
      <c r="N166" s="360"/>
      <c r="O166" s="358"/>
      <c r="P166" s="358"/>
      <c r="Q166" s="358"/>
      <c r="R166" s="358"/>
      <c r="S166" s="358"/>
      <c r="T166" s="358"/>
      <c r="U166" s="358">
        <f t="shared" si="25"/>
        <v>6.5439605712890092E-2</v>
      </c>
      <c r="V166" s="358">
        <f t="shared" si="24"/>
        <v>-2.8644560046127004E-2</v>
      </c>
      <c r="W166" s="358"/>
      <c r="X166" s="655"/>
      <c r="Y166" s="655">
        <f t="shared" si="28"/>
        <v>0.96296296296296502</v>
      </c>
      <c r="Z166" s="655">
        <f t="shared" si="28"/>
        <v>0.96296296296296502</v>
      </c>
      <c r="AA166" s="2">
        <f t="shared" si="26"/>
        <v>23.111111111111125</v>
      </c>
      <c r="AB166" s="2">
        <f t="shared" si="26"/>
        <v>23.111111111111125</v>
      </c>
      <c r="AC166">
        <f t="shared" si="27"/>
        <v>4092.5925925925967</v>
      </c>
      <c r="AD166">
        <f t="shared" si="27"/>
        <v>4092.5925925925967</v>
      </c>
    </row>
    <row r="167" spans="6:30">
      <c r="F167"/>
      <c r="G167" s="358" t="s">
        <v>1546</v>
      </c>
      <c r="H167" s="358" t="e">
        <f t="shared" si="21"/>
        <v>#N/A</v>
      </c>
      <c r="I167" s="358" t="e">
        <f t="shared" si="22"/>
        <v>#N/A</v>
      </c>
      <c r="J167" s="358" t="e">
        <f t="shared" si="22"/>
        <v>#N/A</v>
      </c>
      <c r="K167" s="358" t="e">
        <f t="shared" si="23"/>
        <v>#N/A</v>
      </c>
      <c r="N167" s="360"/>
      <c r="O167" s="358"/>
      <c r="P167" s="358"/>
      <c r="Q167" s="358"/>
      <c r="R167" s="358"/>
      <c r="S167" s="358"/>
      <c r="T167" s="358"/>
      <c r="U167" s="358" t="e">
        <f t="shared" si="25"/>
        <v>#N/A</v>
      </c>
      <c r="V167" s="358" t="e">
        <f t="shared" si="24"/>
        <v>#N/A</v>
      </c>
      <c r="W167" s="358"/>
      <c r="X167" s="655"/>
      <c r="Y167" s="655">
        <f t="shared" si="28"/>
        <v>0.97530864197531075</v>
      </c>
      <c r="Z167" s="655">
        <f t="shared" si="28"/>
        <v>0.97530864197531075</v>
      </c>
      <c r="AA167" s="2">
        <f t="shared" si="26"/>
        <v>23.407407407407423</v>
      </c>
      <c r="AB167" s="2">
        <f t="shared" si="26"/>
        <v>23.407407407407423</v>
      </c>
      <c r="AC167">
        <f t="shared" si="27"/>
        <v>4145.061728395066</v>
      </c>
      <c r="AD167">
        <f t="shared" si="27"/>
        <v>4145.061728395066</v>
      </c>
    </row>
    <row r="168" spans="6:30">
      <c r="F168"/>
      <c r="G168" s="358" t="s">
        <v>1067</v>
      </c>
      <c r="H168" s="358">
        <f t="shared" si="21"/>
        <v>2.9</v>
      </c>
      <c r="I168" s="358">
        <f t="shared" si="22"/>
        <v>3.0357577800750701</v>
      </c>
      <c r="J168" s="358" t="e">
        <f t="shared" si="22"/>
        <v>#N/A</v>
      </c>
      <c r="K168" s="358">
        <f t="shared" si="23"/>
        <v>5.82884209744551E-2</v>
      </c>
      <c r="N168" s="360"/>
      <c r="O168" s="358"/>
      <c r="P168" s="358"/>
      <c r="Q168" s="358"/>
      <c r="R168" s="358"/>
      <c r="S168" s="358"/>
      <c r="T168" s="358"/>
      <c r="U168" s="358">
        <f t="shared" si="25"/>
        <v>0.13575778007507022</v>
      </c>
      <c r="V168" s="358" t="e">
        <f t="shared" si="24"/>
        <v>#N/A</v>
      </c>
      <c r="W168" s="358"/>
      <c r="X168" s="655"/>
      <c r="Y168" s="655">
        <f t="shared" si="28"/>
        <v>0.98765432098765649</v>
      </c>
      <c r="Z168" s="655">
        <f t="shared" si="28"/>
        <v>0.98765432098765649</v>
      </c>
      <c r="AA168" s="2">
        <f t="shared" si="26"/>
        <v>23.70370370370372</v>
      </c>
      <c r="AB168" s="2">
        <f t="shared" si="26"/>
        <v>23.70370370370372</v>
      </c>
      <c r="AC168">
        <f t="shared" si="27"/>
        <v>4197.5308641975353</v>
      </c>
      <c r="AD168">
        <f t="shared" si="27"/>
        <v>4197.5308641975353</v>
      </c>
    </row>
    <row r="169" spans="6:30">
      <c r="F169"/>
      <c r="G169" s="358" t="s">
        <v>1393</v>
      </c>
      <c r="H169" s="358">
        <f t="shared" si="21"/>
        <v>2.9</v>
      </c>
      <c r="I169" s="358">
        <f t="shared" si="22"/>
        <v>3.0467600822448699</v>
      </c>
      <c r="J169" s="358">
        <f t="shared" si="22"/>
        <v>2.7E-2</v>
      </c>
      <c r="K169" s="358">
        <f t="shared" si="23"/>
        <v>2.9136229293112399E-2</v>
      </c>
      <c r="N169" s="357"/>
      <c r="O169" s="358"/>
      <c r="P169" s="358"/>
      <c r="Q169" s="358"/>
      <c r="R169" s="358"/>
      <c r="S169" s="358"/>
      <c r="T169" s="358"/>
      <c r="U169" s="358">
        <f t="shared" si="25"/>
        <v>0.14676008224487003</v>
      </c>
      <c r="V169" s="358">
        <f t="shared" si="24"/>
        <v>2.1362292931123988E-3</v>
      </c>
      <c r="W169" s="358"/>
      <c r="X169" s="655"/>
      <c r="Y169" s="655">
        <f t="shared" si="28"/>
        <v>1.0000000000000022</v>
      </c>
      <c r="Z169" s="655">
        <f t="shared" si="28"/>
        <v>1.0000000000000022</v>
      </c>
      <c r="AA169" s="2">
        <f t="shared" si="26"/>
        <v>24.000000000000018</v>
      </c>
      <c r="AB169" s="2">
        <f t="shared" si="26"/>
        <v>24.000000000000018</v>
      </c>
      <c r="AC169">
        <f t="shared" si="27"/>
        <v>4250.0000000000045</v>
      </c>
      <c r="AD169">
        <f t="shared" si="27"/>
        <v>4250.0000000000045</v>
      </c>
    </row>
    <row r="170" spans="6:30">
      <c r="F170"/>
      <c r="I170" s="345"/>
      <c r="J170" s="88"/>
      <c r="K170" s="345"/>
      <c r="N170" s="641"/>
      <c r="R170" s="358"/>
      <c r="S170" s="358"/>
      <c r="T170" s="358"/>
      <c r="U170" s="358"/>
      <c r="V170" s="358"/>
      <c r="W170" s="358"/>
    </row>
    <row r="171" spans="6:30">
      <c r="F171"/>
      <c r="I171" s="345"/>
      <c r="J171" s="88"/>
      <c r="K171" s="345"/>
      <c r="N171"/>
      <c r="T171" s="358"/>
      <c r="U171" s="358"/>
    </row>
    <row r="172" spans="6:30">
      <c r="F172"/>
      <c r="I172" s="345"/>
      <c r="J172" s="88"/>
      <c r="K172" s="345"/>
      <c r="N172"/>
      <c r="T172" s="358"/>
    </row>
    <row r="173" spans="6:30">
      <c r="F173"/>
      <c r="I173" s="345"/>
      <c r="J173" s="88"/>
      <c r="K173" s="345"/>
      <c r="N173"/>
      <c r="T173" s="358"/>
    </row>
    <row r="174" spans="6:30">
      <c r="F174"/>
      <c r="I174" s="345"/>
      <c r="J174" s="88"/>
      <c r="K174" s="345"/>
      <c r="N174"/>
      <c r="T174" s="358"/>
    </row>
    <row r="175" spans="6:30">
      <c r="F175"/>
      <c r="I175" s="345"/>
      <c r="J175" s="88"/>
      <c r="K175" s="345"/>
      <c r="N175" s="4"/>
      <c r="T175" s="358"/>
    </row>
    <row r="176" spans="6:30">
      <c r="F176"/>
      <c r="I176" s="345"/>
      <c r="J176" s="88"/>
      <c r="K176" s="345"/>
      <c r="N176" s="658"/>
      <c r="T176" s="358"/>
    </row>
    <row r="177" spans="6:20">
      <c r="F177"/>
      <c r="I177" s="345"/>
      <c r="J177" s="88"/>
      <c r="K177" s="345"/>
      <c r="N177" s="658"/>
      <c r="T177" s="358"/>
    </row>
    <row r="178" spans="6:20">
      <c r="F178"/>
      <c r="I178" s="345"/>
      <c r="J178" s="88"/>
      <c r="K178" s="345"/>
      <c r="N178"/>
      <c r="T178" s="358"/>
    </row>
    <row r="179" spans="6:20">
      <c r="F179"/>
      <c r="I179" s="345"/>
      <c r="J179" s="88"/>
      <c r="K179" s="345"/>
      <c r="N179" s="358"/>
      <c r="T179" s="358"/>
    </row>
    <row r="180" spans="6:20">
      <c r="F180"/>
      <c r="I180" s="345"/>
      <c r="J180" s="88"/>
      <c r="K180" s="345"/>
      <c r="N180" s="358"/>
      <c r="T180" s="358"/>
    </row>
    <row r="181" spans="6:20">
      <c r="F181"/>
      <c r="I181" s="345"/>
      <c r="J181" s="88"/>
      <c r="K181" s="345"/>
      <c r="N181" s="358"/>
      <c r="T181" s="358"/>
    </row>
    <row r="182" spans="6:20">
      <c r="F182"/>
      <c r="I182" s="345"/>
      <c r="J182" s="88"/>
      <c r="K182" s="345"/>
      <c r="N182" s="358"/>
      <c r="T182" s="358"/>
    </row>
    <row r="183" spans="6:20">
      <c r="F183"/>
      <c r="I183" s="345"/>
      <c r="J183" s="88"/>
      <c r="K183" s="345"/>
      <c r="N183" s="358"/>
      <c r="T183" s="358"/>
    </row>
    <row r="184" spans="6:20">
      <c r="F184"/>
      <c r="I184" s="345"/>
      <c r="J184" s="88"/>
      <c r="K184" s="345"/>
      <c r="N184" s="358"/>
      <c r="T184" s="358"/>
    </row>
    <row r="185" spans="6:20">
      <c r="F185"/>
      <c r="I185" s="345"/>
      <c r="J185" s="88"/>
      <c r="K185" s="345"/>
      <c r="N185" s="358"/>
      <c r="T185" s="358"/>
    </row>
    <row r="186" spans="6:20">
      <c r="F186"/>
      <c r="I186" s="345"/>
      <c r="J186" s="88"/>
      <c r="K186" s="345"/>
      <c r="N186" s="358"/>
      <c r="T186" s="358"/>
    </row>
    <row r="187" spans="6:20">
      <c r="F187"/>
      <c r="I187" s="345"/>
      <c r="J187" s="88"/>
      <c r="K187" s="345"/>
      <c r="N187" s="358"/>
      <c r="T187" s="358"/>
    </row>
    <row r="188" spans="6:20">
      <c r="F188"/>
      <c r="I188" s="345"/>
      <c r="J188" s="88"/>
      <c r="K188" s="345"/>
      <c r="N188" s="358"/>
      <c r="T188" s="358"/>
    </row>
    <row r="189" spans="6:20">
      <c r="F189"/>
      <c r="I189" s="345"/>
      <c r="J189" s="88"/>
      <c r="K189" s="345"/>
      <c r="N189" s="358"/>
      <c r="T189" s="358"/>
    </row>
    <row r="190" spans="6:20">
      <c r="F190"/>
      <c r="I190" s="345"/>
      <c r="J190" s="88"/>
      <c r="K190" s="345"/>
      <c r="N190" s="358"/>
      <c r="T190" s="358"/>
    </row>
    <row r="191" spans="6:20">
      <c r="F191"/>
      <c r="I191" s="345"/>
      <c r="J191" s="88"/>
      <c r="K191" s="345"/>
      <c r="N191" s="358"/>
      <c r="T191" s="358"/>
    </row>
    <row r="192" spans="6:20">
      <c r="F192"/>
      <c r="I192" s="345"/>
      <c r="J192" s="88"/>
      <c r="K192" s="345"/>
      <c r="N192" s="358"/>
    </row>
    <row r="193" spans="6:14">
      <c r="F193"/>
      <c r="I193" s="345"/>
      <c r="J193" s="88"/>
      <c r="K193" s="345"/>
      <c r="N193" s="358"/>
    </row>
    <row r="194" spans="6:14">
      <c r="F194"/>
      <c r="I194" s="345"/>
      <c r="J194" s="88"/>
      <c r="K194" s="345"/>
      <c r="N194" s="358"/>
    </row>
    <row r="195" spans="6:14">
      <c r="F195"/>
      <c r="I195" s="345"/>
      <c r="J195" s="88"/>
      <c r="K195" s="345"/>
      <c r="N195" s="358"/>
    </row>
    <row r="196" spans="6:14">
      <c r="F196"/>
      <c r="I196" s="345"/>
      <c r="J196" s="88"/>
      <c r="K196" s="345"/>
      <c r="N196" s="358"/>
    </row>
    <row r="197" spans="6:14">
      <c r="F197"/>
      <c r="I197" s="345"/>
      <c r="J197" s="88"/>
      <c r="K197" s="345"/>
      <c r="N197" s="358"/>
    </row>
    <row r="198" spans="6:14">
      <c r="F198"/>
      <c r="I198" s="345"/>
      <c r="J198" s="88"/>
      <c r="K198" s="345"/>
      <c r="N198" s="358"/>
    </row>
    <row r="199" spans="6:14">
      <c r="F199"/>
      <c r="I199" s="345"/>
      <c r="J199" s="88"/>
      <c r="K199" s="345"/>
      <c r="N199" s="358"/>
    </row>
    <row r="200" spans="6:14">
      <c r="F200"/>
      <c r="I200" s="345"/>
      <c r="J200" s="88"/>
      <c r="K200" s="345"/>
      <c r="N200" s="358"/>
    </row>
    <row r="201" spans="6:14">
      <c r="F201"/>
      <c r="I201" s="345"/>
      <c r="J201" s="88"/>
      <c r="K201" s="345"/>
      <c r="N201" s="358"/>
    </row>
    <row r="202" spans="6:14">
      <c r="F202"/>
      <c r="I202" s="345"/>
      <c r="J202" s="88"/>
      <c r="K202" s="345"/>
      <c r="N202" s="358"/>
    </row>
    <row r="203" spans="6:14">
      <c r="F203"/>
      <c r="I203" s="345"/>
      <c r="J203" s="88"/>
      <c r="K203" s="345"/>
      <c r="N203" s="358"/>
    </row>
    <row r="204" spans="6:14">
      <c r="F204"/>
      <c r="I204" s="345"/>
      <c r="J204" s="88"/>
      <c r="K204" s="345"/>
      <c r="N204" s="358"/>
    </row>
    <row r="205" spans="6:14">
      <c r="F205"/>
      <c r="I205" s="345"/>
      <c r="J205" s="88"/>
      <c r="K205" s="345"/>
      <c r="N205" s="358"/>
    </row>
    <row r="206" spans="6:14">
      <c r="F206"/>
      <c r="I206" s="345"/>
      <c r="J206" s="88"/>
      <c r="K206" s="345"/>
      <c r="N206" s="358"/>
    </row>
    <row r="207" spans="6:14">
      <c r="F207"/>
      <c r="I207" s="345"/>
      <c r="J207" s="88"/>
      <c r="K207" s="345"/>
      <c r="N207" s="358"/>
    </row>
    <row r="208" spans="6:14">
      <c r="F208"/>
      <c r="I208" s="345"/>
      <c r="J208" s="88"/>
      <c r="K208" s="345"/>
      <c r="N208" s="358"/>
    </row>
    <row r="209" spans="6:14">
      <c r="F209"/>
      <c r="I209" s="345"/>
      <c r="J209" s="88"/>
      <c r="K209" s="345"/>
      <c r="N209" s="358"/>
    </row>
    <row r="210" spans="6:14">
      <c r="F210"/>
      <c r="I210" s="345"/>
      <c r="J210" s="88"/>
      <c r="K210" s="345"/>
      <c r="N210" s="358"/>
    </row>
    <row r="211" spans="6:14">
      <c r="F211"/>
      <c r="I211" s="345"/>
      <c r="J211" s="88"/>
      <c r="K211" s="345"/>
      <c r="N211" s="358"/>
    </row>
    <row r="212" spans="6:14">
      <c r="F212"/>
      <c r="I212" s="345"/>
      <c r="J212" s="88"/>
      <c r="K212" s="345"/>
      <c r="N212" s="358"/>
    </row>
    <row r="213" spans="6:14">
      <c r="F213"/>
      <c r="I213" s="345"/>
      <c r="J213" s="88"/>
      <c r="K213" s="345"/>
      <c r="N213" s="358"/>
    </row>
    <row r="214" spans="6:14">
      <c r="F214"/>
      <c r="I214" s="345"/>
      <c r="J214" s="88"/>
      <c r="K214" s="345"/>
      <c r="N214" s="358"/>
    </row>
    <row r="215" spans="6:14">
      <c r="F215"/>
      <c r="I215" s="345"/>
      <c r="J215" s="88"/>
      <c r="K215" s="345"/>
      <c r="N215" s="358"/>
    </row>
    <row r="216" spans="6:14">
      <c r="F216"/>
      <c r="I216" s="345"/>
      <c r="J216" s="88"/>
      <c r="K216" s="345"/>
      <c r="N216" s="358"/>
    </row>
    <row r="217" spans="6:14">
      <c r="F217"/>
      <c r="I217" s="345"/>
      <c r="J217" s="88"/>
      <c r="K217" s="345"/>
      <c r="N217" s="358"/>
    </row>
    <row r="218" spans="6:14">
      <c r="F218"/>
      <c r="I218" s="345"/>
      <c r="J218" s="88"/>
      <c r="K218" s="345"/>
      <c r="N218" s="358"/>
    </row>
    <row r="219" spans="6:14">
      <c r="F219"/>
      <c r="I219" s="345"/>
      <c r="J219" s="88"/>
      <c r="K219" s="345"/>
      <c r="N219" s="358"/>
    </row>
    <row r="220" spans="6:14">
      <c r="F220"/>
      <c r="I220" s="345"/>
      <c r="J220" s="88"/>
      <c r="K220" s="345"/>
      <c r="N220" s="358"/>
    </row>
    <row r="221" spans="6:14">
      <c r="F221"/>
      <c r="I221" s="345"/>
      <c r="J221" s="88"/>
      <c r="K221" s="345"/>
      <c r="N221" s="358"/>
    </row>
    <row r="222" spans="6:14">
      <c r="F222"/>
      <c r="I222" s="345"/>
      <c r="J222" s="88"/>
      <c r="K222" s="345"/>
      <c r="N222" s="358"/>
    </row>
    <row r="223" spans="6:14">
      <c r="F223"/>
      <c r="I223" s="345"/>
      <c r="J223" s="88"/>
      <c r="K223" s="345"/>
      <c r="N223" s="358"/>
    </row>
    <row r="224" spans="6:14">
      <c r="F224"/>
      <c r="I224" s="345"/>
      <c r="J224" s="88"/>
      <c r="K224" s="345"/>
      <c r="N224" s="358"/>
    </row>
    <row r="225" spans="6:14">
      <c r="F225"/>
      <c r="I225" s="345"/>
      <c r="J225" s="88"/>
      <c r="K225" s="345"/>
      <c r="N225" s="358"/>
    </row>
    <row r="226" spans="6:14">
      <c r="F226"/>
      <c r="I226" s="345"/>
      <c r="J226" s="88"/>
      <c r="K226" s="345"/>
      <c r="N226" s="358"/>
    </row>
    <row r="227" spans="6:14">
      <c r="F227"/>
      <c r="I227" s="345"/>
      <c r="J227" s="88"/>
      <c r="K227" s="345"/>
      <c r="N227" s="358"/>
    </row>
    <row r="228" spans="6:14">
      <c r="F228"/>
      <c r="I228" s="345"/>
      <c r="J228" s="88"/>
      <c r="K228" s="345"/>
      <c r="N228" s="358"/>
    </row>
    <row r="229" spans="6:14">
      <c r="F229"/>
      <c r="I229" s="345"/>
      <c r="J229" s="88"/>
      <c r="K229" s="345"/>
      <c r="N229" s="358"/>
    </row>
    <row r="230" spans="6:14">
      <c r="F230"/>
      <c r="I230" s="345"/>
      <c r="J230" s="88"/>
      <c r="K230" s="345"/>
      <c r="N230" s="358"/>
    </row>
    <row r="231" spans="6:14">
      <c r="F231"/>
      <c r="I231" s="345"/>
      <c r="J231" s="88"/>
      <c r="K231" s="345"/>
      <c r="N231" s="358"/>
    </row>
    <row r="232" spans="6:14">
      <c r="F232"/>
      <c r="I232" s="345"/>
      <c r="J232" s="88"/>
      <c r="K232" s="345"/>
      <c r="N232" s="358"/>
    </row>
    <row r="233" spans="6:14">
      <c r="F233"/>
      <c r="I233" s="345"/>
      <c r="J233" s="88"/>
      <c r="K233" s="345"/>
      <c r="N233" s="358"/>
    </row>
    <row r="234" spans="6:14">
      <c r="F234"/>
      <c r="I234" s="345"/>
      <c r="J234" s="88"/>
      <c r="K234" s="345"/>
      <c r="N234" s="358"/>
    </row>
    <row r="235" spans="6:14">
      <c r="F235"/>
      <c r="I235" s="345"/>
      <c r="J235" s="88"/>
      <c r="K235" s="345"/>
      <c r="N235" s="358"/>
    </row>
    <row r="236" spans="6:14">
      <c r="F236"/>
      <c r="I236" s="345"/>
      <c r="J236" s="88"/>
      <c r="K236" s="345"/>
      <c r="N236" s="358"/>
    </row>
    <row r="237" spans="6:14">
      <c r="F237"/>
      <c r="I237" s="345"/>
      <c r="J237" s="88"/>
      <c r="K237" s="345"/>
      <c r="N237" s="358"/>
    </row>
    <row r="238" spans="6:14">
      <c r="F238"/>
      <c r="I238" s="345"/>
      <c r="J238" s="88"/>
      <c r="K238" s="345"/>
      <c r="N238" s="358"/>
    </row>
    <row r="239" spans="6:14">
      <c r="F239"/>
      <c r="I239" s="345"/>
      <c r="J239" s="88"/>
      <c r="K239" s="345"/>
      <c r="N239" s="358"/>
    </row>
    <row r="240" spans="6:14">
      <c r="F240"/>
      <c r="I240" s="345"/>
      <c r="J240" s="88"/>
      <c r="K240" s="345"/>
      <c r="N240" s="358"/>
    </row>
    <row r="241" spans="6:14">
      <c r="F241"/>
      <c r="I241" s="345"/>
      <c r="J241" s="88"/>
      <c r="K241" s="345"/>
      <c r="N241" s="358"/>
    </row>
    <row r="242" spans="6:14">
      <c r="F242"/>
      <c r="I242" s="345"/>
      <c r="J242" s="88"/>
      <c r="K242" s="345"/>
      <c r="N242" s="358"/>
    </row>
    <row r="243" spans="6:14">
      <c r="F243"/>
      <c r="I243" s="345"/>
      <c r="J243" s="88"/>
      <c r="K243" s="345"/>
      <c r="N243" s="358"/>
    </row>
    <row r="244" spans="6:14">
      <c r="F244"/>
      <c r="I244" s="345"/>
      <c r="J244" s="88"/>
      <c r="K244" s="345"/>
      <c r="N244" s="358"/>
    </row>
    <row r="245" spans="6:14">
      <c r="F245"/>
      <c r="I245" s="345"/>
      <c r="J245" s="88"/>
      <c r="K245" s="345"/>
      <c r="N245" s="358"/>
    </row>
    <row r="246" spans="6:14">
      <c r="F246"/>
      <c r="I246" s="345"/>
      <c r="J246" s="88"/>
      <c r="K246" s="345"/>
      <c r="N246" s="358"/>
    </row>
    <row r="247" spans="6:14">
      <c r="F247"/>
      <c r="I247" s="345"/>
      <c r="J247" s="88"/>
      <c r="K247" s="345"/>
      <c r="N247" s="358"/>
    </row>
    <row r="248" spans="6:14">
      <c r="F248"/>
      <c r="I248" s="345"/>
      <c r="J248" s="88"/>
      <c r="K248" s="345"/>
      <c r="N248" s="358"/>
    </row>
    <row r="249" spans="6:14">
      <c r="F249"/>
      <c r="I249" s="345"/>
      <c r="J249" s="88"/>
      <c r="K249" s="345"/>
      <c r="N249" s="358"/>
    </row>
    <row r="250" spans="6:14">
      <c r="F250"/>
      <c r="I250" s="345"/>
      <c r="J250" s="88"/>
      <c r="K250" s="345"/>
      <c r="N250" s="358"/>
    </row>
    <row r="251" spans="6:14">
      <c r="F251"/>
      <c r="I251" s="345"/>
      <c r="J251" s="88"/>
      <c r="K251" s="345"/>
      <c r="N251" s="358"/>
    </row>
    <row r="252" spans="6:14">
      <c r="F252"/>
      <c r="I252" s="345"/>
      <c r="J252" s="88"/>
      <c r="K252" s="345"/>
      <c r="N252" s="358"/>
    </row>
    <row r="253" spans="6:14">
      <c r="F253"/>
      <c r="I253" s="345"/>
      <c r="J253" s="88"/>
      <c r="K253" s="345"/>
      <c r="N253" s="358"/>
    </row>
    <row r="254" spans="6:14">
      <c r="F254"/>
      <c r="I254" s="345"/>
      <c r="J254" s="88"/>
      <c r="K254" s="345"/>
      <c r="N254" s="358"/>
    </row>
    <row r="255" spans="6:14">
      <c r="F255"/>
      <c r="I255" s="345"/>
      <c r="J255" s="88"/>
      <c r="K255" s="345"/>
      <c r="N255" s="358"/>
    </row>
    <row r="256" spans="6:14">
      <c r="F256"/>
      <c r="I256" s="345"/>
      <c r="J256" s="88"/>
      <c r="K256" s="345"/>
      <c r="N256" s="358"/>
    </row>
    <row r="257" spans="6:14">
      <c r="F257"/>
      <c r="I257" s="345"/>
      <c r="J257" s="88"/>
      <c r="K257" s="345"/>
      <c r="N257" s="358"/>
    </row>
    <row r="258" spans="6:14">
      <c r="F258"/>
      <c r="I258" s="345"/>
      <c r="J258" s="88"/>
      <c r="K258" s="345"/>
      <c r="N258"/>
    </row>
    <row r="259" spans="6:14">
      <c r="F259"/>
      <c r="I259" s="345"/>
      <c r="J259" s="88"/>
      <c r="K259" s="345"/>
      <c r="N259"/>
    </row>
    <row r="260" spans="6:14">
      <c r="F260"/>
      <c r="I260" s="345"/>
      <c r="J260" s="88"/>
      <c r="K260" s="345"/>
      <c r="N260"/>
    </row>
    <row r="261" spans="6:14">
      <c r="F261"/>
      <c r="I261" s="345"/>
      <c r="J261" s="88"/>
      <c r="K261" s="345"/>
      <c r="N261"/>
    </row>
    <row r="262" spans="6:14">
      <c r="F262"/>
      <c r="I262" s="345"/>
      <c r="J262" s="88"/>
      <c r="K262" s="345"/>
      <c r="N262"/>
    </row>
    <row r="263" spans="6:14">
      <c r="F263"/>
      <c r="I263" s="345"/>
      <c r="J263" s="88"/>
      <c r="K263" s="345"/>
      <c r="N263"/>
    </row>
    <row r="264" spans="6:14">
      <c r="F264"/>
      <c r="I264" s="345"/>
      <c r="J264" s="88"/>
      <c r="K264" s="345"/>
      <c r="N264"/>
    </row>
    <row r="265" spans="6:14">
      <c r="F265"/>
      <c r="I265" s="345"/>
      <c r="J265" s="88"/>
      <c r="K265" s="345"/>
      <c r="N265"/>
    </row>
    <row r="266" spans="6:14">
      <c r="F266"/>
      <c r="I266" s="345"/>
      <c r="J266" s="88"/>
      <c r="K266" s="345"/>
      <c r="N266"/>
    </row>
    <row r="267" spans="6:14">
      <c r="F267"/>
      <c r="I267" s="345"/>
      <c r="J267" s="88"/>
      <c r="K267" s="345"/>
      <c r="N267"/>
    </row>
    <row r="268" spans="6:14">
      <c r="F268"/>
      <c r="I268" s="345"/>
      <c r="J268" s="88"/>
      <c r="K268" s="345"/>
      <c r="N268"/>
    </row>
    <row r="269" spans="6:14">
      <c r="F269"/>
      <c r="I269" s="345"/>
      <c r="J269" s="88"/>
      <c r="K269" s="345"/>
      <c r="N269"/>
    </row>
    <row r="270" spans="6:14">
      <c r="F270"/>
      <c r="I270" s="345"/>
      <c r="J270" s="88"/>
      <c r="K270" s="345"/>
      <c r="N270"/>
    </row>
    <row r="271" spans="6:14">
      <c r="F271"/>
      <c r="I271" s="345"/>
      <c r="J271" s="88"/>
      <c r="K271" s="345"/>
      <c r="N271"/>
    </row>
    <row r="272" spans="6:14">
      <c r="F272"/>
      <c r="I272" s="345"/>
      <c r="J272" s="88"/>
      <c r="K272" s="345"/>
      <c r="N272"/>
    </row>
    <row r="273" spans="6:14">
      <c r="F273"/>
      <c r="I273" s="345"/>
      <c r="J273" s="88"/>
      <c r="K273" s="345"/>
      <c r="N273"/>
    </row>
    <row r="274" spans="6:14">
      <c r="F274"/>
      <c r="I274" s="345"/>
      <c r="J274" s="88"/>
      <c r="K274" s="345"/>
      <c r="N274"/>
    </row>
    <row r="275" spans="6:14">
      <c r="F275"/>
      <c r="I275" s="345"/>
      <c r="J275" s="88"/>
      <c r="K275" s="345"/>
      <c r="N275"/>
    </row>
    <row r="276" spans="6:14">
      <c r="F276"/>
      <c r="I276" s="345"/>
      <c r="J276" s="88"/>
      <c r="K276" s="345"/>
      <c r="N276"/>
    </row>
    <row r="277" spans="6:14">
      <c r="F277"/>
      <c r="I277" s="345"/>
      <c r="J277" s="88"/>
      <c r="K277" s="345"/>
      <c r="N277"/>
    </row>
    <row r="278" spans="6:14">
      <c r="F278"/>
      <c r="I278" s="345"/>
      <c r="J278" s="88"/>
      <c r="K278" s="345"/>
      <c r="N278"/>
    </row>
    <row r="279" spans="6:14">
      <c r="F279"/>
      <c r="I279" s="345"/>
      <c r="J279" s="88"/>
      <c r="K279" s="345"/>
      <c r="N279"/>
    </row>
    <row r="280" spans="6:14">
      <c r="F280"/>
      <c r="I280" s="345"/>
      <c r="J280" s="88"/>
      <c r="K280" s="345"/>
      <c r="N280"/>
    </row>
    <row r="281" spans="6:14">
      <c r="F281"/>
      <c r="I281" s="345"/>
      <c r="J281" s="88"/>
      <c r="K281" s="345"/>
      <c r="N281"/>
    </row>
    <row r="282" spans="6:14">
      <c r="F282"/>
      <c r="I282" s="345"/>
      <c r="J282" s="88"/>
      <c r="K282" s="345"/>
      <c r="N282"/>
    </row>
    <row r="283" spans="6:14">
      <c r="F283"/>
      <c r="I283" s="345"/>
      <c r="J283" s="88"/>
      <c r="K283" s="345"/>
      <c r="N283"/>
    </row>
    <row r="284" spans="6:14">
      <c r="F284"/>
      <c r="I284" s="345"/>
      <c r="J284" s="88"/>
      <c r="K284" s="345"/>
      <c r="N284"/>
    </row>
    <row r="285" spans="6:14">
      <c r="F285"/>
      <c r="I285" s="345"/>
      <c r="J285" s="88"/>
      <c r="K285" s="345"/>
      <c r="N285"/>
    </row>
    <row r="286" spans="6:14">
      <c r="F286"/>
      <c r="I286" s="345"/>
      <c r="J286" s="88"/>
      <c r="K286" s="345"/>
      <c r="N286"/>
    </row>
    <row r="287" spans="6:14">
      <c r="F287"/>
      <c r="I287" s="345"/>
      <c r="J287" s="88"/>
      <c r="K287" s="345"/>
      <c r="N287"/>
    </row>
    <row r="288" spans="6:14">
      <c r="F288"/>
      <c r="I288" s="345"/>
      <c r="J288" s="88"/>
      <c r="K288" s="345"/>
      <c r="N288"/>
    </row>
    <row r="289" spans="6:14">
      <c r="F289"/>
      <c r="I289" s="345"/>
      <c r="J289" s="88"/>
      <c r="K289" s="345"/>
      <c r="N289"/>
    </row>
    <row r="290" spans="6:14">
      <c r="F290"/>
      <c r="I290" s="345"/>
      <c r="J290" s="88"/>
      <c r="K290" s="345"/>
      <c r="N290"/>
    </row>
    <row r="291" spans="6:14">
      <c r="F291"/>
      <c r="I291" s="345"/>
      <c r="J291" s="88"/>
      <c r="K291" s="345"/>
      <c r="N291"/>
    </row>
    <row r="292" spans="6:14">
      <c r="F292"/>
      <c r="I292" s="345"/>
      <c r="J292" s="88"/>
      <c r="K292" s="345"/>
      <c r="N292"/>
    </row>
    <row r="293" spans="6:14">
      <c r="F293"/>
      <c r="I293" s="345"/>
      <c r="J293" s="88"/>
      <c r="K293" s="345"/>
      <c r="N293"/>
    </row>
    <row r="294" spans="6:14">
      <c r="F294"/>
      <c r="I294" s="345"/>
      <c r="J294" s="88"/>
      <c r="K294" s="345"/>
      <c r="N294"/>
    </row>
    <row r="295" spans="6:14">
      <c r="F295"/>
      <c r="I295" s="345"/>
      <c r="J295" s="88"/>
      <c r="K295" s="345"/>
      <c r="N295"/>
    </row>
    <row r="296" spans="6:14">
      <c r="F296"/>
      <c r="I296" s="345"/>
      <c r="J296" s="88"/>
      <c r="K296" s="345"/>
      <c r="N296"/>
    </row>
    <row r="297" spans="6:14">
      <c r="F297"/>
      <c r="I297" s="345"/>
      <c r="J297" s="88"/>
      <c r="K297" s="345"/>
      <c r="N297"/>
    </row>
    <row r="298" spans="6:14">
      <c r="F298"/>
      <c r="I298" s="345"/>
      <c r="J298" s="88"/>
      <c r="K298" s="345"/>
      <c r="N298"/>
    </row>
    <row r="299" spans="6:14">
      <c r="F299"/>
      <c r="I299" s="345"/>
      <c r="J299" s="88"/>
      <c r="K299" s="345"/>
      <c r="N299"/>
    </row>
    <row r="300" spans="6:14">
      <c r="F300"/>
      <c r="I300" s="345"/>
      <c r="J300" s="88"/>
      <c r="K300" s="345"/>
      <c r="N300"/>
    </row>
    <row r="301" spans="6:14">
      <c r="F301"/>
      <c r="I301" s="345"/>
      <c r="J301" s="88"/>
      <c r="K301" s="345"/>
      <c r="N301"/>
    </row>
    <row r="302" spans="6:14">
      <c r="F302"/>
      <c r="I302" s="345"/>
      <c r="J302" s="88"/>
      <c r="K302" s="345"/>
      <c r="N302"/>
    </row>
    <row r="303" spans="6:14">
      <c r="F303"/>
      <c r="I303" s="345"/>
      <c r="J303" s="88"/>
      <c r="K303" s="345"/>
      <c r="N303"/>
    </row>
    <row r="304" spans="6:14">
      <c r="F304"/>
      <c r="I304" s="345"/>
      <c r="J304" s="88"/>
      <c r="K304" s="345"/>
      <c r="N304"/>
    </row>
    <row r="305" spans="6:14">
      <c r="F305"/>
      <c r="I305" s="345"/>
      <c r="J305" s="88"/>
      <c r="K305" s="345"/>
      <c r="N305"/>
    </row>
    <row r="306" spans="6:14">
      <c r="F306"/>
      <c r="I306" s="345"/>
      <c r="J306" s="88"/>
      <c r="K306" s="345"/>
      <c r="N306"/>
    </row>
    <row r="307" spans="6:14">
      <c r="F307"/>
      <c r="I307" s="345"/>
      <c r="J307" s="88"/>
      <c r="K307" s="345"/>
      <c r="N307"/>
    </row>
    <row r="308" spans="6:14">
      <c r="F308"/>
      <c r="I308" s="345"/>
      <c r="J308" s="88"/>
      <c r="K308" s="345"/>
      <c r="N308"/>
    </row>
    <row r="309" spans="6:14">
      <c r="F309"/>
      <c r="I309" s="345"/>
      <c r="J309" s="88"/>
      <c r="K309" s="345"/>
      <c r="N309"/>
    </row>
    <row r="310" spans="6:14">
      <c r="F310"/>
      <c r="I310" s="345"/>
      <c r="J310" s="88"/>
      <c r="K310" s="345"/>
      <c r="N310"/>
    </row>
    <row r="311" spans="6:14">
      <c r="F311"/>
      <c r="I311" s="345"/>
      <c r="J311" s="88"/>
      <c r="K311" s="345"/>
      <c r="N311"/>
    </row>
    <row r="312" spans="6:14">
      <c r="F312"/>
      <c r="I312" s="345"/>
      <c r="J312" s="88"/>
      <c r="K312" s="345"/>
      <c r="N312"/>
    </row>
    <row r="313" spans="6:14">
      <c r="F313"/>
      <c r="I313" s="345"/>
      <c r="J313" s="88"/>
      <c r="K313" s="345"/>
      <c r="N313"/>
    </row>
    <row r="314" spans="6:14">
      <c r="F314"/>
      <c r="I314" s="345"/>
      <c r="J314" s="88"/>
      <c r="K314" s="345"/>
      <c r="N314"/>
    </row>
    <row r="315" spans="6:14">
      <c r="F315"/>
      <c r="I315" s="345"/>
      <c r="J315" s="88"/>
      <c r="K315" s="345"/>
      <c r="N315"/>
    </row>
    <row r="316" spans="6:14">
      <c r="F316"/>
      <c r="I316" s="345"/>
      <c r="J316" s="88"/>
      <c r="K316" s="345"/>
      <c r="N316"/>
    </row>
    <row r="317" spans="6:14">
      <c r="F317"/>
      <c r="I317" s="345"/>
      <c r="J317" s="88"/>
      <c r="K317" s="345"/>
      <c r="N317"/>
    </row>
    <row r="318" spans="6:14">
      <c r="F318"/>
      <c r="I318" s="345"/>
      <c r="J318" s="88"/>
      <c r="K318" s="345"/>
      <c r="N318"/>
    </row>
    <row r="319" spans="6:14">
      <c r="F319"/>
      <c r="I319" s="345"/>
      <c r="J319" s="88"/>
      <c r="K319" s="345"/>
      <c r="N319"/>
    </row>
    <row r="320" spans="6:14">
      <c r="F320"/>
      <c r="I320" s="345"/>
      <c r="J320" s="88"/>
      <c r="K320" s="345"/>
      <c r="N320"/>
    </row>
    <row r="321" spans="6:14">
      <c r="F321"/>
      <c r="I321" s="345"/>
      <c r="J321" s="88"/>
      <c r="K321" s="345"/>
      <c r="N321"/>
    </row>
    <row r="322" spans="6:14">
      <c r="F322"/>
      <c r="I322" s="345"/>
      <c r="J322" s="88"/>
      <c r="K322" s="345"/>
      <c r="N322"/>
    </row>
    <row r="323" spans="6:14">
      <c r="F323"/>
      <c r="I323" s="345"/>
      <c r="J323" s="88"/>
      <c r="K323" s="345"/>
      <c r="N323"/>
    </row>
    <row r="324" spans="6:14">
      <c r="F324"/>
      <c r="I324" s="345"/>
      <c r="J324" s="88"/>
      <c r="K324" s="345"/>
      <c r="N324"/>
    </row>
    <row r="325" spans="6:14">
      <c r="F325"/>
      <c r="I325" s="345"/>
      <c r="J325" s="88"/>
      <c r="K325" s="345"/>
      <c r="N325"/>
    </row>
    <row r="326" spans="6:14">
      <c r="F326"/>
      <c r="I326" s="345"/>
      <c r="J326" s="88"/>
      <c r="K326" s="345"/>
      <c r="N326"/>
    </row>
    <row r="327" spans="6:14">
      <c r="F327"/>
      <c r="I327" s="345"/>
      <c r="J327" s="88"/>
      <c r="K327" s="345"/>
      <c r="N327"/>
    </row>
    <row r="328" spans="6:14">
      <c r="F328"/>
      <c r="I328" s="345"/>
      <c r="J328" s="88"/>
      <c r="K328" s="345"/>
      <c r="N328"/>
    </row>
    <row r="329" spans="6:14">
      <c r="F329"/>
      <c r="I329" s="345"/>
      <c r="J329" s="88"/>
      <c r="K329" s="345"/>
      <c r="N329"/>
    </row>
    <row r="330" spans="6:14">
      <c r="F330"/>
      <c r="I330" s="345"/>
      <c r="J330" s="88"/>
      <c r="K330" s="345"/>
      <c r="N330"/>
    </row>
    <row r="331" spans="6:14">
      <c r="F331"/>
      <c r="I331" s="345"/>
      <c r="J331" s="88"/>
      <c r="K331" s="345"/>
      <c r="N331"/>
    </row>
    <row r="332" spans="6:14">
      <c r="F332"/>
      <c r="I332" s="345"/>
      <c r="J332" s="88"/>
      <c r="K332" s="345"/>
      <c r="N332"/>
    </row>
    <row r="333" spans="6:14">
      <c r="F333"/>
      <c r="I333" s="345"/>
      <c r="J333" s="88"/>
      <c r="K333" s="345"/>
      <c r="N333"/>
    </row>
    <row r="334" spans="6:14">
      <c r="F334"/>
      <c r="I334" s="345"/>
      <c r="J334" s="88"/>
      <c r="K334" s="345"/>
      <c r="N334"/>
    </row>
    <row r="335" spans="6:14">
      <c r="F335"/>
      <c r="I335" s="345"/>
      <c r="J335" s="88"/>
      <c r="K335" s="345"/>
      <c r="N335"/>
    </row>
    <row r="336" spans="6:14">
      <c r="F336"/>
      <c r="I336" s="345"/>
      <c r="J336" s="88"/>
      <c r="K336" s="345"/>
      <c r="N336"/>
    </row>
    <row r="337" spans="6:14">
      <c r="F337"/>
      <c r="I337" s="345"/>
      <c r="J337" s="88"/>
      <c r="K337" s="345"/>
      <c r="N337"/>
    </row>
    <row r="338" spans="6:14">
      <c r="F338"/>
      <c r="I338" s="345"/>
      <c r="J338" s="88"/>
      <c r="K338" s="345"/>
      <c r="N338"/>
    </row>
    <row r="339" spans="6:14">
      <c r="F339"/>
      <c r="I339" s="345"/>
      <c r="J339" s="88"/>
      <c r="K339" s="345"/>
      <c r="N339"/>
    </row>
    <row r="340" spans="6:14">
      <c r="F340"/>
      <c r="I340" s="345"/>
      <c r="J340" s="88"/>
      <c r="K340" s="345"/>
      <c r="N340"/>
    </row>
    <row r="341" spans="6:14">
      <c r="F341"/>
      <c r="I341" s="345"/>
      <c r="J341" s="88"/>
      <c r="K341" s="345"/>
      <c r="N341"/>
    </row>
    <row r="342" spans="6:14">
      <c r="F342"/>
      <c r="I342" s="345"/>
      <c r="J342" s="88"/>
      <c r="K342" s="345"/>
      <c r="N342"/>
    </row>
    <row r="343" spans="6:14">
      <c r="F343"/>
      <c r="I343" s="345"/>
      <c r="J343" s="88"/>
      <c r="K343" s="345"/>
      <c r="N343"/>
    </row>
    <row r="344" spans="6:14">
      <c r="F344"/>
      <c r="I344" s="345"/>
      <c r="J344" s="88"/>
      <c r="K344" s="345"/>
      <c r="N344"/>
    </row>
    <row r="345" spans="6:14">
      <c r="F345"/>
      <c r="I345" s="345"/>
      <c r="J345" s="88"/>
      <c r="K345" s="345"/>
      <c r="N345"/>
    </row>
    <row r="346" spans="6:14">
      <c r="F346"/>
      <c r="I346" s="345"/>
      <c r="J346" s="88"/>
      <c r="K346" s="345"/>
      <c r="N346"/>
    </row>
    <row r="347" spans="6:14">
      <c r="F347"/>
      <c r="I347" s="345"/>
      <c r="J347" s="88"/>
      <c r="K347" s="345"/>
      <c r="N347"/>
    </row>
    <row r="348" spans="6:14">
      <c r="F348"/>
      <c r="I348" s="345"/>
      <c r="J348" s="88"/>
      <c r="K348" s="345"/>
      <c r="N348"/>
    </row>
    <row r="349" spans="6:14">
      <c r="F349"/>
      <c r="I349" s="345"/>
      <c r="J349" s="88"/>
      <c r="K349" s="345"/>
      <c r="N349"/>
    </row>
    <row r="350" spans="6:14">
      <c r="F350"/>
      <c r="I350" s="345"/>
      <c r="J350" s="88"/>
      <c r="K350" s="345"/>
      <c r="N350"/>
    </row>
    <row r="351" spans="6:14">
      <c r="F351"/>
      <c r="I351" s="345"/>
      <c r="J351" s="88"/>
      <c r="K351" s="345"/>
      <c r="N351"/>
    </row>
    <row r="352" spans="6:14">
      <c r="F352"/>
      <c r="I352" s="345"/>
      <c r="J352" s="88"/>
      <c r="K352" s="345"/>
      <c r="N352"/>
    </row>
    <row r="353" spans="6:14">
      <c r="F353"/>
      <c r="I353" s="345"/>
      <c r="J353" s="88"/>
      <c r="K353" s="345"/>
      <c r="N353"/>
    </row>
    <row r="354" spans="6:14">
      <c r="F354"/>
      <c r="I354" s="345"/>
      <c r="J354" s="88"/>
      <c r="K354" s="345"/>
      <c r="N354"/>
    </row>
    <row r="355" spans="6:14">
      <c r="F355"/>
      <c r="I355" s="345"/>
      <c r="J355" s="88"/>
      <c r="K355" s="345"/>
      <c r="N355"/>
    </row>
    <row r="356" spans="6:14">
      <c r="F356"/>
      <c r="I356" s="345"/>
      <c r="J356" s="88"/>
      <c r="K356" s="345"/>
      <c r="N356"/>
    </row>
    <row r="357" spans="6:14">
      <c r="F357"/>
      <c r="I357" s="345"/>
      <c r="J357" s="88"/>
      <c r="K357" s="345"/>
      <c r="N357"/>
    </row>
    <row r="358" spans="6:14">
      <c r="F358"/>
      <c r="I358" s="345"/>
      <c r="J358" s="88"/>
      <c r="K358" s="345"/>
      <c r="N358"/>
    </row>
    <row r="359" spans="6:14">
      <c r="F359"/>
      <c r="I359" s="345"/>
      <c r="J359" s="88"/>
      <c r="K359" s="345"/>
      <c r="N359"/>
    </row>
    <row r="360" spans="6:14">
      <c r="F360"/>
      <c r="I360" s="345"/>
      <c r="J360" s="88"/>
      <c r="K360" s="345"/>
      <c r="N360"/>
    </row>
    <row r="361" spans="6:14">
      <c r="F361"/>
      <c r="I361" s="345"/>
      <c r="J361" s="88"/>
      <c r="K361" s="345"/>
      <c r="N361"/>
    </row>
    <row r="362" spans="6:14">
      <c r="F362"/>
      <c r="I362" s="345"/>
      <c r="J362" s="88"/>
      <c r="K362" s="345"/>
      <c r="N362"/>
    </row>
    <row r="363" spans="6:14">
      <c r="F363"/>
      <c r="I363" s="345"/>
      <c r="J363" s="88"/>
      <c r="K363" s="345"/>
      <c r="N363"/>
    </row>
    <row r="364" spans="6:14">
      <c r="F364"/>
      <c r="I364" s="345"/>
      <c r="J364" s="88"/>
      <c r="K364" s="345"/>
      <c r="N364"/>
    </row>
    <row r="365" spans="6:14">
      <c r="F365"/>
      <c r="I365" s="345"/>
      <c r="J365" s="88"/>
      <c r="K365" s="345"/>
      <c r="N365"/>
    </row>
    <row r="366" spans="6:14">
      <c r="F366"/>
      <c r="I366" s="345"/>
      <c r="J366" s="88"/>
      <c r="K366" s="345"/>
      <c r="N366"/>
    </row>
    <row r="367" spans="6:14">
      <c r="F367"/>
      <c r="I367" s="345"/>
      <c r="J367" s="88"/>
      <c r="K367" s="345"/>
      <c r="N367"/>
    </row>
    <row r="368" spans="6:14">
      <c r="F368"/>
      <c r="I368" s="345"/>
      <c r="J368" s="88"/>
      <c r="K368" s="345"/>
      <c r="N368"/>
    </row>
    <row r="369" spans="6:14">
      <c r="F369"/>
      <c r="I369" s="345"/>
      <c r="J369" s="88"/>
      <c r="K369" s="345"/>
      <c r="N369"/>
    </row>
    <row r="370" spans="6:14">
      <c r="F370"/>
      <c r="I370" s="345"/>
      <c r="J370" s="88"/>
      <c r="K370" s="345"/>
      <c r="N370"/>
    </row>
    <row r="371" spans="6:14">
      <c r="F371"/>
      <c r="I371" s="345"/>
      <c r="J371" s="88"/>
      <c r="K371" s="345"/>
      <c r="N371"/>
    </row>
    <row r="372" spans="6:14">
      <c r="F372"/>
      <c r="I372" s="345"/>
      <c r="J372" s="88"/>
      <c r="K372" s="345"/>
      <c r="N372"/>
    </row>
    <row r="373" spans="6:14">
      <c r="F373"/>
      <c r="I373" s="345"/>
      <c r="J373" s="88"/>
      <c r="K373" s="345"/>
      <c r="N373"/>
    </row>
    <row r="374" spans="6:14">
      <c r="F374"/>
      <c r="I374" s="345"/>
      <c r="J374" s="88"/>
      <c r="K374" s="345"/>
      <c r="N374"/>
    </row>
    <row r="375" spans="6:14">
      <c r="F375"/>
      <c r="I375" s="345"/>
      <c r="J375" s="88"/>
      <c r="K375" s="345"/>
      <c r="N375"/>
    </row>
    <row r="376" spans="6:14">
      <c r="F376"/>
      <c r="I376" s="345"/>
      <c r="J376" s="88"/>
      <c r="K376" s="345"/>
      <c r="N376"/>
    </row>
    <row r="377" spans="6:14">
      <c r="F377"/>
      <c r="I377" s="345"/>
      <c r="J377" s="88"/>
      <c r="K377" s="345"/>
      <c r="N377"/>
    </row>
    <row r="378" spans="6:14">
      <c r="F378"/>
      <c r="I378" s="345"/>
      <c r="J378" s="88"/>
      <c r="K378" s="345"/>
      <c r="N378"/>
    </row>
    <row r="379" spans="6:14">
      <c r="F379"/>
      <c r="I379" s="345"/>
      <c r="J379" s="88"/>
      <c r="K379" s="345"/>
      <c r="N379"/>
    </row>
    <row r="380" spans="6:14">
      <c r="F380"/>
      <c r="I380" s="345"/>
      <c r="J380" s="88"/>
      <c r="K380" s="345"/>
      <c r="N380"/>
    </row>
    <row r="381" spans="6:14">
      <c r="F381"/>
      <c r="I381" s="345"/>
      <c r="J381" s="88"/>
      <c r="K381" s="345"/>
      <c r="N381"/>
    </row>
    <row r="382" spans="6:14">
      <c r="F382"/>
      <c r="I382" s="345"/>
      <c r="J382" s="88"/>
      <c r="K382" s="345"/>
      <c r="N382"/>
    </row>
    <row r="383" spans="6:14">
      <c r="F383"/>
      <c r="I383" s="345"/>
      <c r="J383" s="88"/>
      <c r="K383" s="345"/>
      <c r="N383"/>
    </row>
    <row r="384" spans="6:14">
      <c r="F384"/>
      <c r="I384" s="345"/>
      <c r="J384" s="88"/>
      <c r="K384" s="345"/>
      <c r="N384"/>
    </row>
    <row r="385" spans="6:14">
      <c r="F385"/>
      <c r="I385" s="345"/>
      <c r="J385" s="88"/>
      <c r="K385" s="345"/>
      <c r="N385"/>
    </row>
    <row r="386" spans="6:14">
      <c r="F386"/>
      <c r="I386" s="345"/>
      <c r="J386" s="88"/>
      <c r="K386" s="345"/>
      <c r="N386"/>
    </row>
    <row r="387" spans="6:14">
      <c r="F387"/>
      <c r="I387" s="345"/>
      <c r="J387" s="88"/>
      <c r="K387" s="345"/>
      <c r="N387"/>
    </row>
    <row r="388" spans="6:14">
      <c r="F388"/>
      <c r="I388" s="345"/>
      <c r="J388" s="88"/>
      <c r="K388" s="345"/>
      <c r="N388"/>
    </row>
    <row r="389" spans="6:14">
      <c r="F389"/>
      <c r="I389" s="345"/>
      <c r="J389" s="88"/>
      <c r="K389" s="345"/>
      <c r="N389"/>
    </row>
    <row r="390" spans="6:14">
      <c r="F390"/>
      <c r="I390" s="345"/>
      <c r="J390" s="88"/>
      <c r="K390" s="345"/>
      <c r="N390"/>
    </row>
    <row r="391" spans="6:14">
      <c r="F391"/>
      <c r="I391" s="345"/>
      <c r="J391" s="88"/>
      <c r="K391" s="345"/>
      <c r="N391"/>
    </row>
    <row r="392" spans="6:14">
      <c r="F392"/>
      <c r="I392" s="345"/>
      <c r="J392" s="88"/>
      <c r="K392" s="345"/>
      <c r="N392"/>
    </row>
    <row r="393" spans="6:14">
      <c r="F393"/>
      <c r="I393" s="345"/>
      <c r="J393" s="88"/>
      <c r="K393" s="345"/>
      <c r="N393"/>
    </row>
    <row r="394" spans="6:14">
      <c r="F394"/>
      <c r="I394" s="345"/>
      <c r="J394" s="88"/>
      <c r="K394" s="345"/>
      <c r="N394"/>
    </row>
    <row r="395" spans="6:14">
      <c r="F395"/>
      <c r="I395" s="345"/>
      <c r="J395" s="88"/>
      <c r="K395" s="345"/>
      <c r="N395"/>
    </row>
    <row r="396" spans="6:14">
      <c r="F396"/>
      <c r="I396" s="345"/>
      <c r="J396" s="88"/>
      <c r="K396" s="345"/>
      <c r="N396"/>
    </row>
    <row r="397" spans="6:14">
      <c r="F397"/>
      <c r="I397" s="345"/>
      <c r="J397" s="88"/>
      <c r="K397" s="345"/>
      <c r="N397"/>
    </row>
    <row r="398" spans="6:14">
      <c r="F398"/>
      <c r="I398" s="345"/>
      <c r="J398" s="88"/>
      <c r="K398" s="345"/>
      <c r="N398"/>
    </row>
    <row r="399" spans="6:14">
      <c r="F399"/>
      <c r="I399" s="345"/>
      <c r="J399" s="88"/>
      <c r="K399" s="345"/>
      <c r="N399"/>
    </row>
    <row r="400" spans="6:14">
      <c r="F400"/>
      <c r="I400" s="345"/>
      <c r="J400" s="88"/>
      <c r="K400" s="345"/>
      <c r="N400"/>
    </row>
    <row r="401" spans="6:14">
      <c r="F401"/>
      <c r="I401" s="345"/>
      <c r="J401" s="88"/>
      <c r="K401" s="345"/>
      <c r="N401"/>
    </row>
    <row r="402" spans="6:14">
      <c r="F402"/>
      <c r="I402" s="345"/>
      <c r="J402" s="88"/>
      <c r="K402" s="345"/>
      <c r="N402"/>
    </row>
    <row r="403" spans="6:14">
      <c r="F403"/>
      <c r="I403" s="345"/>
      <c r="J403" s="88"/>
      <c r="K403" s="345"/>
      <c r="N403"/>
    </row>
    <row r="404" spans="6:14">
      <c r="F404"/>
      <c r="I404" s="345"/>
      <c r="J404" s="88"/>
      <c r="K404" s="345"/>
      <c r="N404"/>
    </row>
    <row r="405" spans="6:14">
      <c r="F405"/>
      <c r="I405" s="345"/>
      <c r="J405" s="88"/>
      <c r="K405" s="345"/>
      <c r="N405"/>
    </row>
    <row r="406" spans="6:14">
      <c r="F406"/>
      <c r="I406" s="345"/>
      <c r="J406" s="88"/>
      <c r="K406" s="345"/>
      <c r="N406"/>
    </row>
    <row r="407" spans="6:14">
      <c r="F407"/>
      <c r="I407" s="345"/>
      <c r="J407" s="88"/>
      <c r="K407" s="345"/>
      <c r="N407"/>
    </row>
    <row r="408" spans="6:14">
      <c r="F408"/>
      <c r="I408" s="345"/>
      <c r="J408" s="88"/>
      <c r="K408" s="345"/>
      <c r="N408"/>
    </row>
    <row r="409" spans="6:14">
      <c r="F409"/>
      <c r="I409" s="345"/>
      <c r="J409" s="88"/>
      <c r="K409" s="345"/>
      <c r="N409"/>
    </row>
    <row r="410" spans="6:14">
      <c r="F410"/>
      <c r="I410" s="345"/>
      <c r="J410" s="88"/>
      <c r="K410" s="345"/>
      <c r="N410"/>
    </row>
    <row r="411" spans="6:14">
      <c r="F411"/>
      <c r="I411" s="345"/>
      <c r="J411" s="88"/>
      <c r="K411" s="345"/>
      <c r="N411"/>
    </row>
    <row r="412" spans="6:14">
      <c r="F412"/>
      <c r="I412" s="345"/>
      <c r="J412" s="88"/>
      <c r="K412" s="345"/>
      <c r="N412"/>
    </row>
    <row r="413" spans="6:14">
      <c r="F413"/>
      <c r="I413" s="345"/>
      <c r="J413" s="88"/>
      <c r="K413" s="345"/>
      <c r="N413"/>
    </row>
    <row r="414" spans="6:14">
      <c r="F414"/>
      <c r="I414" s="345"/>
      <c r="J414" s="88"/>
      <c r="K414" s="345"/>
      <c r="N414"/>
    </row>
    <row r="415" spans="6:14">
      <c r="F415"/>
      <c r="I415" s="345"/>
      <c r="J415" s="88"/>
      <c r="K415" s="345"/>
      <c r="N415"/>
    </row>
    <row r="416" spans="6:14">
      <c r="F416"/>
      <c r="I416" s="345"/>
      <c r="J416" s="88"/>
      <c r="K416" s="345"/>
      <c r="N416"/>
    </row>
    <row r="417" spans="6:14">
      <c r="F417"/>
      <c r="I417" s="345"/>
      <c r="J417" s="88"/>
      <c r="K417" s="345"/>
      <c r="N417"/>
    </row>
    <row r="418" spans="6:14">
      <c r="F418"/>
      <c r="I418" s="345"/>
      <c r="J418" s="88"/>
      <c r="K418" s="345"/>
      <c r="N418"/>
    </row>
    <row r="419" spans="6:14">
      <c r="F419"/>
      <c r="I419" s="345"/>
      <c r="J419" s="88"/>
      <c r="K419" s="345"/>
      <c r="N419"/>
    </row>
    <row r="420" spans="6:14">
      <c r="F420"/>
      <c r="I420" s="345"/>
      <c r="J420" s="88"/>
      <c r="K420" s="345"/>
      <c r="N420"/>
    </row>
    <row r="421" spans="6:14">
      <c r="F421"/>
      <c r="I421" s="345"/>
      <c r="J421" s="88"/>
      <c r="K421" s="345"/>
      <c r="N421"/>
    </row>
    <row r="422" spans="6:14">
      <c r="F422"/>
      <c r="I422" s="345"/>
      <c r="J422" s="88"/>
      <c r="K422" s="345"/>
      <c r="N422"/>
    </row>
    <row r="423" spans="6:14">
      <c r="F423"/>
      <c r="I423" s="345"/>
      <c r="J423" s="88"/>
      <c r="K423" s="345"/>
      <c r="N423"/>
    </row>
    <row r="424" spans="6:14">
      <c r="F424"/>
      <c r="I424" s="345"/>
      <c r="J424" s="88"/>
      <c r="K424" s="345"/>
      <c r="N424"/>
    </row>
    <row r="425" spans="6:14">
      <c r="F425"/>
      <c r="I425" s="345"/>
      <c r="J425" s="88"/>
      <c r="K425" s="345"/>
      <c r="N425"/>
    </row>
    <row r="426" spans="6:14">
      <c r="F426"/>
      <c r="I426" s="345"/>
      <c r="J426" s="88"/>
      <c r="K426" s="345"/>
      <c r="N426"/>
    </row>
    <row r="427" spans="6:14">
      <c r="F427"/>
      <c r="I427" s="345"/>
      <c r="J427" s="88"/>
      <c r="K427" s="345"/>
      <c r="N427"/>
    </row>
    <row r="428" spans="6:14">
      <c r="F428"/>
      <c r="I428" s="345"/>
      <c r="J428" s="88"/>
      <c r="K428" s="345"/>
      <c r="N428"/>
    </row>
    <row r="429" spans="6:14">
      <c r="F429"/>
      <c r="I429" s="345"/>
      <c r="J429" s="88"/>
      <c r="K429" s="345"/>
      <c r="N429"/>
    </row>
    <row r="430" spans="6:14">
      <c r="F430"/>
      <c r="I430" s="345"/>
      <c r="J430" s="88"/>
      <c r="K430" s="345"/>
      <c r="N430"/>
    </row>
    <row r="431" spans="6:14">
      <c r="F431"/>
      <c r="I431" s="345"/>
      <c r="J431" s="88"/>
      <c r="K431" s="345"/>
      <c r="N431"/>
    </row>
    <row r="432" spans="6:14">
      <c r="F432"/>
      <c r="I432" s="345"/>
      <c r="J432" s="88"/>
      <c r="K432" s="345"/>
      <c r="N432"/>
    </row>
    <row r="433" spans="6:14">
      <c r="F433"/>
      <c r="I433" s="345"/>
      <c r="J433" s="88"/>
      <c r="K433" s="345"/>
      <c r="N433"/>
    </row>
    <row r="434" spans="6:14">
      <c r="F434"/>
      <c r="I434" s="345"/>
      <c r="J434" s="88"/>
      <c r="K434" s="345"/>
      <c r="N434"/>
    </row>
    <row r="435" spans="6:14">
      <c r="F435"/>
      <c r="I435" s="345"/>
      <c r="J435" s="88"/>
      <c r="K435" s="345"/>
      <c r="N435"/>
    </row>
    <row r="436" spans="6:14">
      <c r="F436"/>
      <c r="I436" s="345"/>
      <c r="J436" s="88"/>
      <c r="K436" s="345"/>
      <c r="N436"/>
    </row>
    <row r="437" spans="6:14">
      <c r="F437"/>
      <c r="I437" s="345"/>
      <c r="J437" s="88"/>
      <c r="K437" s="345"/>
      <c r="N437"/>
    </row>
    <row r="438" spans="6:14">
      <c r="F438"/>
      <c r="I438" s="345"/>
      <c r="J438" s="88"/>
      <c r="K438" s="345"/>
      <c r="N438"/>
    </row>
    <row r="439" spans="6:14">
      <c r="F439"/>
      <c r="I439" s="345"/>
      <c r="J439" s="88"/>
      <c r="K439" s="345"/>
      <c r="N439"/>
    </row>
    <row r="440" spans="6:14">
      <c r="F440"/>
      <c r="I440" s="345"/>
      <c r="J440" s="88"/>
      <c r="K440" s="345"/>
      <c r="N440"/>
    </row>
    <row r="441" spans="6:14">
      <c r="F441"/>
      <c r="I441" s="345"/>
      <c r="J441" s="88"/>
      <c r="K441" s="345"/>
      <c r="N441"/>
    </row>
    <row r="442" spans="6:14">
      <c r="F442"/>
      <c r="I442" s="345"/>
      <c r="J442" s="88"/>
      <c r="K442" s="345"/>
      <c r="N442"/>
    </row>
    <row r="443" spans="6:14">
      <c r="F443"/>
      <c r="I443" s="345"/>
      <c r="J443" s="88"/>
      <c r="K443" s="345"/>
      <c r="N443"/>
    </row>
    <row r="444" spans="6:14">
      <c r="F444"/>
      <c r="I444" s="345"/>
      <c r="J444" s="88"/>
      <c r="K444" s="345"/>
      <c r="N444"/>
    </row>
    <row r="445" spans="6:14">
      <c r="F445"/>
      <c r="I445" s="345"/>
      <c r="J445" s="88"/>
      <c r="K445" s="345"/>
      <c r="N445"/>
    </row>
    <row r="446" spans="6:14">
      <c r="F446"/>
      <c r="I446" s="345"/>
      <c r="J446" s="88"/>
      <c r="K446" s="345"/>
      <c r="N446"/>
    </row>
    <row r="447" spans="6:14">
      <c r="F447"/>
      <c r="I447" s="345"/>
      <c r="J447" s="88"/>
      <c r="K447" s="345"/>
      <c r="N447"/>
    </row>
    <row r="448" spans="6:14">
      <c r="F448"/>
      <c r="I448" s="345"/>
      <c r="J448" s="88"/>
      <c r="K448" s="345"/>
      <c r="N448"/>
    </row>
    <row r="449" spans="6:14">
      <c r="F449"/>
      <c r="I449" s="345"/>
      <c r="J449" s="88"/>
      <c r="K449" s="345"/>
      <c r="N449"/>
    </row>
    <row r="450" spans="6:14">
      <c r="F450"/>
      <c r="I450" s="345"/>
      <c r="J450" s="88"/>
      <c r="K450" s="345"/>
      <c r="N450"/>
    </row>
    <row r="451" spans="6:14">
      <c r="F451"/>
      <c r="I451" s="345"/>
      <c r="J451" s="88"/>
      <c r="K451" s="345"/>
      <c r="N451"/>
    </row>
    <row r="452" spans="6:14">
      <c r="F452"/>
      <c r="I452" s="345"/>
      <c r="J452" s="88"/>
      <c r="K452" s="345"/>
      <c r="N452"/>
    </row>
    <row r="453" spans="6:14">
      <c r="F453"/>
      <c r="I453" s="345"/>
      <c r="J453" s="88"/>
      <c r="K453" s="345"/>
      <c r="N453"/>
    </row>
    <row r="454" spans="6:14">
      <c r="F454"/>
      <c r="I454" s="345"/>
      <c r="J454" s="88"/>
      <c r="K454" s="345"/>
      <c r="N454"/>
    </row>
    <row r="455" spans="6:14">
      <c r="F455"/>
      <c r="I455" s="345"/>
      <c r="J455" s="88"/>
      <c r="K455" s="345"/>
      <c r="N455"/>
    </row>
    <row r="456" spans="6:14">
      <c r="F456"/>
      <c r="I456" s="345"/>
      <c r="J456" s="88"/>
      <c r="K456" s="345"/>
      <c r="N456"/>
    </row>
    <row r="457" spans="6:14">
      <c r="F457"/>
      <c r="I457" s="345"/>
      <c r="J457" s="88"/>
      <c r="K457" s="345"/>
      <c r="N457"/>
    </row>
    <row r="458" spans="6:14">
      <c r="F458"/>
      <c r="I458" s="345"/>
      <c r="J458" s="88"/>
      <c r="K458" s="345"/>
      <c r="N458"/>
    </row>
    <row r="459" spans="6:14">
      <c r="F459"/>
      <c r="I459" s="345"/>
      <c r="J459" s="88"/>
      <c r="K459" s="345"/>
      <c r="N459"/>
    </row>
    <row r="460" spans="6:14">
      <c r="F460"/>
      <c r="I460" s="345"/>
      <c r="J460" s="88"/>
      <c r="K460" s="345"/>
      <c r="N460"/>
    </row>
    <row r="461" spans="6:14">
      <c r="F461"/>
      <c r="I461" s="345"/>
      <c r="J461" s="88"/>
      <c r="K461" s="345"/>
      <c r="N461"/>
    </row>
    <row r="462" spans="6:14">
      <c r="F462"/>
      <c r="I462" s="345"/>
      <c r="J462" s="88"/>
      <c r="K462" s="345"/>
      <c r="N462"/>
    </row>
    <row r="463" spans="6:14">
      <c r="F463"/>
      <c r="I463" s="345"/>
      <c r="J463" s="88"/>
      <c r="K463" s="345"/>
      <c r="N463"/>
    </row>
    <row r="464" spans="6:14">
      <c r="F464"/>
      <c r="I464" s="345"/>
      <c r="J464" s="88"/>
      <c r="K464" s="345"/>
      <c r="N464"/>
    </row>
    <row r="465" spans="6:14">
      <c r="F465"/>
      <c r="I465" s="345"/>
      <c r="J465" s="88"/>
      <c r="K465" s="345"/>
      <c r="N465"/>
    </row>
    <row r="466" spans="6:14">
      <c r="F466"/>
      <c r="I466" s="345"/>
      <c r="J466" s="88"/>
      <c r="K466" s="345"/>
      <c r="N466"/>
    </row>
    <row r="467" spans="6:14">
      <c r="F467"/>
      <c r="I467" s="345"/>
      <c r="J467" s="88"/>
      <c r="K467" s="345"/>
      <c r="N467"/>
    </row>
    <row r="468" spans="6:14">
      <c r="F468"/>
      <c r="I468" s="345"/>
      <c r="J468" s="88"/>
      <c r="K468" s="345"/>
      <c r="N468"/>
    </row>
    <row r="469" spans="6:14">
      <c r="F469"/>
      <c r="I469" s="345"/>
      <c r="J469" s="88"/>
      <c r="K469" s="345"/>
      <c r="N469"/>
    </row>
    <row r="470" spans="6:14">
      <c r="F470"/>
      <c r="I470" s="345"/>
      <c r="J470" s="88"/>
      <c r="K470" s="345"/>
      <c r="N470"/>
    </row>
    <row r="471" spans="6:14">
      <c r="F471"/>
      <c r="I471" s="345"/>
      <c r="J471" s="88"/>
      <c r="K471" s="345"/>
      <c r="N471"/>
    </row>
    <row r="472" spans="6:14">
      <c r="F472"/>
      <c r="I472" s="345"/>
      <c r="J472" s="88"/>
      <c r="K472" s="345"/>
      <c r="N472"/>
    </row>
    <row r="473" spans="6:14">
      <c r="F473"/>
      <c r="I473" s="345"/>
      <c r="J473" s="88"/>
      <c r="K473" s="345"/>
      <c r="N473"/>
    </row>
    <row r="474" spans="6:14">
      <c r="F474"/>
      <c r="I474" s="345"/>
      <c r="J474" s="88"/>
      <c r="K474" s="345"/>
      <c r="N474"/>
    </row>
    <row r="475" spans="6:14">
      <c r="F475"/>
      <c r="I475" s="345"/>
      <c r="J475" s="88"/>
      <c r="K475" s="345"/>
      <c r="N475"/>
    </row>
    <row r="476" spans="6:14">
      <c r="F476"/>
      <c r="I476" s="345"/>
      <c r="J476" s="88"/>
      <c r="K476" s="345"/>
      <c r="N476"/>
    </row>
    <row r="477" spans="6:14">
      <c r="F477"/>
      <c r="I477" s="345"/>
      <c r="J477" s="88"/>
      <c r="K477" s="345"/>
      <c r="N477"/>
    </row>
    <row r="478" spans="6:14">
      <c r="F478"/>
      <c r="I478" s="345"/>
      <c r="J478" s="88"/>
      <c r="K478" s="345"/>
      <c r="N478"/>
    </row>
    <row r="479" spans="6:14">
      <c r="F479"/>
      <c r="I479" s="345"/>
      <c r="J479" s="88"/>
      <c r="K479" s="345"/>
      <c r="N479"/>
    </row>
    <row r="480" spans="6:14">
      <c r="F480"/>
      <c r="I480" s="345"/>
      <c r="J480" s="88"/>
      <c r="K480" s="345"/>
      <c r="N480"/>
    </row>
    <row r="481" spans="6:14">
      <c r="F481"/>
      <c r="I481" s="345"/>
      <c r="J481" s="88"/>
      <c r="K481" s="345"/>
      <c r="N481"/>
    </row>
    <row r="482" spans="6:14">
      <c r="F482"/>
      <c r="I482" s="345"/>
      <c r="J482" s="88"/>
      <c r="K482" s="345"/>
      <c r="N482"/>
    </row>
    <row r="483" spans="6:14">
      <c r="F483"/>
      <c r="I483" s="345"/>
      <c r="J483" s="88"/>
      <c r="K483" s="345"/>
      <c r="N483"/>
    </row>
    <row r="484" spans="6:14">
      <c r="F484"/>
      <c r="I484" s="345"/>
      <c r="J484" s="88"/>
      <c r="K484" s="345"/>
      <c r="N484"/>
    </row>
    <row r="485" spans="6:14">
      <c r="F485"/>
      <c r="I485" s="345"/>
      <c r="J485" s="88"/>
      <c r="K485" s="345"/>
      <c r="N485"/>
    </row>
    <row r="486" spans="6:14">
      <c r="F486"/>
      <c r="I486" s="345"/>
      <c r="J486" s="88"/>
      <c r="K486" s="345"/>
      <c r="N486"/>
    </row>
    <row r="487" spans="6:14">
      <c r="F487"/>
      <c r="I487" s="345"/>
      <c r="J487" s="88"/>
      <c r="K487" s="345"/>
      <c r="N487"/>
    </row>
    <row r="488" spans="6:14">
      <c r="F488"/>
      <c r="I488" s="345"/>
      <c r="J488" s="88"/>
      <c r="K488" s="345"/>
      <c r="N488"/>
    </row>
    <row r="489" spans="6:14">
      <c r="F489"/>
      <c r="I489" s="345"/>
      <c r="J489" s="88"/>
      <c r="K489" s="345"/>
      <c r="N489"/>
    </row>
    <row r="490" spans="6:14">
      <c r="F490"/>
      <c r="I490" s="345"/>
      <c r="J490" s="88"/>
      <c r="K490" s="345"/>
      <c r="N490"/>
    </row>
    <row r="491" spans="6:14">
      <c r="F491"/>
      <c r="I491" s="345"/>
      <c r="J491" s="88"/>
      <c r="K491" s="345"/>
      <c r="N491"/>
    </row>
    <row r="492" spans="6:14">
      <c r="F492"/>
      <c r="I492" s="345"/>
      <c r="J492" s="88"/>
      <c r="K492" s="345"/>
      <c r="N492"/>
    </row>
    <row r="493" spans="6:14">
      <c r="F493"/>
      <c r="I493" s="345"/>
      <c r="J493" s="88"/>
      <c r="K493" s="345"/>
      <c r="N493"/>
    </row>
    <row r="494" spans="6:14">
      <c r="F494"/>
      <c r="I494" s="345"/>
      <c r="J494" s="88"/>
      <c r="K494" s="345"/>
      <c r="N494"/>
    </row>
    <row r="495" spans="6:14">
      <c r="F495"/>
      <c r="I495" s="345"/>
      <c r="J495" s="88"/>
      <c r="K495" s="345"/>
      <c r="N495"/>
    </row>
    <row r="496" spans="6:14">
      <c r="F496"/>
      <c r="I496" s="345"/>
      <c r="J496" s="88"/>
      <c r="K496" s="345"/>
      <c r="N496"/>
    </row>
    <row r="497" spans="6:14">
      <c r="F497"/>
      <c r="I497" s="345"/>
      <c r="J497" s="88"/>
      <c r="K497" s="345"/>
      <c r="N497"/>
    </row>
    <row r="498" spans="6:14">
      <c r="F498"/>
      <c r="I498" s="345"/>
      <c r="J498" s="88"/>
      <c r="K498" s="345"/>
      <c r="N498"/>
    </row>
    <row r="499" spans="6:14">
      <c r="F499"/>
      <c r="I499" s="345"/>
      <c r="J499" s="88"/>
      <c r="K499" s="345"/>
      <c r="N499"/>
    </row>
    <row r="500" spans="6:14">
      <c r="F500"/>
      <c r="I500" s="345"/>
      <c r="J500" s="88"/>
      <c r="K500" s="345"/>
      <c r="N500"/>
    </row>
    <row r="501" spans="6:14">
      <c r="F501"/>
      <c r="I501" s="345"/>
      <c r="J501" s="88"/>
      <c r="K501" s="345"/>
      <c r="N501"/>
    </row>
    <row r="502" spans="6:14">
      <c r="F502"/>
      <c r="I502" s="345"/>
      <c r="J502" s="88"/>
      <c r="K502" s="345"/>
      <c r="N502"/>
    </row>
    <row r="503" spans="6:14">
      <c r="F503"/>
      <c r="I503" s="345"/>
      <c r="J503" s="88"/>
      <c r="K503" s="345"/>
      <c r="N503"/>
    </row>
    <row r="504" spans="6:14">
      <c r="F504"/>
      <c r="I504" s="345"/>
      <c r="J504" s="88"/>
      <c r="K504" s="345"/>
      <c r="N504"/>
    </row>
    <row r="505" spans="6:14">
      <c r="F505"/>
      <c r="I505" s="345"/>
      <c r="J505" s="88"/>
      <c r="K505" s="345"/>
      <c r="N505"/>
    </row>
    <row r="506" spans="6:14">
      <c r="F506"/>
      <c r="I506" s="345"/>
      <c r="J506" s="88"/>
      <c r="K506" s="345"/>
      <c r="N506"/>
    </row>
    <row r="507" spans="6:14">
      <c r="F507"/>
      <c r="I507" s="345"/>
      <c r="J507" s="88"/>
      <c r="K507" s="345"/>
      <c r="N507"/>
    </row>
    <row r="508" spans="6:14">
      <c r="F508"/>
      <c r="I508" s="345"/>
      <c r="J508" s="88"/>
      <c r="K508" s="345"/>
      <c r="N508"/>
    </row>
    <row r="509" spans="6:14">
      <c r="F509"/>
      <c r="I509" s="345"/>
      <c r="J509" s="88"/>
      <c r="K509" s="345"/>
      <c r="N509"/>
    </row>
    <row r="510" spans="6:14">
      <c r="F510"/>
      <c r="I510" s="345"/>
      <c r="J510" s="88"/>
      <c r="K510" s="345"/>
      <c r="N510"/>
    </row>
    <row r="511" spans="6:14">
      <c r="F511"/>
      <c r="I511" s="345"/>
      <c r="J511" s="88"/>
      <c r="K511" s="345"/>
      <c r="N511"/>
    </row>
    <row r="512" spans="6:14">
      <c r="F512"/>
      <c r="I512" s="345"/>
      <c r="J512" s="88"/>
      <c r="K512" s="345"/>
      <c r="N512"/>
    </row>
    <row r="513" spans="6:14">
      <c r="F513"/>
      <c r="I513" s="345"/>
      <c r="J513" s="88"/>
      <c r="K513" s="345"/>
      <c r="N513"/>
    </row>
    <row r="514" spans="6:14">
      <c r="F514"/>
      <c r="I514" s="345"/>
      <c r="J514" s="88"/>
      <c r="K514" s="345"/>
      <c r="N514"/>
    </row>
    <row r="515" spans="6:14">
      <c r="F515"/>
      <c r="I515" s="345"/>
      <c r="J515" s="88"/>
      <c r="K515" s="345"/>
      <c r="N515"/>
    </row>
    <row r="516" spans="6:14">
      <c r="F516"/>
      <c r="I516" s="345"/>
      <c r="J516" s="88"/>
      <c r="K516" s="345"/>
      <c r="N516"/>
    </row>
    <row r="517" spans="6:14">
      <c r="F517"/>
      <c r="I517" s="345"/>
      <c r="J517" s="88"/>
      <c r="K517" s="345"/>
      <c r="N517"/>
    </row>
    <row r="518" spans="6:14">
      <c r="F518"/>
      <c r="I518" s="345"/>
      <c r="J518" s="88"/>
      <c r="K518" s="345"/>
      <c r="N518"/>
    </row>
    <row r="519" spans="6:14">
      <c r="F519"/>
      <c r="I519" s="345"/>
      <c r="J519" s="88"/>
      <c r="K519" s="345"/>
      <c r="N519"/>
    </row>
    <row r="520" spans="6:14">
      <c r="F520"/>
      <c r="I520" s="345"/>
      <c r="J520" s="88"/>
      <c r="K520" s="345"/>
      <c r="N520"/>
    </row>
    <row r="521" spans="6:14">
      <c r="F521"/>
      <c r="I521" s="345"/>
      <c r="J521" s="88"/>
      <c r="K521" s="345"/>
      <c r="N521"/>
    </row>
    <row r="522" spans="6:14">
      <c r="F522"/>
      <c r="I522" s="345"/>
      <c r="J522" s="88"/>
      <c r="K522" s="345"/>
      <c r="N522"/>
    </row>
    <row r="523" spans="6:14">
      <c r="F523"/>
      <c r="I523" s="345"/>
      <c r="J523" s="88"/>
      <c r="K523" s="345"/>
      <c r="N523"/>
    </row>
    <row r="524" spans="6:14">
      <c r="F524"/>
      <c r="I524" s="345"/>
      <c r="J524" s="88"/>
      <c r="K524" s="345"/>
      <c r="N524"/>
    </row>
    <row r="525" spans="6:14">
      <c r="F525"/>
      <c r="I525" s="345"/>
      <c r="J525" s="88"/>
      <c r="K525" s="345"/>
      <c r="N525"/>
    </row>
    <row r="526" spans="6:14">
      <c r="F526"/>
      <c r="I526" s="345"/>
      <c r="J526" s="88"/>
      <c r="K526" s="345"/>
      <c r="N526"/>
    </row>
    <row r="527" spans="6:14">
      <c r="F527"/>
      <c r="I527" s="345"/>
      <c r="J527" s="88"/>
      <c r="K527" s="345"/>
      <c r="N527"/>
    </row>
    <row r="528" spans="6:14">
      <c r="F528"/>
      <c r="I528" s="345"/>
      <c r="J528" s="88"/>
      <c r="K528" s="345"/>
      <c r="N528"/>
    </row>
    <row r="529" spans="6:14">
      <c r="F529"/>
      <c r="I529" s="345"/>
      <c r="J529" s="88"/>
      <c r="K529" s="345"/>
      <c r="N529"/>
    </row>
    <row r="530" spans="6:14">
      <c r="F530"/>
      <c r="I530" s="345"/>
      <c r="J530" s="88"/>
      <c r="K530" s="345"/>
      <c r="N530"/>
    </row>
    <row r="531" spans="6:14">
      <c r="F531"/>
      <c r="I531" s="345"/>
      <c r="J531" s="88"/>
      <c r="K531" s="345"/>
      <c r="N531"/>
    </row>
    <row r="532" spans="6:14">
      <c r="F532"/>
      <c r="I532" s="345"/>
      <c r="J532" s="88"/>
      <c r="K532" s="345"/>
      <c r="N532"/>
    </row>
    <row r="533" spans="6:14">
      <c r="F533"/>
      <c r="I533" s="345"/>
      <c r="J533" s="88"/>
      <c r="K533" s="345"/>
      <c r="N533"/>
    </row>
    <row r="534" spans="6:14">
      <c r="F534"/>
      <c r="I534" s="345"/>
      <c r="J534" s="88"/>
      <c r="K534" s="345"/>
      <c r="N534"/>
    </row>
    <row r="535" spans="6:14">
      <c r="F535"/>
      <c r="I535" s="345"/>
      <c r="J535" s="88"/>
      <c r="K535" s="345"/>
      <c r="N535"/>
    </row>
    <row r="536" spans="6:14">
      <c r="F536"/>
      <c r="I536" s="345"/>
      <c r="J536" s="88"/>
      <c r="K536" s="345"/>
      <c r="N536"/>
    </row>
    <row r="537" spans="6:14">
      <c r="F537"/>
      <c r="I537" s="345"/>
      <c r="J537" s="88"/>
      <c r="K537" s="345"/>
      <c r="N537"/>
    </row>
    <row r="538" spans="6:14">
      <c r="F538"/>
      <c r="I538" s="345"/>
      <c r="J538" s="88"/>
      <c r="K538" s="345"/>
      <c r="N538"/>
    </row>
    <row r="539" spans="6:14">
      <c r="F539"/>
      <c r="I539" s="345"/>
      <c r="J539" s="88"/>
      <c r="K539" s="345"/>
      <c r="N539"/>
    </row>
    <row r="540" spans="6:14">
      <c r="F540"/>
      <c r="I540" s="345"/>
      <c r="J540" s="88"/>
      <c r="K540" s="345"/>
      <c r="N540"/>
    </row>
    <row r="541" spans="6:14">
      <c r="F541"/>
      <c r="I541" s="345"/>
      <c r="J541" s="88"/>
      <c r="K541" s="345"/>
      <c r="N541"/>
    </row>
    <row r="542" spans="6:14">
      <c r="F542"/>
      <c r="I542" s="345"/>
      <c r="J542" s="88"/>
      <c r="K542" s="345"/>
      <c r="N542"/>
    </row>
    <row r="543" spans="6:14">
      <c r="F543"/>
      <c r="I543" s="345"/>
      <c r="J543" s="88"/>
      <c r="K543" s="345"/>
      <c r="N543"/>
    </row>
    <row r="544" spans="6:14">
      <c r="F544"/>
      <c r="I544" s="345"/>
      <c r="J544" s="88"/>
      <c r="K544" s="345"/>
      <c r="N544"/>
    </row>
    <row r="545" spans="6:14">
      <c r="F545"/>
      <c r="I545" s="345"/>
      <c r="J545" s="88"/>
      <c r="K545" s="345"/>
      <c r="N545"/>
    </row>
    <row r="546" spans="6:14">
      <c r="F546"/>
      <c r="I546" s="345"/>
      <c r="J546" s="88"/>
      <c r="K546" s="345"/>
      <c r="N546"/>
    </row>
    <row r="547" spans="6:14">
      <c r="F547"/>
      <c r="I547" s="345"/>
      <c r="J547" s="88"/>
      <c r="K547" s="345"/>
      <c r="N547"/>
    </row>
    <row r="548" spans="6:14">
      <c r="F548"/>
      <c r="I548" s="345"/>
      <c r="J548" s="88"/>
      <c r="K548" s="345"/>
      <c r="N548"/>
    </row>
    <row r="549" spans="6:14">
      <c r="F549"/>
      <c r="I549" s="345"/>
      <c r="J549" s="88"/>
      <c r="K549" s="345"/>
      <c r="N549"/>
    </row>
    <row r="550" spans="6:14">
      <c r="F550"/>
      <c r="I550" s="345"/>
      <c r="J550" s="88"/>
      <c r="K550" s="345"/>
      <c r="N550"/>
    </row>
    <row r="551" spans="6:14">
      <c r="F551"/>
      <c r="I551" s="345"/>
      <c r="J551" s="88"/>
      <c r="K551" s="345"/>
      <c r="N551"/>
    </row>
    <row r="552" spans="6:14">
      <c r="F552"/>
      <c r="I552" s="345"/>
      <c r="J552" s="88"/>
      <c r="K552" s="345"/>
      <c r="N552"/>
    </row>
    <row r="553" spans="6:14">
      <c r="F553"/>
      <c r="I553" s="345"/>
      <c r="J553" s="88"/>
      <c r="K553" s="345"/>
      <c r="N553"/>
    </row>
    <row r="554" spans="6:14">
      <c r="F554"/>
      <c r="I554" s="345"/>
      <c r="J554" s="88"/>
      <c r="K554" s="345"/>
      <c r="N554"/>
    </row>
    <row r="555" spans="6:14">
      <c r="F555"/>
      <c r="I555" s="345"/>
      <c r="J555" s="88"/>
      <c r="K555" s="345"/>
      <c r="N555"/>
    </row>
    <row r="556" spans="6:14">
      <c r="F556"/>
      <c r="I556" s="345"/>
      <c r="J556" s="88"/>
      <c r="K556" s="345"/>
      <c r="N556"/>
    </row>
    <row r="557" spans="6:14">
      <c r="F557"/>
      <c r="I557" s="345"/>
      <c r="J557" s="88"/>
      <c r="K557" s="345"/>
      <c r="N557"/>
    </row>
    <row r="558" spans="6:14">
      <c r="F558"/>
      <c r="I558" s="345"/>
      <c r="J558" s="88"/>
      <c r="K558" s="345"/>
      <c r="N558"/>
    </row>
    <row r="559" spans="6:14">
      <c r="F559"/>
      <c r="I559" s="345"/>
      <c r="J559" s="88"/>
      <c r="K559" s="345"/>
      <c r="N559"/>
    </row>
    <row r="560" spans="6:14">
      <c r="F560"/>
      <c r="I560" s="345"/>
      <c r="J560" s="88"/>
      <c r="K560" s="345"/>
      <c r="N560"/>
    </row>
    <row r="561" spans="6:14">
      <c r="F561"/>
      <c r="I561" s="345"/>
      <c r="J561" s="88"/>
      <c r="K561" s="345"/>
      <c r="N561"/>
    </row>
    <row r="562" spans="6:14">
      <c r="F562"/>
      <c r="I562" s="345"/>
      <c r="J562" s="88"/>
      <c r="K562" s="345"/>
      <c r="N562"/>
    </row>
    <row r="563" spans="6:14">
      <c r="F563"/>
      <c r="I563" s="345"/>
      <c r="J563" s="88"/>
      <c r="K563" s="345"/>
      <c r="N563"/>
    </row>
    <row r="564" spans="6:14">
      <c r="F564"/>
      <c r="I564" s="345"/>
      <c r="J564" s="88"/>
      <c r="K564" s="345"/>
      <c r="N564"/>
    </row>
    <row r="565" spans="6:14">
      <c r="F565"/>
      <c r="I565" s="345"/>
      <c r="J565" s="88"/>
      <c r="K565" s="345"/>
      <c r="N565"/>
    </row>
    <row r="566" spans="6:14">
      <c r="F566"/>
      <c r="I566" s="345"/>
      <c r="J566" s="88"/>
      <c r="K566" s="345"/>
      <c r="N566"/>
    </row>
    <row r="567" spans="6:14">
      <c r="F567"/>
      <c r="I567" s="345"/>
      <c r="J567" s="88"/>
      <c r="K567" s="345"/>
      <c r="N567"/>
    </row>
    <row r="568" spans="6:14">
      <c r="F568"/>
      <c r="I568" s="345"/>
      <c r="J568" s="88"/>
      <c r="K568" s="345"/>
      <c r="N568"/>
    </row>
    <row r="569" spans="6:14">
      <c r="F569"/>
      <c r="I569" s="345"/>
      <c r="J569" s="88"/>
      <c r="K569" s="345"/>
      <c r="N569"/>
    </row>
    <row r="570" spans="6:14">
      <c r="F570"/>
      <c r="I570" s="345"/>
      <c r="J570" s="88"/>
      <c r="K570" s="345"/>
      <c r="N570"/>
    </row>
    <row r="571" spans="6:14">
      <c r="F571"/>
      <c r="I571" s="345"/>
      <c r="J571" s="88"/>
      <c r="K571" s="345"/>
      <c r="N571"/>
    </row>
    <row r="572" spans="6:14">
      <c r="F572"/>
      <c r="I572" s="345"/>
      <c r="J572" s="88"/>
      <c r="K572" s="345"/>
      <c r="N572"/>
    </row>
    <row r="573" spans="6:14">
      <c r="F573"/>
      <c r="I573" s="345"/>
      <c r="J573" s="88"/>
      <c r="K573" s="345"/>
      <c r="N573"/>
    </row>
    <row r="574" spans="6:14">
      <c r="F574"/>
      <c r="I574" s="345"/>
      <c r="J574" s="88"/>
      <c r="K574" s="345"/>
      <c r="N574"/>
    </row>
    <row r="575" spans="6:14">
      <c r="F575"/>
      <c r="I575" s="345"/>
      <c r="J575" s="88"/>
      <c r="K575" s="345"/>
      <c r="N575"/>
    </row>
    <row r="576" spans="6:14">
      <c r="F576"/>
      <c r="I576" s="345"/>
      <c r="J576" s="88"/>
      <c r="K576" s="345"/>
      <c r="N576"/>
    </row>
    <row r="577" spans="6:14">
      <c r="F577"/>
      <c r="I577" s="345"/>
      <c r="J577" s="88"/>
      <c r="K577" s="345"/>
      <c r="N577"/>
    </row>
    <row r="578" spans="6:14">
      <c r="F578"/>
      <c r="I578" s="345"/>
      <c r="J578" s="88"/>
      <c r="K578" s="345"/>
      <c r="N578"/>
    </row>
    <row r="579" spans="6:14">
      <c r="F579"/>
      <c r="I579" s="345"/>
      <c r="J579" s="88"/>
      <c r="K579" s="345"/>
      <c r="N579"/>
    </row>
    <row r="580" spans="6:14">
      <c r="F580"/>
      <c r="I580" s="345"/>
      <c r="J580" s="88"/>
      <c r="K580" s="345"/>
      <c r="N580"/>
    </row>
    <row r="581" spans="6:14">
      <c r="F581"/>
      <c r="I581" s="345"/>
      <c r="J581" s="88"/>
      <c r="K581" s="345"/>
      <c r="N581"/>
    </row>
    <row r="582" spans="6:14">
      <c r="F582"/>
      <c r="I582" s="345"/>
      <c r="J582" s="88"/>
      <c r="K582" s="345"/>
      <c r="N582"/>
    </row>
    <row r="583" spans="6:14">
      <c r="F583"/>
      <c r="I583" s="345"/>
      <c r="J583" s="88"/>
      <c r="K583" s="345"/>
      <c r="N583"/>
    </row>
    <row r="584" spans="6:14">
      <c r="F584"/>
      <c r="I584" s="345"/>
      <c r="J584" s="88"/>
      <c r="K584" s="345"/>
      <c r="N584"/>
    </row>
    <row r="585" spans="6:14">
      <c r="F585"/>
      <c r="I585" s="345"/>
      <c r="J585" s="88"/>
      <c r="K585" s="345"/>
      <c r="N585"/>
    </row>
    <row r="586" spans="6:14">
      <c r="F586"/>
      <c r="I586" s="345"/>
      <c r="J586" s="88"/>
      <c r="K586" s="345"/>
      <c r="N586"/>
    </row>
    <row r="587" spans="6:14">
      <c r="F587"/>
      <c r="I587" s="345"/>
      <c r="J587" s="88"/>
      <c r="K587" s="345"/>
      <c r="N587"/>
    </row>
    <row r="588" spans="6:14">
      <c r="F588"/>
      <c r="I588" s="345"/>
      <c r="J588" s="88"/>
      <c r="K588" s="345"/>
      <c r="N588"/>
    </row>
    <row r="589" spans="6:14">
      <c r="F589"/>
      <c r="I589" s="345"/>
      <c r="J589" s="88"/>
      <c r="K589" s="345"/>
      <c r="N589"/>
    </row>
    <row r="590" spans="6:14">
      <c r="F590"/>
      <c r="I590" s="345"/>
      <c r="J590" s="88"/>
      <c r="K590" s="345"/>
      <c r="N590"/>
    </row>
    <row r="591" spans="6:14">
      <c r="F591"/>
      <c r="I591" s="345"/>
      <c r="J591" s="88"/>
      <c r="K591" s="345"/>
      <c r="N591"/>
    </row>
    <row r="592" spans="6:14">
      <c r="F592"/>
      <c r="I592" s="345"/>
      <c r="J592" s="88"/>
      <c r="K592" s="345"/>
      <c r="N592"/>
    </row>
    <row r="593" spans="6:14">
      <c r="F593"/>
      <c r="I593" s="345"/>
      <c r="J593" s="88"/>
      <c r="K593" s="345"/>
      <c r="N593"/>
    </row>
    <row r="594" spans="6:14">
      <c r="F594"/>
      <c r="I594" s="345"/>
      <c r="J594" s="88"/>
      <c r="K594" s="345"/>
      <c r="N594"/>
    </row>
    <row r="595" spans="6:14">
      <c r="F595"/>
      <c r="I595" s="345"/>
      <c r="J595" s="88"/>
      <c r="K595" s="345"/>
      <c r="N595"/>
    </row>
    <row r="596" spans="6:14">
      <c r="F596"/>
      <c r="I596" s="345"/>
      <c r="J596" s="88"/>
      <c r="K596" s="345"/>
      <c r="N596"/>
    </row>
    <row r="597" spans="6:14">
      <c r="F597"/>
      <c r="I597" s="345"/>
      <c r="J597" s="88"/>
      <c r="K597" s="345"/>
      <c r="N597"/>
    </row>
    <row r="598" spans="6:14">
      <c r="F598"/>
      <c r="I598" s="345"/>
      <c r="J598" s="88"/>
      <c r="K598" s="345"/>
      <c r="N598"/>
    </row>
    <row r="599" spans="6:14">
      <c r="F599"/>
      <c r="I599" s="345"/>
      <c r="J599" s="88"/>
      <c r="K599" s="345"/>
      <c r="N599"/>
    </row>
    <row r="600" spans="6:14">
      <c r="F600"/>
      <c r="I600" s="345"/>
      <c r="J600" s="88"/>
      <c r="K600" s="345"/>
      <c r="N600"/>
    </row>
    <row r="601" spans="6:14">
      <c r="F601"/>
      <c r="I601" s="345"/>
      <c r="J601" s="88"/>
      <c r="K601" s="345"/>
      <c r="N601"/>
    </row>
    <row r="602" spans="6:14">
      <c r="F602"/>
      <c r="I602" s="345"/>
      <c r="J602" s="88"/>
      <c r="K602" s="345"/>
      <c r="N602"/>
    </row>
    <row r="603" spans="6:14">
      <c r="F603"/>
      <c r="I603" s="345"/>
      <c r="J603" s="88"/>
      <c r="K603" s="345"/>
      <c r="N603"/>
    </row>
    <row r="604" spans="6:14">
      <c r="F604"/>
      <c r="I604" s="345"/>
      <c r="J604" s="88"/>
      <c r="K604" s="345"/>
      <c r="N604"/>
    </row>
    <row r="605" spans="6:14">
      <c r="F605"/>
      <c r="I605" s="345"/>
      <c r="J605" s="88"/>
      <c r="K605" s="345"/>
      <c r="N605"/>
    </row>
    <row r="606" spans="6:14">
      <c r="F606"/>
      <c r="I606" s="345"/>
      <c r="J606" s="88"/>
      <c r="K606" s="345"/>
      <c r="N606"/>
    </row>
    <row r="607" spans="6:14">
      <c r="F607"/>
      <c r="I607" s="345"/>
      <c r="J607" s="88"/>
      <c r="K607" s="345"/>
      <c r="N607"/>
    </row>
    <row r="608" spans="6:14">
      <c r="F608"/>
      <c r="I608" s="345"/>
      <c r="J608" s="88"/>
      <c r="K608" s="345"/>
      <c r="N608"/>
    </row>
    <row r="609" spans="6:14">
      <c r="F609"/>
      <c r="I609" s="345"/>
      <c r="J609" s="88"/>
      <c r="K609" s="345"/>
      <c r="N609"/>
    </row>
    <row r="610" spans="6:14">
      <c r="F610"/>
      <c r="I610" s="345"/>
      <c r="J610" s="88"/>
      <c r="K610" s="345"/>
      <c r="N610"/>
    </row>
    <row r="611" spans="6:14">
      <c r="F611"/>
      <c r="I611" s="345"/>
      <c r="J611" s="88"/>
      <c r="K611" s="345"/>
      <c r="N611"/>
    </row>
    <row r="612" spans="6:14">
      <c r="F612"/>
      <c r="I612" s="345"/>
      <c r="J612" s="88"/>
      <c r="K612" s="345"/>
      <c r="N612"/>
    </row>
    <row r="613" spans="6:14">
      <c r="F613"/>
      <c r="I613" s="345"/>
      <c r="J613" s="88"/>
      <c r="K613" s="345"/>
      <c r="N613"/>
    </row>
    <row r="614" spans="6:14">
      <c r="F614"/>
      <c r="I614" s="345"/>
      <c r="J614" s="88"/>
      <c r="K614" s="345"/>
      <c r="N614"/>
    </row>
    <row r="615" spans="6:14">
      <c r="F615"/>
      <c r="I615" s="345"/>
      <c r="J615" s="88"/>
      <c r="K615" s="345"/>
      <c r="N615"/>
    </row>
    <row r="616" spans="6:14">
      <c r="F616"/>
      <c r="I616" s="345"/>
      <c r="J616" s="88"/>
      <c r="K616" s="345"/>
      <c r="N616"/>
    </row>
    <row r="617" spans="6:14">
      <c r="F617"/>
      <c r="I617" s="345"/>
      <c r="J617" s="88"/>
      <c r="K617" s="345"/>
      <c r="N617"/>
    </row>
    <row r="618" spans="6:14">
      <c r="F618"/>
      <c r="I618" s="345"/>
      <c r="J618" s="88"/>
      <c r="K618" s="345"/>
      <c r="N618"/>
    </row>
    <row r="619" spans="6:14">
      <c r="F619"/>
      <c r="I619" s="345"/>
      <c r="J619" s="88"/>
      <c r="K619" s="345"/>
      <c r="N619"/>
    </row>
    <row r="620" spans="6:14">
      <c r="F620"/>
      <c r="I620" s="345"/>
      <c r="J620" s="88"/>
      <c r="K620" s="345"/>
      <c r="N620"/>
    </row>
    <row r="621" spans="6:14">
      <c r="F621"/>
      <c r="I621" s="345"/>
      <c r="J621" s="88"/>
      <c r="K621" s="345"/>
      <c r="N621"/>
    </row>
    <row r="622" spans="6:14">
      <c r="F622"/>
      <c r="I622" s="345"/>
      <c r="J622" s="88"/>
      <c r="K622" s="345"/>
      <c r="N622"/>
    </row>
    <row r="623" spans="6:14">
      <c r="F623"/>
      <c r="I623" s="345"/>
      <c r="J623" s="88"/>
      <c r="K623" s="345"/>
      <c r="N623"/>
    </row>
    <row r="624" spans="6:14">
      <c r="F624"/>
      <c r="I624" s="345"/>
      <c r="J624" s="88"/>
      <c r="K624" s="345"/>
      <c r="N624"/>
    </row>
    <row r="625" spans="6:14">
      <c r="F625"/>
      <c r="I625" s="345"/>
      <c r="J625" s="88"/>
      <c r="K625" s="345"/>
      <c r="N625"/>
    </row>
    <row r="626" spans="6:14">
      <c r="F626"/>
      <c r="I626" s="345"/>
      <c r="J626" s="88"/>
      <c r="K626" s="345"/>
      <c r="N626"/>
    </row>
    <row r="627" spans="6:14">
      <c r="F627"/>
      <c r="I627" s="345"/>
      <c r="J627" s="88"/>
      <c r="K627" s="345"/>
      <c r="N627"/>
    </row>
    <row r="628" spans="6:14">
      <c r="F628"/>
      <c r="I628" s="345"/>
      <c r="J628" s="88"/>
      <c r="K628" s="345"/>
      <c r="N628"/>
    </row>
    <row r="629" spans="6:14">
      <c r="F629"/>
      <c r="I629" s="345"/>
      <c r="J629" s="88"/>
      <c r="K629" s="345"/>
      <c r="N629"/>
    </row>
    <row r="630" spans="6:14">
      <c r="F630"/>
      <c r="I630" s="345"/>
      <c r="J630" s="88"/>
      <c r="K630" s="345"/>
      <c r="N630"/>
    </row>
    <row r="631" spans="6:14">
      <c r="F631"/>
      <c r="I631" s="345"/>
      <c r="J631" s="88"/>
      <c r="K631" s="345"/>
      <c r="N631"/>
    </row>
    <row r="632" spans="6:14">
      <c r="F632"/>
      <c r="I632" s="345"/>
      <c r="J632" s="88"/>
      <c r="K632" s="345"/>
      <c r="N632"/>
    </row>
    <row r="633" spans="6:14">
      <c r="F633"/>
      <c r="I633" s="345"/>
      <c r="J633" s="88"/>
      <c r="K633" s="345"/>
      <c r="N633"/>
    </row>
    <row r="634" spans="6:14">
      <c r="F634"/>
      <c r="I634" s="345"/>
      <c r="J634" s="88"/>
      <c r="K634" s="345"/>
      <c r="N634"/>
    </row>
    <row r="635" spans="6:14">
      <c r="F635"/>
      <c r="I635" s="345"/>
      <c r="J635" s="88"/>
      <c r="K635" s="345"/>
      <c r="N635"/>
    </row>
    <row r="636" spans="6:14">
      <c r="F636"/>
      <c r="I636" s="345"/>
      <c r="J636" s="88"/>
      <c r="K636" s="345"/>
      <c r="N636"/>
    </row>
    <row r="637" spans="6:14">
      <c r="F637"/>
      <c r="I637" s="345"/>
      <c r="J637" s="88"/>
      <c r="K637" s="345"/>
      <c r="N637"/>
    </row>
    <row r="638" spans="6:14">
      <c r="F638"/>
      <c r="I638" s="345"/>
      <c r="J638" s="88"/>
      <c r="K638" s="345"/>
      <c r="N638"/>
    </row>
    <row r="639" spans="6:14">
      <c r="F639"/>
      <c r="I639" s="345"/>
      <c r="J639" s="88"/>
      <c r="K639" s="345"/>
      <c r="N639"/>
    </row>
    <row r="640" spans="6:14">
      <c r="F640"/>
      <c r="I640" s="345"/>
      <c r="J640" s="88"/>
      <c r="K640" s="345"/>
      <c r="N640"/>
    </row>
    <row r="641" spans="6:14">
      <c r="F641"/>
      <c r="I641" s="345"/>
      <c r="J641" s="88"/>
      <c r="K641" s="345"/>
      <c r="N641"/>
    </row>
    <row r="642" spans="6:14">
      <c r="F642"/>
      <c r="I642" s="345"/>
      <c r="J642" s="88"/>
      <c r="K642" s="345"/>
      <c r="N642"/>
    </row>
    <row r="643" spans="6:14">
      <c r="F643"/>
      <c r="I643" s="345"/>
      <c r="J643" s="88"/>
      <c r="K643" s="345"/>
      <c r="N643"/>
    </row>
    <row r="644" spans="6:14">
      <c r="F644"/>
      <c r="I644" s="345"/>
      <c r="J644" s="88"/>
      <c r="K644" s="345"/>
      <c r="N644"/>
    </row>
    <row r="645" spans="6:14">
      <c r="F645"/>
      <c r="I645" s="345"/>
      <c r="J645" s="88"/>
      <c r="K645" s="345"/>
      <c r="N645"/>
    </row>
    <row r="646" spans="6:14">
      <c r="F646"/>
      <c r="I646" s="345"/>
      <c r="J646" s="88"/>
      <c r="K646" s="345"/>
      <c r="N646"/>
    </row>
    <row r="647" spans="6:14">
      <c r="F647"/>
      <c r="I647" s="345"/>
      <c r="J647" s="88"/>
      <c r="K647" s="345"/>
      <c r="N647"/>
    </row>
    <row r="648" spans="6:14">
      <c r="F648"/>
      <c r="I648" s="345"/>
      <c r="J648" s="88"/>
      <c r="K648" s="345"/>
      <c r="N648"/>
    </row>
    <row r="649" spans="6:14">
      <c r="F649"/>
      <c r="I649" s="345"/>
      <c r="J649" s="88"/>
      <c r="K649" s="345"/>
      <c r="N649"/>
    </row>
    <row r="650" spans="6:14">
      <c r="F650"/>
      <c r="I650" s="345"/>
      <c r="J650" s="88"/>
      <c r="K650" s="345"/>
      <c r="N650"/>
    </row>
    <row r="651" spans="6:14">
      <c r="F651"/>
      <c r="I651" s="345"/>
      <c r="J651" s="88"/>
      <c r="K651" s="345"/>
      <c r="N651"/>
    </row>
    <row r="652" spans="6:14">
      <c r="F652"/>
      <c r="I652" s="345"/>
      <c r="J652" s="88"/>
      <c r="K652" s="345"/>
      <c r="N652"/>
    </row>
    <row r="653" spans="6:14">
      <c r="F653"/>
      <c r="I653" s="345"/>
      <c r="J653" s="88"/>
      <c r="K653" s="345"/>
      <c r="N653"/>
    </row>
    <row r="654" spans="6:14">
      <c r="F654"/>
      <c r="I654" s="345"/>
      <c r="J654" s="88"/>
      <c r="K654" s="345"/>
      <c r="N654"/>
    </row>
    <row r="655" spans="6:14">
      <c r="F655"/>
      <c r="I655" s="345"/>
      <c r="J655" s="88"/>
      <c r="K655" s="345"/>
      <c r="N655"/>
    </row>
    <row r="656" spans="6:14">
      <c r="F656"/>
      <c r="I656" s="345"/>
      <c r="J656" s="88"/>
      <c r="K656" s="345"/>
      <c r="N656"/>
    </row>
    <row r="657" spans="6:14">
      <c r="F657"/>
      <c r="I657" s="345"/>
      <c r="J657" s="88"/>
      <c r="K657" s="345"/>
      <c r="N657"/>
    </row>
    <row r="658" spans="6:14">
      <c r="F658"/>
      <c r="I658" s="345"/>
      <c r="J658" s="88"/>
      <c r="K658" s="345"/>
      <c r="N658"/>
    </row>
    <row r="659" spans="6:14">
      <c r="F659"/>
      <c r="I659" s="345"/>
      <c r="J659" s="88"/>
      <c r="K659" s="345"/>
      <c r="N659"/>
    </row>
    <row r="660" spans="6:14">
      <c r="F660"/>
      <c r="I660" s="345"/>
      <c r="J660" s="88"/>
      <c r="K660" s="345"/>
      <c r="N660"/>
    </row>
    <row r="661" spans="6:14">
      <c r="F661"/>
      <c r="I661" s="345"/>
      <c r="J661" s="88"/>
      <c r="K661" s="345"/>
      <c r="N661"/>
    </row>
    <row r="662" spans="6:14">
      <c r="F662"/>
      <c r="I662" s="345"/>
      <c r="J662" s="88"/>
      <c r="K662" s="345"/>
      <c r="N662"/>
    </row>
    <row r="663" spans="6:14">
      <c r="F663"/>
      <c r="I663" s="345"/>
      <c r="J663" s="88"/>
      <c r="K663" s="345"/>
      <c r="N663"/>
    </row>
    <row r="664" spans="6:14">
      <c r="F664"/>
      <c r="I664" s="345"/>
      <c r="J664" s="88"/>
      <c r="K664" s="345"/>
      <c r="N664"/>
    </row>
    <row r="665" spans="6:14">
      <c r="F665"/>
      <c r="I665" s="345"/>
      <c r="J665" s="88"/>
      <c r="K665" s="345"/>
      <c r="N665"/>
    </row>
    <row r="666" spans="6:14">
      <c r="F666"/>
      <c r="I666" s="345"/>
      <c r="J666" s="88"/>
      <c r="K666" s="345"/>
      <c r="N666"/>
    </row>
    <row r="667" spans="6:14">
      <c r="F667"/>
      <c r="I667" s="345"/>
      <c r="J667" s="88"/>
      <c r="K667" s="345"/>
      <c r="N667"/>
    </row>
    <row r="668" spans="6:14">
      <c r="F668"/>
      <c r="I668" s="345"/>
      <c r="J668" s="88"/>
      <c r="K668" s="345"/>
      <c r="N668"/>
    </row>
    <row r="669" spans="6:14">
      <c r="F669"/>
      <c r="I669" s="345"/>
      <c r="J669" s="88"/>
      <c r="K669" s="345"/>
      <c r="N669"/>
    </row>
    <row r="670" spans="6:14">
      <c r="F670"/>
      <c r="I670" s="345"/>
      <c r="J670" s="88"/>
      <c r="K670" s="345"/>
      <c r="N670"/>
    </row>
    <row r="671" spans="6:14">
      <c r="F671"/>
      <c r="I671" s="345"/>
      <c r="J671" s="88"/>
      <c r="K671" s="345"/>
      <c r="N671"/>
    </row>
    <row r="672" spans="6:14">
      <c r="F672"/>
      <c r="I672" s="345"/>
      <c r="J672" s="88"/>
      <c r="K672" s="345"/>
      <c r="N672"/>
    </row>
    <row r="673" spans="6:14">
      <c r="F673"/>
      <c r="I673" s="345"/>
      <c r="J673" s="88"/>
      <c r="K673" s="345"/>
      <c r="N673"/>
    </row>
    <row r="674" spans="6:14">
      <c r="F674"/>
      <c r="I674" s="345"/>
      <c r="J674" s="88"/>
      <c r="K674" s="345"/>
      <c r="N674"/>
    </row>
    <row r="675" spans="6:14">
      <c r="F675"/>
      <c r="I675" s="345"/>
      <c r="J675" s="88"/>
      <c r="K675" s="345"/>
      <c r="N675"/>
    </row>
    <row r="676" spans="6:14">
      <c r="F676"/>
      <c r="I676" s="345"/>
      <c r="J676" s="88"/>
      <c r="K676" s="345"/>
      <c r="N676"/>
    </row>
    <row r="677" spans="6:14">
      <c r="F677"/>
      <c r="I677" s="345"/>
      <c r="J677" s="88"/>
      <c r="K677" s="345"/>
      <c r="N677"/>
    </row>
    <row r="678" spans="6:14">
      <c r="F678"/>
      <c r="I678" s="345"/>
      <c r="J678" s="88"/>
      <c r="K678" s="345"/>
      <c r="N678"/>
    </row>
    <row r="679" spans="6:14">
      <c r="F679"/>
      <c r="I679" s="345"/>
      <c r="J679" s="88"/>
      <c r="K679" s="345"/>
      <c r="N679"/>
    </row>
    <row r="680" spans="6:14">
      <c r="F680"/>
      <c r="I680" s="345"/>
      <c r="J680" s="88"/>
      <c r="K680" s="345"/>
      <c r="N680"/>
    </row>
    <row r="681" spans="6:14">
      <c r="F681"/>
      <c r="I681" s="345"/>
      <c r="J681" s="88"/>
      <c r="K681" s="345"/>
      <c r="N681"/>
    </row>
    <row r="682" spans="6:14">
      <c r="F682"/>
      <c r="I682" s="345"/>
      <c r="J682" s="88"/>
      <c r="K682" s="345"/>
      <c r="N682"/>
    </row>
    <row r="683" spans="6:14">
      <c r="F683"/>
      <c r="I683" s="345"/>
      <c r="J683" s="88"/>
      <c r="K683" s="345"/>
      <c r="N683"/>
    </row>
    <row r="684" spans="6:14">
      <c r="F684"/>
      <c r="I684" s="345"/>
      <c r="J684" s="88"/>
      <c r="K684" s="345"/>
      <c r="N684"/>
    </row>
    <row r="685" spans="6:14">
      <c r="F685"/>
      <c r="I685" s="345"/>
      <c r="J685" s="88"/>
      <c r="K685" s="345"/>
      <c r="N685"/>
    </row>
    <row r="686" spans="6:14">
      <c r="F686"/>
      <c r="I686" s="345"/>
      <c r="J686" s="88"/>
      <c r="K686" s="345"/>
      <c r="N686"/>
    </row>
    <row r="687" spans="6:14">
      <c r="F687"/>
      <c r="I687" s="345"/>
      <c r="J687" s="88"/>
      <c r="K687" s="345"/>
      <c r="N687"/>
    </row>
    <row r="688" spans="6:14">
      <c r="F688"/>
      <c r="I688" s="345"/>
      <c r="J688" s="88"/>
      <c r="K688" s="345"/>
      <c r="N688"/>
    </row>
    <row r="689" spans="6:14">
      <c r="F689"/>
      <c r="I689" s="345"/>
      <c r="J689" s="88"/>
      <c r="K689" s="345"/>
      <c r="N689"/>
    </row>
    <row r="690" spans="6:14">
      <c r="F690"/>
      <c r="I690" s="345"/>
      <c r="J690" s="88"/>
      <c r="K690" s="345"/>
      <c r="N690"/>
    </row>
    <row r="691" spans="6:14">
      <c r="F691"/>
      <c r="I691" s="345"/>
      <c r="J691" s="88"/>
      <c r="K691" s="345"/>
      <c r="N691"/>
    </row>
    <row r="692" spans="6:14">
      <c r="F692"/>
      <c r="I692" s="345"/>
      <c r="J692" s="88"/>
      <c r="K692" s="345"/>
      <c r="N692"/>
    </row>
    <row r="693" spans="6:14">
      <c r="F693"/>
      <c r="I693" s="345"/>
      <c r="J693" s="88"/>
      <c r="K693" s="345"/>
      <c r="N693"/>
    </row>
    <row r="694" spans="6:14">
      <c r="F694"/>
      <c r="I694" s="345"/>
      <c r="J694" s="88"/>
      <c r="K694" s="345"/>
      <c r="N694"/>
    </row>
    <row r="695" spans="6:14">
      <c r="F695"/>
      <c r="I695" s="345"/>
      <c r="J695" s="88"/>
      <c r="K695" s="345"/>
      <c r="N695"/>
    </row>
    <row r="696" spans="6:14">
      <c r="F696"/>
      <c r="I696" s="345"/>
      <c r="J696" s="88"/>
      <c r="K696" s="345"/>
      <c r="N696"/>
    </row>
    <row r="697" spans="6:14">
      <c r="F697"/>
      <c r="I697" s="345"/>
      <c r="J697" s="88"/>
      <c r="K697" s="345"/>
      <c r="N697"/>
    </row>
    <row r="698" spans="6:14">
      <c r="F698"/>
      <c r="I698" s="345"/>
      <c r="J698" s="88"/>
      <c r="K698" s="345"/>
      <c r="N698"/>
    </row>
    <row r="699" spans="6:14">
      <c r="F699"/>
      <c r="I699" s="345"/>
      <c r="J699" s="88"/>
      <c r="K699" s="345"/>
      <c r="N699"/>
    </row>
    <row r="700" spans="6:14">
      <c r="F700"/>
      <c r="I700" s="345"/>
      <c r="J700" s="88"/>
      <c r="K700" s="345"/>
      <c r="N700"/>
    </row>
    <row r="701" spans="6:14">
      <c r="F701"/>
      <c r="I701" s="345"/>
      <c r="J701" s="88"/>
      <c r="K701" s="345"/>
      <c r="N701"/>
    </row>
    <row r="702" spans="6:14">
      <c r="F702"/>
      <c r="I702" s="345"/>
      <c r="J702" s="88"/>
      <c r="K702" s="345"/>
      <c r="N702"/>
    </row>
    <row r="703" spans="6:14">
      <c r="F703"/>
      <c r="I703" s="345"/>
      <c r="J703" s="88"/>
      <c r="K703" s="345"/>
      <c r="N703"/>
    </row>
    <row r="704" spans="6:14">
      <c r="F704"/>
      <c r="I704" s="345"/>
      <c r="J704" s="88"/>
      <c r="K704" s="345"/>
      <c r="N704"/>
    </row>
    <row r="705" spans="6:14">
      <c r="F705"/>
      <c r="I705" s="345"/>
      <c r="J705" s="88"/>
      <c r="K705" s="345"/>
      <c r="N705"/>
    </row>
    <row r="706" spans="6:14">
      <c r="F706"/>
      <c r="I706" s="345"/>
      <c r="J706" s="88"/>
      <c r="K706" s="345"/>
      <c r="N706"/>
    </row>
    <row r="707" spans="6:14">
      <c r="F707"/>
      <c r="I707" s="345"/>
      <c r="J707" s="88"/>
      <c r="K707" s="345"/>
      <c r="N707"/>
    </row>
    <row r="708" spans="6:14">
      <c r="F708"/>
      <c r="I708" s="345"/>
      <c r="J708" s="88"/>
      <c r="K708" s="345"/>
      <c r="N708"/>
    </row>
    <row r="709" spans="6:14">
      <c r="F709"/>
      <c r="I709" s="345"/>
      <c r="J709" s="88"/>
      <c r="K709" s="345"/>
      <c r="N709"/>
    </row>
    <row r="710" spans="6:14">
      <c r="F710"/>
      <c r="I710" s="345"/>
      <c r="J710" s="88"/>
      <c r="K710" s="345"/>
      <c r="N710"/>
    </row>
    <row r="711" spans="6:14">
      <c r="F711"/>
      <c r="I711" s="345"/>
      <c r="J711" s="88"/>
      <c r="K711" s="345"/>
      <c r="N711"/>
    </row>
    <row r="712" spans="6:14">
      <c r="F712"/>
      <c r="I712" s="345"/>
      <c r="J712" s="88"/>
      <c r="K712" s="345"/>
      <c r="N712"/>
    </row>
    <row r="713" spans="6:14">
      <c r="F713"/>
      <c r="I713" s="345"/>
      <c r="J713" s="88"/>
      <c r="K713" s="345"/>
      <c r="N713"/>
    </row>
    <row r="714" spans="6:14">
      <c r="F714"/>
      <c r="I714" s="345"/>
      <c r="J714" s="88"/>
      <c r="K714" s="345"/>
      <c r="N714"/>
    </row>
    <row r="715" spans="6:14">
      <c r="F715"/>
      <c r="I715" s="345"/>
      <c r="J715" s="88"/>
      <c r="K715" s="345"/>
      <c r="N715"/>
    </row>
    <row r="716" spans="6:14">
      <c r="F716"/>
      <c r="I716" s="345"/>
      <c r="J716" s="88"/>
      <c r="K716" s="345"/>
      <c r="N716"/>
    </row>
    <row r="717" spans="6:14">
      <c r="F717"/>
      <c r="I717" s="345"/>
      <c r="J717" s="88"/>
      <c r="K717" s="345"/>
      <c r="N717"/>
    </row>
    <row r="718" spans="6:14">
      <c r="F718"/>
      <c r="I718" s="345"/>
      <c r="J718" s="88"/>
      <c r="K718" s="345"/>
      <c r="N718"/>
    </row>
    <row r="719" spans="6:14">
      <c r="F719"/>
      <c r="I719" s="345"/>
      <c r="J719" s="88"/>
      <c r="K719" s="345"/>
      <c r="N719"/>
    </row>
    <row r="720" spans="6:14">
      <c r="F720"/>
      <c r="I720" s="345"/>
      <c r="J720" s="88"/>
      <c r="K720" s="345"/>
      <c r="N720"/>
    </row>
    <row r="721" spans="6:14">
      <c r="F721"/>
      <c r="I721" s="345"/>
      <c r="J721" s="88"/>
      <c r="K721" s="345"/>
      <c r="N721"/>
    </row>
    <row r="722" spans="6:14">
      <c r="F722"/>
      <c r="I722" s="345"/>
      <c r="J722" s="88"/>
      <c r="K722" s="345"/>
      <c r="N722"/>
    </row>
    <row r="723" spans="6:14">
      <c r="F723"/>
      <c r="I723" s="345"/>
      <c r="J723" s="88"/>
      <c r="K723" s="345"/>
      <c r="N723"/>
    </row>
    <row r="724" spans="6:14">
      <c r="F724"/>
      <c r="I724" s="345"/>
      <c r="J724" s="88"/>
      <c r="K724" s="345"/>
      <c r="N724"/>
    </row>
    <row r="725" spans="6:14">
      <c r="F725"/>
      <c r="I725" s="345"/>
      <c r="J725" s="88"/>
      <c r="K725" s="345"/>
      <c r="N725"/>
    </row>
    <row r="726" spans="6:14">
      <c r="F726"/>
      <c r="I726" s="345"/>
      <c r="J726" s="88"/>
      <c r="K726" s="345"/>
      <c r="N726"/>
    </row>
    <row r="727" spans="6:14">
      <c r="F727"/>
      <c r="I727" s="345"/>
      <c r="J727" s="88"/>
      <c r="K727" s="345"/>
      <c r="N727"/>
    </row>
    <row r="728" spans="6:14">
      <c r="F728"/>
      <c r="I728" s="345"/>
      <c r="J728" s="88"/>
      <c r="K728" s="345"/>
      <c r="N728"/>
    </row>
    <row r="729" spans="6:14">
      <c r="F729"/>
      <c r="I729" s="345"/>
      <c r="J729" s="88"/>
      <c r="K729" s="345"/>
      <c r="N729"/>
    </row>
    <row r="730" spans="6:14">
      <c r="F730"/>
      <c r="I730" s="345"/>
      <c r="J730" s="88"/>
      <c r="K730" s="345"/>
      <c r="N730"/>
    </row>
    <row r="731" spans="6:14">
      <c r="F731"/>
      <c r="I731" s="345"/>
      <c r="J731" s="88"/>
      <c r="K731" s="345"/>
      <c r="N731"/>
    </row>
    <row r="732" spans="6:14">
      <c r="F732"/>
      <c r="I732" s="345"/>
      <c r="J732" s="88"/>
      <c r="K732" s="345"/>
      <c r="N732"/>
    </row>
    <row r="733" spans="6:14">
      <c r="F733"/>
      <c r="I733" s="345"/>
      <c r="J733" s="88"/>
      <c r="K733" s="345"/>
      <c r="N733"/>
    </row>
    <row r="734" spans="6:14">
      <c r="F734"/>
      <c r="I734" s="345"/>
      <c r="J734" s="88"/>
      <c r="K734" s="345"/>
      <c r="N734"/>
    </row>
    <row r="735" spans="6:14">
      <c r="F735"/>
      <c r="I735" s="345"/>
      <c r="J735" s="88"/>
      <c r="K735" s="345"/>
      <c r="N735"/>
    </row>
    <row r="736" spans="6:14">
      <c r="F736"/>
      <c r="I736" s="345"/>
      <c r="J736" s="88"/>
      <c r="K736" s="345"/>
      <c r="N736"/>
    </row>
    <row r="737" spans="6:14">
      <c r="F737"/>
      <c r="I737" s="345"/>
      <c r="J737" s="88"/>
      <c r="K737" s="345"/>
      <c r="N737"/>
    </row>
    <row r="738" spans="6:14">
      <c r="F738"/>
      <c r="I738" s="345"/>
      <c r="J738" s="88"/>
      <c r="K738" s="345"/>
      <c r="N738"/>
    </row>
    <row r="739" spans="6:14">
      <c r="F739"/>
      <c r="I739" s="345"/>
      <c r="J739" s="88"/>
      <c r="K739" s="345"/>
      <c r="N739"/>
    </row>
    <row r="740" spans="6:14">
      <c r="F740"/>
      <c r="I740" s="345"/>
      <c r="J740" s="88"/>
      <c r="K740" s="345"/>
      <c r="N740"/>
    </row>
    <row r="741" spans="6:14">
      <c r="F741"/>
      <c r="I741" s="345"/>
      <c r="J741" s="88"/>
      <c r="K741" s="345"/>
      <c r="N741"/>
    </row>
    <row r="742" spans="6:14">
      <c r="F742"/>
      <c r="I742" s="345"/>
      <c r="J742" s="88"/>
      <c r="K742" s="345"/>
      <c r="N742"/>
    </row>
    <row r="743" spans="6:14">
      <c r="F743"/>
      <c r="I743" s="345"/>
      <c r="J743" s="88"/>
      <c r="K743" s="345"/>
      <c r="N743"/>
    </row>
    <row r="744" spans="6:14">
      <c r="F744"/>
      <c r="I744" s="345"/>
      <c r="J744" s="88"/>
      <c r="K744" s="345"/>
      <c r="N744"/>
    </row>
    <row r="745" spans="6:14">
      <c r="F745"/>
      <c r="I745" s="345"/>
      <c r="J745" s="88"/>
      <c r="K745" s="345"/>
      <c r="N745"/>
    </row>
    <row r="746" spans="6:14">
      <c r="F746"/>
      <c r="I746" s="345"/>
      <c r="J746" s="88"/>
      <c r="K746" s="345"/>
      <c r="N746"/>
    </row>
    <row r="747" spans="6:14">
      <c r="F747"/>
      <c r="I747" s="345"/>
      <c r="J747" s="88"/>
      <c r="K747" s="345"/>
      <c r="N747"/>
    </row>
    <row r="748" spans="6:14">
      <c r="F748"/>
      <c r="I748" s="345"/>
      <c r="J748" s="88"/>
      <c r="K748" s="345"/>
      <c r="N748"/>
    </row>
    <row r="749" spans="6:14">
      <c r="F749"/>
      <c r="I749" s="345"/>
      <c r="J749" s="88"/>
      <c r="K749" s="345"/>
      <c r="N749"/>
    </row>
    <row r="750" spans="6:14">
      <c r="F750"/>
      <c r="I750" s="345"/>
      <c r="J750" s="88"/>
      <c r="K750" s="345"/>
      <c r="N750"/>
    </row>
    <row r="751" spans="6:14">
      <c r="F751"/>
      <c r="I751" s="345"/>
      <c r="J751" s="88"/>
      <c r="K751" s="345"/>
      <c r="N751"/>
    </row>
    <row r="752" spans="6:14">
      <c r="F752"/>
      <c r="I752" s="345"/>
      <c r="J752" s="88"/>
      <c r="K752" s="345"/>
      <c r="N752"/>
    </row>
    <row r="753" spans="6:14">
      <c r="F753"/>
      <c r="I753" s="345"/>
      <c r="J753" s="88"/>
      <c r="K753" s="345"/>
      <c r="N753"/>
    </row>
    <row r="754" spans="6:14">
      <c r="F754"/>
      <c r="I754" s="345"/>
      <c r="J754" s="88"/>
      <c r="K754" s="345"/>
      <c r="N754"/>
    </row>
    <row r="755" spans="6:14">
      <c r="F755"/>
      <c r="I755" s="345"/>
      <c r="J755" s="88"/>
      <c r="K755" s="345"/>
      <c r="N755"/>
    </row>
    <row r="756" spans="6:14">
      <c r="F756"/>
      <c r="I756" s="345"/>
      <c r="J756" s="88"/>
      <c r="K756" s="345"/>
      <c r="N756"/>
    </row>
    <row r="757" spans="6:14">
      <c r="F757"/>
      <c r="I757" s="345"/>
      <c r="J757" s="88"/>
      <c r="K757" s="345"/>
      <c r="N757"/>
    </row>
    <row r="758" spans="6:14">
      <c r="F758"/>
      <c r="I758" s="345"/>
      <c r="J758" s="88"/>
      <c r="K758" s="345"/>
      <c r="N758"/>
    </row>
    <row r="759" spans="6:14">
      <c r="F759"/>
      <c r="I759" s="345"/>
      <c r="J759" s="88"/>
      <c r="K759" s="345"/>
      <c r="N759"/>
    </row>
    <row r="760" spans="6:14">
      <c r="F760"/>
      <c r="I760" s="345"/>
      <c r="J760" s="88"/>
      <c r="K760" s="345"/>
      <c r="N760"/>
    </row>
    <row r="761" spans="6:14">
      <c r="F761"/>
      <c r="I761" s="345"/>
      <c r="J761" s="88"/>
      <c r="K761" s="345"/>
      <c r="N761"/>
    </row>
    <row r="762" spans="6:14">
      <c r="F762"/>
      <c r="I762" s="345"/>
      <c r="J762" s="88"/>
      <c r="K762" s="345"/>
      <c r="N762"/>
    </row>
    <row r="763" spans="6:14">
      <c r="F763"/>
      <c r="I763" s="345"/>
      <c r="J763" s="88"/>
      <c r="K763" s="345"/>
      <c r="N763"/>
    </row>
    <row r="764" spans="6:14">
      <c r="F764"/>
      <c r="I764" s="345"/>
      <c r="J764" s="88"/>
      <c r="K764" s="345"/>
      <c r="N764"/>
    </row>
    <row r="765" spans="6:14">
      <c r="F765"/>
      <c r="I765" s="345"/>
      <c r="J765" s="88"/>
      <c r="K765" s="345"/>
      <c r="N765"/>
    </row>
    <row r="766" spans="6:14">
      <c r="F766"/>
      <c r="I766" s="345"/>
      <c r="J766" s="88"/>
      <c r="K766" s="345"/>
      <c r="N766"/>
    </row>
    <row r="767" spans="6:14">
      <c r="F767"/>
      <c r="I767" s="345"/>
      <c r="J767" s="88"/>
      <c r="K767" s="345"/>
      <c r="N767"/>
    </row>
    <row r="768" spans="6:14">
      <c r="F768"/>
      <c r="I768" s="345"/>
      <c r="J768" s="88"/>
      <c r="K768" s="345"/>
      <c r="N768"/>
    </row>
    <row r="769" spans="6:14">
      <c r="F769"/>
      <c r="I769" s="345"/>
      <c r="J769" s="88"/>
      <c r="K769" s="345"/>
      <c r="N769"/>
    </row>
    <row r="770" spans="6:14">
      <c r="F770"/>
      <c r="I770" s="345"/>
      <c r="J770" s="88"/>
      <c r="K770" s="345"/>
      <c r="N770"/>
    </row>
    <row r="771" spans="6:14">
      <c r="F771"/>
      <c r="I771" s="345"/>
      <c r="J771" s="88"/>
      <c r="K771" s="345"/>
      <c r="N771"/>
    </row>
    <row r="772" spans="6:14">
      <c r="F772"/>
      <c r="I772" s="345"/>
      <c r="J772" s="88"/>
      <c r="K772" s="345"/>
      <c r="N772"/>
    </row>
    <row r="773" spans="6:14">
      <c r="F773"/>
      <c r="I773" s="345"/>
      <c r="J773" s="88"/>
      <c r="K773" s="345"/>
      <c r="N773"/>
    </row>
    <row r="774" spans="6:14">
      <c r="F774"/>
      <c r="I774" s="345"/>
      <c r="J774" s="88"/>
      <c r="K774" s="345"/>
      <c r="N774"/>
    </row>
    <row r="775" spans="6:14">
      <c r="F775"/>
      <c r="I775" s="345"/>
      <c r="J775" s="88"/>
      <c r="K775" s="345"/>
      <c r="N775"/>
    </row>
    <row r="776" spans="6:14">
      <c r="F776"/>
      <c r="I776" s="345"/>
      <c r="J776" s="88"/>
      <c r="K776" s="345"/>
      <c r="N776"/>
    </row>
    <row r="777" spans="6:14">
      <c r="F777"/>
      <c r="I777" s="345"/>
      <c r="J777" s="88"/>
      <c r="K777" s="345"/>
      <c r="N777"/>
    </row>
    <row r="778" spans="6:14">
      <c r="F778"/>
      <c r="I778" s="345"/>
      <c r="J778" s="88"/>
      <c r="K778" s="345"/>
      <c r="N778"/>
    </row>
    <row r="779" spans="6:14">
      <c r="F779"/>
      <c r="I779" s="345"/>
      <c r="J779" s="88"/>
      <c r="K779" s="345"/>
      <c r="N779"/>
    </row>
    <row r="780" spans="6:14">
      <c r="F780"/>
      <c r="I780" s="345"/>
      <c r="J780" s="88"/>
      <c r="K780" s="345"/>
      <c r="N780"/>
    </row>
    <row r="781" spans="6:14">
      <c r="F781"/>
      <c r="I781" s="345"/>
      <c r="J781" s="88"/>
      <c r="K781" s="345"/>
      <c r="N781"/>
    </row>
    <row r="782" spans="6:14">
      <c r="F782"/>
      <c r="I782" s="345"/>
      <c r="J782" s="88"/>
      <c r="K782" s="345"/>
      <c r="N782"/>
    </row>
    <row r="783" spans="6:14">
      <c r="F783"/>
      <c r="I783" s="345"/>
      <c r="J783" s="88"/>
      <c r="K783" s="345"/>
      <c r="N783"/>
    </row>
    <row r="784" spans="6:14">
      <c r="F784"/>
      <c r="I784" s="345"/>
      <c r="J784" s="88"/>
      <c r="K784" s="345"/>
      <c r="N784"/>
    </row>
    <row r="785" spans="6:14">
      <c r="F785"/>
      <c r="I785" s="345"/>
      <c r="J785" s="88"/>
      <c r="K785" s="345"/>
      <c r="N785"/>
    </row>
    <row r="786" spans="6:14">
      <c r="F786"/>
      <c r="I786" s="345"/>
      <c r="J786" s="88"/>
      <c r="K786" s="345"/>
      <c r="N786"/>
    </row>
    <row r="787" spans="6:14">
      <c r="F787"/>
      <c r="I787" s="345"/>
      <c r="J787" s="88"/>
      <c r="K787" s="345"/>
      <c r="N787"/>
    </row>
    <row r="788" spans="6:14">
      <c r="F788"/>
      <c r="I788" s="345"/>
      <c r="J788" s="88"/>
      <c r="K788" s="345"/>
      <c r="N788"/>
    </row>
    <row r="789" spans="6:14">
      <c r="F789"/>
      <c r="I789" s="345"/>
      <c r="J789" s="88"/>
      <c r="K789" s="345"/>
      <c r="N789"/>
    </row>
    <row r="790" spans="6:14">
      <c r="F790"/>
      <c r="I790" s="345"/>
      <c r="J790" s="88"/>
      <c r="K790" s="345"/>
      <c r="N790"/>
    </row>
    <row r="791" spans="6:14">
      <c r="F791"/>
      <c r="I791" s="345"/>
      <c r="J791" s="88"/>
      <c r="K791" s="345"/>
      <c r="N791"/>
    </row>
    <row r="792" spans="6:14">
      <c r="F792"/>
      <c r="I792" s="345"/>
      <c r="J792" s="88"/>
      <c r="K792" s="345"/>
      <c r="N792"/>
    </row>
    <row r="793" spans="6:14">
      <c r="F793"/>
      <c r="I793" s="345"/>
      <c r="J793" s="88"/>
      <c r="K793" s="345"/>
      <c r="N793"/>
    </row>
    <row r="794" spans="6:14">
      <c r="F794"/>
      <c r="I794" s="345"/>
      <c r="J794" s="88"/>
      <c r="K794" s="345"/>
      <c r="N794"/>
    </row>
    <row r="795" spans="6:14">
      <c r="F795"/>
      <c r="I795" s="345"/>
      <c r="J795" s="88"/>
      <c r="K795" s="345"/>
      <c r="N795"/>
    </row>
    <row r="796" spans="6:14">
      <c r="F796"/>
      <c r="I796" s="345"/>
      <c r="J796" s="88"/>
      <c r="K796" s="345"/>
      <c r="N796"/>
    </row>
    <row r="797" spans="6:14">
      <c r="F797"/>
      <c r="I797" s="345"/>
      <c r="J797" s="88"/>
      <c r="K797" s="345"/>
      <c r="N797"/>
    </row>
    <row r="798" spans="6:14">
      <c r="F798"/>
      <c r="I798" s="345"/>
      <c r="J798" s="88"/>
      <c r="K798" s="345"/>
      <c r="N798"/>
    </row>
    <row r="799" spans="6:14">
      <c r="F799"/>
      <c r="I799" s="345"/>
      <c r="J799" s="88"/>
      <c r="K799" s="345"/>
      <c r="N799"/>
    </row>
    <row r="800" spans="6:14">
      <c r="F800"/>
      <c r="I800" s="345"/>
      <c r="J800" s="88"/>
      <c r="K800" s="345"/>
      <c r="N800"/>
    </row>
    <row r="801" spans="6:14">
      <c r="F801"/>
      <c r="I801" s="345"/>
      <c r="J801" s="88"/>
      <c r="K801" s="345"/>
      <c r="N801"/>
    </row>
    <row r="802" spans="6:14">
      <c r="F802"/>
      <c r="I802" s="345"/>
      <c r="J802" s="88"/>
      <c r="K802" s="345"/>
      <c r="N802"/>
    </row>
    <row r="803" spans="6:14">
      <c r="F803"/>
      <c r="I803" s="345"/>
      <c r="J803" s="88"/>
      <c r="K803" s="345"/>
      <c r="N803"/>
    </row>
    <row r="804" spans="6:14">
      <c r="F804"/>
      <c r="I804" s="345"/>
      <c r="J804" s="88"/>
      <c r="K804" s="345"/>
      <c r="N804"/>
    </row>
    <row r="805" spans="6:14">
      <c r="F805"/>
      <c r="I805" s="345"/>
      <c r="J805" s="88"/>
      <c r="K805" s="345"/>
      <c r="N805"/>
    </row>
    <row r="806" spans="6:14">
      <c r="F806"/>
      <c r="I806" s="345"/>
      <c r="J806" s="88"/>
      <c r="K806" s="345"/>
      <c r="N806"/>
    </row>
    <row r="807" spans="6:14">
      <c r="F807"/>
      <c r="I807" s="345"/>
      <c r="J807" s="88"/>
      <c r="K807" s="345"/>
      <c r="N807"/>
    </row>
    <row r="808" spans="6:14">
      <c r="F808"/>
      <c r="I808" s="345"/>
      <c r="J808" s="88"/>
      <c r="K808" s="345"/>
      <c r="N808"/>
    </row>
    <row r="809" spans="6:14">
      <c r="F809"/>
      <c r="I809" s="345"/>
      <c r="J809" s="88"/>
      <c r="K809" s="345"/>
      <c r="N809"/>
    </row>
    <row r="810" spans="6:14">
      <c r="F810"/>
      <c r="I810" s="345"/>
      <c r="J810" s="88"/>
      <c r="K810" s="345"/>
      <c r="N810"/>
    </row>
    <row r="811" spans="6:14">
      <c r="F811"/>
      <c r="I811" s="345"/>
      <c r="J811" s="88"/>
      <c r="K811" s="345"/>
      <c r="N811"/>
    </row>
    <row r="812" spans="6:14">
      <c r="F812"/>
      <c r="I812" s="345"/>
      <c r="J812" s="88"/>
      <c r="K812" s="345"/>
      <c r="N812"/>
    </row>
    <row r="813" spans="6:14">
      <c r="F813"/>
      <c r="I813" s="345"/>
      <c r="J813" s="88"/>
      <c r="K813" s="345"/>
      <c r="N813"/>
    </row>
    <row r="814" spans="6:14">
      <c r="F814"/>
      <c r="I814" s="345"/>
      <c r="J814" s="88"/>
      <c r="K814" s="345"/>
      <c r="N814"/>
    </row>
    <row r="815" spans="6:14">
      <c r="F815"/>
      <c r="I815" s="345"/>
      <c r="J815" s="88"/>
      <c r="K815" s="345"/>
      <c r="N815"/>
    </row>
    <row r="816" spans="6:14">
      <c r="F816"/>
      <c r="I816" s="345"/>
      <c r="J816" s="88"/>
      <c r="K816" s="345"/>
      <c r="N816"/>
    </row>
    <row r="817" spans="6:14">
      <c r="F817"/>
      <c r="I817" s="345"/>
      <c r="J817" s="88"/>
      <c r="K817" s="345"/>
      <c r="N817"/>
    </row>
    <row r="818" spans="6:14">
      <c r="F818"/>
      <c r="I818" s="345"/>
      <c r="J818" s="88"/>
      <c r="K818" s="345"/>
      <c r="N818"/>
    </row>
    <row r="819" spans="6:14">
      <c r="F819"/>
      <c r="I819" s="345"/>
      <c r="J819" s="88"/>
      <c r="K819" s="345"/>
      <c r="N819"/>
    </row>
    <row r="820" spans="6:14">
      <c r="F820"/>
      <c r="I820" s="345"/>
      <c r="J820" s="88"/>
      <c r="K820" s="345"/>
      <c r="N820"/>
    </row>
    <row r="821" spans="6:14">
      <c r="F821"/>
      <c r="I821" s="345"/>
      <c r="J821" s="88"/>
      <c r="K821" s="345"/>
      <c r="N821"/>
    </row>
    <row r="822" spans="6:14">
      <c r="F822"/>
      <c r="I822" s="345"/>
      <c r="J822" s="88"/>
      <c r="K822" s="345"/>
      <c r="N822"/>
    </row>
    <row r="823" spans="6:14">
      <c r="F823"/>
      <c r="I823" s="345"/>
      <c r="J823" s="88"/>
      <c r="K823" s="345"/>
      <c r="N823"/>
    </row>
    <row r="824" spans="6:14">
      <c r="F824"/>
      <c r="I824" s="345"/>
      <c r="J824" s="88"/>
      <c r="K824" s="345"/>
      <c r="N824"/>
    </row>
    <row r="825" spans="6:14">
      <c r="F825"/>
      <c r="I825" s="345"/>
      <c r="J825" s="88"/>
      <c r="K825" s="345"/>
      <c r="N825"/>
    </row>
    <row r="826" spans="6:14">
      <c r="F826"/>
      <c r="I826" s="345"/>
      <c r="J826" s="88"/>
      <c r="K826" s="345"/>
      <c r="N826"/>
    </row>
    <row r="827" spans="6:14">
      <c r="F827"/>
      <c r="I827" s="345"/>
      <c r="J827" s="88"/>
      <c r="K827" s="345"/>
      <c r="N827"/>
    </row>
    <row r="828" spans="6:14">
      <c r="F828"/>
      <c r="I828" s="345"/>
      <c r="J828" s="88"/>
      <c r="K828" s="345"/>
      <c r="N828"/>
    </row>
    <row r="829" spans="6:14">
      <c r="F829"/>
      <c r="I829" s="345"/>
      <c r="J829" s="88"/>
      <c r="K829" s="345"/>
      <c r="N829"/>
    </row>
    <row r="830" spans="6:14">
      <c r="F830"/>
      <c r="I830" s="345"/>
      <c r="J830" s="88"/>
      <c r="K830" s="345"/>
      <c r="N830"/>
    </row>
    <row r="831" spans="6:14">
      <c r="F831"/>
      <c r="I831" s="345"/>
      <c r="J831" s="88"/>
      <c r="K831" s="345"/>
      <c r="N831"/>
    </row>
    <row r="832" spans="6:14">
      <c r="F832"/>
      <c r="I832" s="345"/>
      <c r="J832" s="88"/>
      <c r="K832" s="345"/>
      <c r="N832"/>
    </row>
    <row r="833" spans="6:14">
      <c r="F833"/>
      <c r="I833" s="345"/>
      <c r="J833" s="88"/>
      <c r="K833" s="345"/>
      <c r="N833"/>
    </row>
    <row r="834" spans="6:14">
      <c r="F834"/>
      <c r="I834" s="345"/>
      <c r="J834" s="88"/>
      <c r="K834" s="345"/>
      <c r="N834"/>
    </row>
    <row r="835" spans="6:14">
      <c r="F835"/>
      <c r="I835" s="345"/>
      <c r="J835" s="88"/>
      <c r="K835" s="345"/>
      <c r="N835"/>
    </row>
    <row r="836" spans="6:14">
      <c r="F836"/>
      <c r="I836" s="345"/>
      <c r="J836" s="88"/>
      <c r="K836" s="345"/>
      <c r="N836"/>
    </row>
    <row r="837" spans="6:14">
      <c r="F837"/>
      <c r="I837" s="345"/>
      <c r="J837" s="88"/>
      <c r="K837" s="345"/>
      <c r="N837"/>
    </row>
    <row r="838" spans="6:14">
      <c r="F838"/>
      <c r="I838" s="345"/>
      <c r="J838" s="88"/>
      <c r="K838" s="345"/>
      <c r="N838"/>
    </row>
    <row r="839" spans="6:14">
      <c r="F839"/>
      <c r="I839" s="345"/>
      <c r="J839" s="88"/>
      <c r="K839" s="345"/>
      <c r="N839"/>
    </row>
    <row r="840" spans="6:14">
      <c r="F840"/>
      <c r="I840" s="345"/>
      <c r="J840" s="88"/>
      <c r="K840" s="345"/>
      <c r="N840"/>
    </row>
    <row r="841" spans="6:14">
      <c r="F841"/>
      <c r="I841" s="345"/>
      <c r="J841" s="88"/>
      <c r="K841" s="345"/>
      <c r="N841"/>
    </row>
    <row r="842" spans="6:14">
      <c r="F842"/>
      <c r="I842" s="345"/>
      <c r="J842" s="88"/>
      <c r="K842" s="345"/>
      <c r="N842"/>
    </row>
    <row r="843" spans="6:14">
      <c r="F843"/>
      <c r="I843" s="345"/>
      <c r="J843" s="88"/>
      <c r="K843" s="345"/>
      <c r="N843"/>
    </row>
    <row r="844" spans="6:14">
      <c r="F844"/>
      <c r="I844" s="345"/>
      <c r="J844" s="88"/>
      <c r="K844" s="345"/>
      <c r="N844"/>
    </row>
    <row r="845" spans="6:14">
      <c r="F845"/>
      <c r="I845" s="345"/>
      <c r="J845" s="88"/>
      <c r="K845" s="345"/>
      <c r="N845"/>
    </row>
    <row r="846" spans="6:14">
      <c r="F846"/>
      <c r="I846" s="345"/>
      <c r="J846" s="88"/>
      <c r="K846" s="345"/>
      <c r="N846"/>
    </row>
    <row r="847" spans="6:14">
      <c r="F847"/>
      <c r="I847" s="345"/>
      <c r="J847" s="88"/>
      <c r="K847" s="345"/>
      <c r="N847"/>
    </row>
    <row r="848" spans="6:14">
      <c r="F848"/>
      <c r="I848" s="345"/>
      <c r="J848" s="88"/>
      <c r="K848" s="345"/>
      <c r="N848"/>
    </row>
    <row r="849" spans="6:14">
      <c r="F849"/>
      <c r="I849" s="345"/>
      <c r="J849" s="88"/>
      <c r="K849" s="345"/>
      <c r="N849"/>
    </row>
    <row r="850" spans="6:14">
      <c r="F850"/>
      <c r="I850" s="345"/>
      <c r="J850" s="88"/>
      <c r="K850" s="345"/>
      <c r="N850"/>
    </row>
    <row r="851" spans="6:14">
      <c r="F851"/>
      <c r="I851" s="345"/>
      <c r="J851" s="88"/>
      <c r="K851" s="345"/>
      <c r="N851"/>
    </row>
    <row r="852" spans="6:14">
      <c r="F852"/>
      <c r="I852" s="345"/>
      <c r="J852" s="88"/>
      <c r="K852" s="345"/>
      <c r="N852"/>
    </row>
    <row r="853" spans="6:14">
      <c r="F853"/>
      <c r="I853" s="345"/>
      <c r="J853" s="88"/>
      <c r="K853" s="345"/>
      <c r="N853"/>
    </row>
    <row r="854" spans="6:14">
      <c r="F854"/>
      <c r="I854" s="345"/>
      <c r="J854" s="88"/>
      <c r="K854" s="345"/>
      <c r="N854"/>
    </row>
    <row r="855" spans="6:14">
      <c r="F855"/>
      <c r="I855" s="345"/>
      <c r="J855" s="88"/>
      <c r="K855" s="345"/>
      <c r="N855"/>
    </row>
    <row r="856" spans="6:14">
      <c r="F856"/>
      <c r="I856" s="345"/>
      <c r="J856" s="88"/>
      <c r="K856" s="345"/>
      <c r="N856"/>
    </row>
    <row r="857" spans="6:14">
      <c r="F857"/>
      <c r="I857" s="345"/>
      <c r="J857" s="88"/>
      <c r="K857" s="345"/>
      <c r="N857"/>
    </row>
    <row r="858" spans="6:14">
      <c r="F858"/>
      <c r="I858" s="345"/>
      <c r="J858" s="88"/>
      <c r="K858" s="345"/>
      <c r="N858"/>
    </row>
    <row r="859" spans="6:14">
      <c r="F859"/>
      <c r="I859" s="345"/>
      <c r="J859" s="88"/>
      <c r="K859" s="345"/>
      <c r="N859"/>
    </row>
    <row r="860" spans="6:14">
      <c r="F860"/>
      <c r="I860" s="345"/>
      <c r="J860" s="88"/>
      <c r="K860" s="345"/>
      <c r="N860"/>
    </row>
    <row r="861" spans="6:14">
      <c r="F861"/>
      <c r="I861" s="345"/>
      <c r="J861" s="88"/>
      <c r="K861" s="345"/>
      <c r="N861"/>
    </row>
    <row r="862" spans="6:14">
      <c r="F862"/>
      <c r="I862" s="345"/>
      <c r="J862" s="88"/>
      <c r="K862" s="345"/>
      <c r="N862"/>
    </row>
    <row r="863" spans="6:14">
      <c r="F863"/>
      <c r="I863" s="345"/>
      <c r="J863" s="88"/>
      <c r="K863" s="345"/>
      <c r="N863"/>
    </row>
    <row r="864" spans="6:14">
      <c r="F864"/>
      <c r="I864" s="345"/>
      <c r="J864" s="88"/>
      <c r="K864" s="345"/>
      <c r="N864"/>
    </row>
    <row r="865" spans="6:14">
      <c r="F865"/>
      <c r="I865" s="345"/>
      <c r="J865" s="88"/>
      <c r="K865" s="345"/>
      <c r="N865"/>
    </row>
    <row r="866" spans="6:14">
      <c r="F866"/>
      <c r="I866" s="345"/>
      <c r="J866" s="88"/>
      <c r="K866" s="345"/>
      <c r="N866"/>
    </row>
    <row r="867" spans="6:14">
      <c r="F867"/>
      <c r="I867" s="345"/>
      <c r="J867" s="88"/>
      <c r="K867" s="345"/>
      <c r="N867"/>
    </row>
    <row r="868" spans="6:14">
      <c r="F868"/>
      <c r="I868" s="345"/>
      <c r="J868" s="88"/>
      <c r="K868" s="345"/>
      <c r="N868"/>
    </row>
    <row r="869" spans="6:14">
      <c r="F869"/>
      <c r="I869" s="345"/>
      <c r="J869" s="88"/>
      <c r="K869" s="345"/>
      <c r="N869"/>
    </row>
    <row r="870" spans="6:14">
      <c r="F870"/>
      <c r="I870" s="345"/>
      <c r="J870" s="88"/>
      <c r="K870" s="345"/>
      <c r="N870"/>
    </row>
    <row r="871" spans="6:14">
      <c r="F871"/>
      <c r="I871" s="345"/>
      <c r="J871" s="88"/>
      <c r="K871" s="345"/>
      <c r="N871"/>
    </row>
    <row r="872" spans="6:14">
      <c r="F872"/>
      <c r="I872" s="345"/>
      <c r="J872" s="88"/>
      <c r="K872" s="345"/>
      <c r="N872"/>
    </row>
    <row r="873" spans="6:14">
      <c r="F873"/>
      <c r="I873" s="345"/>
      <c r="J873" s="88"/>
      <c r="K873" s="345"/>
      <c r="N873"/>
    </row>
    <row r="874" spans="6:14">
      <c r="F874"/>
      <c r="I874" s="345"/>
      <c r="J874" s="88"/>
      <c r="K874" s="345"/>
      <c r="N874"/>
    </row>
    <row r="875" spans="6:14">
      <c r="F875"/>
      <c r="I875" s="345"/>
      <c r="J875" s="88"/>
      <c r="K875" s="345"/>
      <c r="N875"/>
    </row>
    <row r="876" spans="6:14">
      <c r="F876"/>
      <c r="I876" s="345"/>
      <c r="J876" s="88"/>
      <c r="K876" s="345"/>
      <c r="N876"/>
    </row>
    <row r="877" spans="6:14">
      <c r="F877"/>
      <c r="I877" s="345"/>
      <c r="J877" s="88"/>
      <c r="K877" s="345"/>
      <c r="N877"/>
    </row>
    <row r="878" spans="6:14">
      <c r="F878"/>
      <c r="I878" s="345"/>
      <c r="J878" s="88"/>
      <c r="K878" s="345"/>
      <c r="N878"/>
    </row>
    <row r="879" spans="6:14">
      <c r="F879"/>
      <c r="I879" s="345"/>
      <c r="J879" s="88"/>
      <c r="K879" s="345"/>
      <c r="N879"/>
    </row>
    <row r="880" spans="6:14">
      <c r="F880"/>
      <c r="I880" s="345"/>
      <c r="J880" s="88"/>
      <c r="K880" s="345"/>
      <c r="N880"/>
    </row>
    <row r="881" spans="6:14">
      <c r="F881"/>
      <c r="I881" s="345"/>
      <c r="J881" s="88"/>
      <c r="K881" s="345"/>
      <c r="N881"/>
    </row>
    <row r="882" spans="6:14">
      <c r="F882"/>
      <c r="I882" s="345"/>
      <c r="J882" s="88"/>
      <c r="K882" s="345"/>
      <c r="N882"/>
    </row>
    <row r="883" spans="6:14">
      <c r="F883"/>
      <c r="I883" s="345"/>
      <c r="J883" s="88"/>
      <c r="K883" s="345"/>
      <c r="N883"/>
    </row>
    <row r="884" spans="6:14">
      <c r="F884"/>
      <c r="I884" s="345"/>
      <c r="J884" s="88"/>
      <c r="K884" s="345"/>
      <c r="N884"/>
    </row>
    <row r="885" spans="6:14">
      <c r="F885"/>
      <c r="I885" s="345"/>
      <c r="J885" s="88"/>
      <c r="K885" s="345"/>
      <c r="N885"/>
    </row>
    <row r="886" spans="6:14">
      <c r="F886"/>
      <c r="I886" s="345"/>
      <c r="J886" s="88"/>
      <c r="K886" s="345"/>
      <c r="N886"/>
    </row>
    <row r="887" spans="6:14">
      <c r="F887"/>
      <c r="I887" s="345"/>
      <c r="J887" s="88"/>
      <c r="K887" s="345"/>
      <c r="N887"/>
    </row>
    <row r="888" spans="6:14">
      <c r="F888"/>
      <c r="I888" s="345"/>
      <c r="J888" s="88"/>
      <c r="K888" s="345"/>
      <c r="N888"/>
    </row>
    <row r="889" spans="6:14">
      <c r="F889"/>
      <c r="I889" s="345"/>
      <c r="J889" s="88"/>
      <c r="K889" s="345"/>
      <c r="N889"/>
    </row>
    <row r="890" spans="6:14">
      <c r="F890"/>
      <c r="I890" s="345"/>
      <c r="J890" s="88"/>
      <c r="K890" s="345"/>
      <c r="N890"/>
    </row>
    <row r="891" spans="6:14">
      <c r="F891"/>
      <c r="I891" s="345"/>
      <c r="J891" s="88"/>
      <c r="K891" s="345"/>
      <c r="N891"/>
    </row>
    <row r="892" spans="6:14">
      <c r="F892"/>
      <c r="I892" s="345"/>
      <c r="J892" s="88"/>
      <c r="K892" s="345"/>
      <c r="N892"/>
    </row>
    <row r="893" spans="6:14">
      <c r="F893"/>
      <c r="I893" s="345"/>
      <c r="J893" s="88"/>
      <c r="K893" s="345"/>
      <c r="N893"/>
    </row>
    <row r="894" spans="6:14">
      <c r="F894"/>
      <c r="I894" s="345"/>
      <c r="J894" s="88"/>
      <c r="K894" s="345"/>
      <c r="N894"/>
    </row>
    <row r="895" spans="6:14">
      <c r="F895"/>
      <c r="I895" s="345"/>
      <c r="J895" s="88"/>
      <c r="K895" s="345"/>
      <c r="N895"/>
    </row>
    <row r="896" spans="6:14">
      <c r="F896"/>
      <c r="I896" s="345"/>
      <c r="J896" s="88"/>
      <c r="K896" s="345"/>
      <c r="N896"/>
    </row>
    <row r="897" spans="6:14">
      <c r="F897"/>
      <c r="I897" s="345"/>
      <c r="J897" s="88"/>
      <c r="K897" s="345"/>
      <c r="N897"/>
    </row>
    <row r="898" spans="6:14">
      <c r="F898"/>
      <c r="I898" s="345"/>
      <c r="J898" s="88"/>
      <c r="K898" s="345"/>
      <c r="N898"/>
    </row>
    <row r="899" spans="6:14">
      <c r="F899"/>
      <c r="I899" s="345"/>
      <c r="J899" s="88"/>
      <c r="K899" s="345"/>
      <c r="N899"/>
    </row>
    <row r="900" spans="6:14">
      <c r="F900"/>
      <c r="I900" s="345"/>
      <c r="J900" s="88"/>
      <c r="K900" s="345"/>
      <c r="N900"/>
    </row>
    <row r="901" spans="6:14">
      <c r="F901"/>
      <c r="I901" s="345"/>
      <c r="J901" s="88"/>
      <c r="K901" s="345"/>
      <c r="N901"/>
    </row>
    <row r="902" spans="6:14">
      <c r="F902"/>
      <c r="I902" s="345"/>
      <c r="J902" s="88"/>
      <c r="K902" s="345"/>
      <c r="N902"/>
    </row>
    <row r="903" spans="6:14">
      <c r="F903"/>
      <c r="I903" s="345"/>
      <c r="J903" s="88"/>
      <c r="K903" s="345"/>
      <c r="N903"/>
    </row>
    <row r="904" spans="6:14">
      <c r="F904"/>
      <c r="I904" s="345"/>
      <c r="J904" s="88"/>
      <c r="K904" s="345"/>
      <c r="N904"/>
    </row>
    <row r="905" spans="6:14">
      <c r="F905"/>
      <c r="I905" s="345"/>
      <c r="J905" s="88"/>
      <c r="K905" s="345"/>
      <c r="N905"/>
    </row>
    <row r="906" spans="6:14">
      <c r="F906"/>
      <c r="I906" s="345"/>
      <c r="J906" s="88"/>
      <c r="K906" s="345"/>
      <c r="N906"/>
    </row>
    <row r="907" spans="6:14">
      <c r="F907"/>
      <c r="I907" s="345"/>
      <c r="J907" s="88"/>
      <c r="K907" s="345"/>
      <c r="N907"/>
    </row>
    <row r="908" spans="6:14">
      <c r="F908"/>
      <c r="I908" s="345"/>
      <c r="J908" s="88"/>
      <c r="K908" s="345"/>
      <c r="N908"/>
    </row>
    <row r="909" spans="6:14">
      <c r="F909"/>
      <c r="I909" s="345"/>
      <c r="J909" s="88"/>
      <c r="K909" s="345"/>
      <c r="N909"/>
    </row>
    <row r="910" spans="6:14">
      <c r="F910"/>
      <c r="I910" s="345"/>
      <c r="J910" s="88"/>
      <c r="K910" s="345"/>
      <c r="N910"/>
    </row>
    <row r="911" spans="6:14">
      <c r="F911"/>
      <c r="I911" s="345"/>
      <c r="J911" s="88"/>
      <c r="K911" s="345"/>
      <c r="N911"/>
    </row>
    <row r="912" spans="6:14">
      <c r="F912"/>
      <c r="I912" s="345"/>
      <c r="J912" s="88"/>
      <c r="K912" s="345"/>
      <c r="N912"/>
    </row>
    <row r="913" spans="6:14">
      <c r="F913"/>
      <c r="I913" s="345"/>
      <c r="J913" s="88"/>
      <c r="K913" s="345"/>
      <c r="N913"/>
    </row>
    <row r="914" spans="6:14">
      <c r="F914"/>
      <c r="I914" s="345"/>
      <c r="J914" s="88"/>
      <c r="K914" s="345"/>
      <c r="N914"/>
    </row>
    <row r="915" spans="6:14">
      <c r="F915"/>
      <c r="I915" s="345"/>
      <c r="J915" s="88"/>
      <c r="K915" s="345"/>
      <c r="N915"/>
    </row>
    <row r="916" spans="6:14">
      <c r="F916"/>
      <c r="I916" s="345"/>
      <c r="J916" s="88"/>
      <c r="K916" s="345"/>
      <c r="N916"/>
    </row>
    <row r="917" spans="6:14">
      <c r="F917"/>
      <c r="I917" s="345"/>
      <c r="J917" s="88"/>
      <c r="K917" s="345"/>
      <c r="N917"/>
    </row>
    <row r="918" spans="6:14">
      <c r="F918"/>
      <c r="I918" s="345"/>
      <c r="J918" s="88"/>
      <c r="K918" s="345"/>
      <c r="N918"/>
    </row>
    <row r="919" spans="6:14">
      <c r="F919"/>
      <c r="I919" s="345"/>
      <c r="J919" s="88"/>
      <c r="K919" s="345"/>
      <c r="N919"/>
    </row>
    <row r="920" spans="6:14">
      <c r="F920"/>
      <c r="I920" s="345"/>
      <c r="J920" s="88"/>
      <c r="K920" s="345"/>
      <c r="N920"/>
    </row>
    <row r="921" spans="6:14">
      <c r="F921"/>
      <c r="I921" s="345"/>
      <c r="J921" s="88"/>
      <c r="K921" s="345"/>
      <c r="N921"/>
    </row>
    <row r="922" spans="6:14">
      <c r="F922"/>
      <c r="I922" s="345"/>
      <c r="J922" s="88"/>
      <c r="K922" s="345"/>
      <c r="N922"/>
    </row>
    <row r="923" spans="6:14">
      <c r="F923"/>
      <c r="I923" s="345"/>
      <c r="J923" s="88"/>
      <c r="K923" s="345"/>
      <c r="N923"/>
    </row>
    <row r="924" spans="6:14">
      <c r="F924"/>
      <c r="I924" s="345"/>
      <c r="J924" s="88"/>
      <c r="K924" s="345"/>
      <c r="N924"/>
    </row>
    <row r="925" spans="6:14">
      <c r="F925"/>
      <c r="I925" s="345"/>
      <c r="J925" s="88"/>
      <c r="K925" s="345"/>
      <c r="N925"/>
    </row>
    <row r="926" spans="6:14">
      <c r="F926"/>
      <c r="I926" s="345"/>
      <c r="J926" s="88"/>
      <c r="K926" s="345"/>
      <c r="N926"/>
    </row>
    <row r="927" spans="6:14">
      <c r="F927"/>
      <c r="I927" s="345"/>
      <c r="J927" s="88"/>
      <c r="K927" s="345"/>
      <c r="N927"/>
    </row>
    <row r="928" spans="6:14">
      <c r="F928"/>
      <c r="I928" s="345"/>
      <c r="J928" s="88"/>
      <c r="K928" s="345"/>
      <c r="N928"/>
    </row>
    <row r="929" spans="6:14">
      <c r="F929"/>
      <c r="I929" s="345"/>
      <c r="J929" s="88"/>
      <c r="K929" s="345"/>
      <c r="N929"/>
    </row>
    <row r="930" spans="6:14">
      <c r="F930"/>
      <c r="I930" s="345"/>
      <c r="J930" s="88"/>
      <c r="K930" s="345"/>
      <c r="N930"/>
    </row>
    <row r="931" spans="6:14">
      <c r="F931"/>
      <c r="I931" s="345"/>
      <c r="J931" s="88"/>
      <c r="K931" s="345"/>
      <c r="N931"/>
    </row>
    <row r="932" spans="6:14">
      <c r="F932"/>
      <c r="I932" s="345"/>
      <c r="J932" s="88"/>
      <c r="K932" s="345"/>
      <c r="N932"/>
    </row>
    <row r="933" spans="6:14">
      <c r="F933"/>
      <c r="I933" s="345"/>
      <c r="J933" s="88"/>
      <c r="K933" s="345"/>
      <c r="N933"/>
    </row>
    <row r="934" spans="6:14">
      <c r="F934"/>
      <c r="I934" s="345"/>
      <c r="J934" s="88"/>
      <c r="K934" s="345"/>
      <c r="N934"/>
    </row>
    <row r="935" spans="6:14">
      <c r="F935"/>
      <c r="I935" s="345"/>
      <c r="J935" s="88"/>
      <c r="K935" s="345"/>
      <c r="N935"/>
    </row>
    <row r="936" spans="6:14">
      <c r="F936"/>
      <c r="I936" s="345"/>
      <c r="J936" s="88"/>
      <c r="K936" s="345"/>
      <c r="N936"/>
    </row>
    <row r="937" spans="6:14">
      <c r="F937"/>
      <c r="I937" s="345"/>
      <c r="J937" s="88"/>
      <c r="K937" s="345"/>
      <c r="N937"/>
    </row>
    <row r="938" spans="6:14">
      <c r="F938"/>
      <c r="I938" s="345"/>
      <c r="J938" s="88"/>
      <c r="K938" s="345"/>
      <c r="N938"/>
    </row>
    <row r="939" spans="6:14">
      <c r="F939"/>
      <c r="I939" s="345"/>
      <c r="J939" s="88"/>
      <c r="K939" s="345"/>
      <c r="N939"/>
    </row>
    <row r="940" spans="6:14">
      <c r="F940"/>
      <c r="I940" s="345"/>
      <c r="J940" s="88"/>
      <c r="K940" s="345"/>
      <c r="N940"/>
    </row>
    <row r="941" spans="6:14">
      <c r="F941"/>
      <c r="I941" s="345"/>
      <c r="J941" s="88"/>
      <c r="K941" s="345"/>
      <c r="N941"/>
    </row>
    <row r="942" spans="6:14">
      <c r="F942"/>
      <c r="I942" s="345"/>
      <c r="J942" s="88"/>
      <c r="K942" s="345"/>
      <c r="N942"/>
    </row>
    <row r="943" spans="6:14">
      <c r="F943"/>
      <c r="I943" s="345"/>
      <c r="J943" s="88"/>
      <c r="K943" s="345"/>
      <c r="N943"/>
    </row>
    <row r="944" spans="6:14">
      <c r="F944"/>
      <c r="I944" s="345"/>
      <c r="J944" s="88"/>
      <c r="K944" s="345"/>
      <c r="N944"/>
    </row>
    <row r="945" spans="6:14">
      <c r="F945"/>
      <c r="I945" s="345"/>
      <c r="J945" s="88"/>
      <c r="K945" s="345"/>
      <c r="N945"/>
    </row>
    <row r="946" spans="6:14">
      <c r="F946"/>
      <c r="I946" s="345"/>
      <c r="J946" s="88"/>
      <c r="K946" s="345"/>
      <c r="N946"/>
    </row>
    <row r="947" spans="6:14">
      <c r="F947"/>
      <c r="I947" s="345"/>
      <c r="J947" s="88"/>
      <c r="K947" s="345"/>
      <c r="N947"/>
    </row>
    <row r="948" spans="6:14">
      <c r="F948"/>
      <c r="I948" s="345"/>
      <c r="J948" s="88"/>
      <c r="K948" s="345"/>
      <c r="N948"/>
    </row>
    <row r="949" spans="6:14">
      <c r="F949"/>
      <c r="I949" s="345"/>
      <c r="J949" s="88"/>
      <c r="K949" s="345"/>
      <c r="N949"/>
    </row>
    <row r="950" spans="6:14">
      <c r="F950"/>
      <c r="I950" s="345"/>
      <c r="J950" s="88"/>
      <c r="K950" s="345"/>
      <c r="N950"/>
    </row>
    <row r="951" spans="6:14">
      <c r="F951"/>
      <c r="I951" s="345"/>
      <c r="J951" s="88"/>
      <c r="K951" s="345"/>
      <c r="N951"/>
    </row>
    <row r="952" spans="6:14">
      <c r="F952"/>
      <c r="I952" s="345"/>
      <c r="J952" s="88"/>
      <c r="K952" s="345"/>
      <c r="N952"/>
    </row>
    <row r="953" spans="6:14">
      <c r="F953"/>
      <c r="I953" s="345"/>
      <c r="J953" s="88"/>
      <c r="K953" s="345"/>
      <c r="N953"/>
    </row>
    <row r="954" spans="6:14">
      <c r="F954"/>
      <c r="I954" s="345"/>
      <c r="J954" s="88"/>
      <c r="K954" s="345"/>
      <c r="N954"/>
    </row>
    <row r="955" spans="6:14">
      <c r="F955"/>
      <c r="I955" s="345"/>
      <c r="J955" s="88"/>
      <c r="K955" s="345"/>
      <c r="N955"/>
    </row>
    <row r="956" spans="6:14">
      <c r="F956"/>
      <c r="I956" s="345"/>
      <c r="J956" s="88"/>
      <c r="K956" s="345"/>
      <c r="N956"/>
    </row>
    <row r="957" spans="6:14">
      <c r="F957"/>
      <c r="I957" s="345"/>
      <c r="J957" s="88"/>
      <c r="K957" s="345"/>
      <c r="N957"/>
    </row>
    <row r="958" spans="6:14">
      <c r="F958"/>
      <c r="I958" s="345"/>
      <c r="J958" s="88"/>
      <c r="K958" s="345"/>
      <c r="N958"/>
    </row>
    <row r="959" spans="6:14">
      <c r="F959"/>
      <c r="I959" s="345"/>
      <c r="J959" s="88"/>
      <c r="K959" s="345"/>
      <c r="N959"/>
    </row>
    <row r="960" spans="6:14">
      <c r="F960"/>
      <c r="I960" s="345"/>
      <c r="J960" s="88"/>
      <c r="K960" s="345"/>
      <c r="N960"/>
    </row>
    <row r="961" spans="6:14">
      <c r="F961"/>
      <c r="I961" s="345"/>
      <c r="J961" s="88"/>
      <c r="K961" s="345"/>
      <c r="N961"/>
    </row>
    <row r="962" spans="6:14">
      <c r="F962"/>
      <c r="I962" s="345"/>
      <c r="J962" s="88"/>
      <c r="K962" s="345"/>
      <c r="N962"/>
    </row>
    <row r="963" spans="6:14">
      <c r="F963"/>
      <c r="I963" s="345"/>
      <c r="J963" s="88"/>
      <c r="K963" s="345"/>
      <c r="N963"/>
    </row>
    <row r="964" spans="6:14">
      <c r="F964"/>
      <c r="I964" s="345"/>
      <c r="J964" s="88"/>
      <c r="K964" s="345"/>
      <c r="N964"/>
    </row>
    <row r="965" spans="6:14">
      <c r="F965"/>
      <c r="I965" s="345"/>
      <c r="J965" s="88"/>
      <c r="K965" s="345"/>
      <c r="N965"/>
    </row>
    <row r="966" spans="6:14">
      <c r="F966"/>
      <c r="I966" s="345"/>
      <c r="J966" s="88"/>
      <c r="K966" s="345"/>
      <c r="N966"/>
    </row>
    <row r="967" spans="6:14">
      <c r="F967"/>
      <c r="I967" s="345"/>
      <c r="J967" s="88"/>
      <c r="K967" s="345"/>
      <c r="N967"/>
    </row>
    <row r="968" spans="6:14">
      <c r="F968"/>
      <c r="I968" s="345"/>
      <c r="J968" s="88"/>
      <c r="K968" s="345"/>
      <c r="N968"/>
    </row>
    <row r="969" spans="6:14">
      <c r="F969"/>
      <c r="I969" s="345"/>
      <c r="J969" s="88"/>
      <c r="K969" s="345"/>
      <c r="N969"/>
    </row>
    <row r="970" spans="6:14">
      <c r="F970"/>
      <c r="I970" s="345"/>
      <c r="J970" s="88"/>
      <c r="K970" s="345"/>
      <c r="N970"/>
    </row>
    <row r="971" spans="6:14">
      <c r="F971"/>
      <c r="I971" s="345"/>
      <c r="J971" s="88"/>
      <c r="K971" s="345"/>
      <c r="N971"/>
    </row>
    <row r="972" spans="6:14">
      <c r="F972"/>
      <c r="I972" s="345"/>
      <c r="J972" s="88"/>
      <c r="K972" s="345"/>
      <c r="N972"/>
    </row>
    <row r="973" spans="6:14">
      <c r="F973"/>
      <c r="I973" s="345"/>
      <c r="J973" s="88"/>
      <c r="K973" s="345"/>
      <c r="N973"/>
    </row>
    <row r="974" spans="6:14">
      <c r="F974"/>
      <c r="I974" s="345"/>
      <c r="J974" s="88"/>
      <c r="K974" s="345"/>
      <c r="N974"/>
    </row>
    <row r="975" spans="6:14">
      <c r="F975"/>
      <c r="I975" s="345"/>
      <c r="J975" s="88"/>
      <c r="K975" s="345"/>
      <c r="N975"/>
    </row>
    <row r="976" spans="6:14">
      <c r="F976"/>
      <c r="I976" s="345"/>
      <c r="J976" s="88"/>
      <c r="K976" s="345"/>
      <c r="N976"/>
    </row>
    <row r="977" spans="6:14">
      <c r="F977"/>
      <c r="I977" s="345"/>
      <c r="J977" s="88"/>
      <c r="K977" s="345"/>
      <c r="N977"/>
    </row>
    <row r="978" spans="6:14">
      <c r="F978"/>
      <c r="I978" s="345"/>
      <c r="J978" s="88"/>
      <c r="K978" s="345"/>
      <c r="N978"/>
    </row>
    <row r="979" spans="6:14">
      <c r="F979"/>
      <c r="I979" s="345"/>
      <c r="J979" s="88"/>
      <c r="K979" s="345"/>
      <c r="N979"/>
    </row>
    <row r="980" spans="6:14">
      <c r="F980"/>
      <c r="I980" s="345"/>
      <c r="J980" s="88"/>
      <c r="K980" s="345"/>
      <c r="N980"/>
    </row>
    <row r="981" spans="6:14">
      <c r="F981"/>
      <c r="I981" s="345"/>
      <c r="J981" s="88"/>
      <c r="K981" s="345"/>
      <c r="N981"/>
    </row>
    <row r="982" spans="6:14">
      <c r="F982"/>
      <c r="I982" s="345"/>
      <c r="J982" s="88"/>
      <c r="K982" s="345"/>
      <c r="N982"/>
    </row>
    <row r="983" spans="6:14">
      <c r="F983"/>
      <c r="I983" s="345"/>
      <c r="J983" s="88"/>
      <c r="K983" s="345"/>
      <c r="N983"/>
    </row>
    <row r="984" spans="6:14">
      <c r="F984"/>
      <c r="I984" s="345"/>
      <c r="J984" s="88"/>
      <c r="K984" s="345"/>
      <c r="N984"/>
    </row>
    <row r="985" spans="6:14">
      <c r="F985"/>
      <c r="I985" s="345"/>
      <c r="J985" s="88"/>
      <c r="K985" s="345"/>
      <c r="N985"/>
    </row>
    <row r="986" spans="6:14">
      <c r="F986"/>
      <c r="I986" s="345"/>
      <c r="J986" s="88"/>
      <c r="K986" s="345"/>
      <c r="N986"/>
    </row>
    <row r="987" spans="6:14">
      <c r="F987"/>
      <c r="I987" s="345"/>
      <c r="J987" s="88"/>
      <c r="K987" s="345"/>
      <c r="N987"/>
    </row>
    <row r="988" spans="6:14">
      <c r="F988"/>
      <c r="I988" s="345"/>
      <c r="J988" s="88"/>
      <c r="K988" s="345"/>
      <c r="N988"/>
    </row>
    <row r="989" spans="6:14">
      <c r="F989"/>
      <c r="I989" s="345"/>
      <c r="J989" s="88"/>
      <c r="K989" s="345"/>
      <c r="N989"/>
    </row>
    <row r="990" spans="6:14">
      <c r="F990"/>
      <c r="I990" s="345"/>
      <c r="J990" s="88"/>
      <c r="K990" s="345"/>
      <c r="N990"/>
    </row>
    <row r="991" spans="6:14">
      <c r="F991"/>
      <c r="I991" s="345"/>
      <c r="J991" s="88"/>
      <c r="K991" s="345"/>
      <c r="N991"/>
    </row>
    <row r="992" spans="6:14">
      <c r="F992"/>
      <c r="I992" s="345"/>
      <c r="J992" s="88"/>
      <c r="K992" s="345"/>
      <c r="N992"/>
    </row>
    <row r="993" spans="6:14">
      <c r="F993"/>
      <c r="I993" s="345"/>
      <c r="J993" s="88"/>
      <c r="K993" s="345"/>
      <c r="N993"/>
    </row>
    <row r="994" spans="6:14">
      <c r="F994"/>
      <c r="I994" s="345"/>
      <c r="J994" s="88"/>
      <c r="K994" s="345"/>
      <c r="N994"/>
    </row>
    <row r="995" spans="6:14">
      <c r="F995"/>
      <c r="I995" s="345"/>
      <c r="J995" s="88"/>
      <c r="K995" s="345"/>
      <c r="N995"/>
    </row>
    <row r="996" spans="6:14">
      <c r="F996"/>
      <c r="I996" s="345"/>
      <c r="J996" s="88"/>
      <c r="K996" s="345"/>
      <c r="N996"/>
    </row>
    <row r="997" spans="6:14">
      <c r="F997"/>
      <c r="I997" s="345"/>
      <c r="J997" s="88"/>
      <c r="K997" s="345"/>
      <c r="N997"/>
    </row>
    <row r="998" spans="6:14">
      <c r="F998"/>
      <c r="I998" s="345"/>
      <c r="J998" s="88"/>
      <c r="K998" s="345"/>
      <c r="N998"/>
    </row>
    <row r="999" spans="6:14">
      <c r="F999"/>
      <c r="I999" s="345"/>
      <c r="J999" s="88"/>
      <c r="K999" s="345"/>
      <c r="N999"/>
    </row>
    <row r="1000" spans="6:14">
      <c r="F1000"/>
      <c r="I1000" s="345"/>
      <c r="J1000" s="88"/>
      <c r="K1000" s="345"/>
      <c r="N1000"/>
    </row>
    <row r="1001" spans="6:14">
      <c r="F1001"/>
      <c r="N1001"/>
    </row>
    <row r="1002" spans="6:14">
      <c r="F1002"/>
      <c r="N1002"/>
    </row>
    <row r="1003" spans="6:14">
      <c r="F1003"/>
      <c r="N1003"/>
    </row>
    <row r="1004" spans="6:14">
      <c r="F1004"/>
      <c r="N1004"/>
    </row>
    <row r="1005" spans="6:14">
      <c r="F1005"/>
      <c r="N1005"/>
    </row>
    <row r="1006" spans="6:14">
      <c r="F1006"/>
      <c r="N1006"/>
    </row>
    <row r="1007" spans="6:14">
      <c r="F1007"/>
      <c r="N1007"/>
    </row>
    <row r="1008" spans="6:14">
      <c r="F1008"/>
      <c r="N1008"/>
    </row>
    <row r="1009" spans="6:14">
      <c r="F1009"/>
      <c r="N1009"/>
    </row>
    <row r="1010" spans="6:14">
      <c r="F1010"/>
      <c r="N1010"/>
    </row>
    <row r="1011" spans="6:14">
      <c r="F1011"/>
      <c r="N1011"/>
    </row>
    <row r="1012" spans="6:14">
      <c r="F1012"/>
      <c r="N1012"/>
    </row>
    <row r="1013" spans="6:14">
      <c r="F1013"/>
      <c r="N1013"/>
    </row>
    <row r="1014" spans="6:14">
      <c r="F1014"/>
      <c r="N1014"/>
    </row>
    <row r="1015" spans="6:14">
      <c r="F1015"/>
      <c r="N1015"/>
    </row>
    <row r="1016" spans="6:14">
      <c r="F1016"/>
      <c r="N1016"/>
    </row>
    <row r="1017" spans="6:14">
      <c r="F1017"/>
      <c r="N1017"/>
    </row>
    <row r="1018" spans="6:14">
      <c r="F1018"/>
      <c r="N1018"/>
    </row>
    <row r="1019" spans="6:14">
      <c r="F1019"/>
      <c r="N1019"/>
    </row>
    <row r="1020" spans="6:14">
      <c r="F1020"/>
      <c r="N1020"/>
    </row>
    <row r="1021" spans="6:14">
      <c r="F1021"/>
      <c r="N1021"/>
    </row>
    <row r="1022" spans="6:14">
      <c r="F1022"/>
      <c r="N1022"/>
    </row>
    <row r="1023" spans="6:14">
      <c r="F1023"/>
      <c r="N1023"/>
    </row>
    <row r="1024" spans="6:14">
      <c r="F1024"/>
      <c r="N1024"/>
    </row>
    <row r="1025" spans="6:14">
      <c r="F1025"/>
      <c r="N1025"/>
    </row>
    <row r="1026" spans="6:14">
      <c r="F1026"/>
      <c r="N1026"/>
    </row>
    <row r="1027" spans="6:14">
      <c r="F1027"/>
      <c r="N1027"/>
    </row>
    <row r="1028" spans="6:14">
      <c r="F1028"/>
      <c r="N1028"/>
    </row>
    <row r="1029" spans="6:14">
      <c r="F1029"/>
      <c r="N1029"/>
    </row>
    <row r="1030" spans="6:14">
      <c r="F1030"/>
      <c r="N1030"/>
    </row>
    <row r="1031" spans="6:14">
      <c r="F1031"/>
      <c r="N1031"/>
    </row>
    <row r="1032" spans="6:14">
      <c r="F1032"/>
      <c r="N1032"/>
    </row>
    <row r="1033" spans="6:14">
      <c r="F1033"/>
      <c r="N1033"/>
    </row>
    <row r="1034" spans="6:14">
      <c r="F1034"/>
      <c r="N1034"/>
    </row>
    <row r="1035" spans="6:14">
      <c r="F1035"/>
      <c r="N1035"/>
    </row>
    <row r="1036" spans="6:14">
      <c r="F1036"/>
      <c r="N1036"/>
    </row>
    <row r="1037" spans="6:14">
      <c r="F1037"/>
      <c r="N1037"/>
    </row>
    <row r="1038" spans="6:14">
      <c r="F1038"/>
      <c r="N1038"/>
    </row>
    <row r="1039" spans="6:14">
      <c r="F1039"/>
      <c r="N1039"/>
    </row>
    <row r="1040" spans="6:14">
      <c r="F1040"/>
      <c r="N1040"/>
    </row>
    <row r="1041" spans="6:14">
      <c r="F1041"/>
      <c r="N1041"/>
    </row>
    <row r="1042" spans="6:14">
      <c r="F1042"/>
      <c r="N1042"/>
    </row>
    <row r="1043" spans="6:14">
      <c r="F1043"/>
      <c r="N1043"/>
    </row>
    <row r="1044" spans="6:14">
      <c r="F1044"/>
      <c r="N1044"/>
    </row>
    <row r="1045" spans="6:14">
      <c r="F1045"/>
      <c r="N1045"/>
    </row>
    <row r="1046" spans="6:14">
      <c r="F1046"/>
      <c r="N1046"/>
    </row>
    <row r="1047" spans="6:14">
      <c r="F1047"/>
      <c r="N1047"/>
    </row>
    <row r="1048" spans="6:14">
      <c r="F1048"/>
      <c r="N1048"/>
    </row>
    <row r="1049" spans="6:14">
      <c r="F1049"/>
      <c r="N1049"/>
    </row>
    <row r="1050" spans="6:14">
      <c r="F1050"/>
      <c r="N1050"/>
    </row>
    <row r="1051" spans="6:14">
      <c r="F1051"/>
      <c r="N1051"/>
    </row>
    <row r="1052" spans="6:14">
      <c r="F1052"/>
      <c r="N1052"/>
    </row>
    <row r="1053" spans="6:14">
      <c r="F1053"/>
      <c r="N1053"/>
    </row>
    <row r="1054" spans="6:14">
      <c r="F1054"/>
      <c r="N1054"/>
    </row>
    <row r="1055" spans="6:14">
      <c r="F1055"/>
      <c r="N1055"/>
    </row>
    <row r="1056" spans="6:14">
      <c r="F1056"/>
      <c r="N1056"/>
    </row>
    <row r="1057" spans="6:14">
      <c r="F1057"/>
      <c r="N1057"/>
    </row>
    <row r="1058" spans="6:14">
      <c r="N1058"/>
    </row>
    <row r="1059" spans="6:14">
      <c r="N1059"/>
    </row>
    <row r="1060" spans="6:14">
      <c r="N1060"/>
    </row>
    <row r="1061" spans="6:14">
      <c r="N1061"/>
    </row>
    <row r="1062" spans="6:14">
      <c r="N1062"/>
    </row>
    <row r="1063" spans="6:14">
      <c r="N1063"/>
    </row>
    <row r="1064" spans="6:14">
      <c r="N1064"/>
    </row>
    <row r="1065" spans="6:14">
      <c r="N1065"/>
    </row>
    <row r="1066" spans="6:14">
      <c r="N1066"/>
    </row>
    <row r="1067" spans="6:14">
      <c r="N1067"/>
    </row>
    <row r="1068" spans="6:14">
      <c r="N1068"/>
    </row>
    <row r="1069" spans="6:14">
      <c r="N1069"/>
    </row>
    <row r="1070" spans="6:14">
      <c r="N1070"/>
    </row>
    <row r="1071" spans="6:14">
      <c r="N1071"/>
    </row>
    <row r="1072" spans="6:14">
      <c r="N1072"/>
    </row>
    <row r="1073" spans="14:14">
      <c r="N1073"/>
    </row>
    <row r="1074" spans="14:14">
      <c r="N1074"/>
    </row>
    <row r="1075" spans="14:14">
      <c r="N1075"/>
    </row>
    <row r="1076" spans="14:14">
      <c r="N1076"/>
    </row>
    <row r="1077" spans="14:14">
      <c r="N1077"/>
    </row>
    <row r="1078" spans="14:14">
      <c r="N1078"/>
    </row>
    <row r="1079" spans="14:14">
      <c r="N1079"/>
    </row>
    <row r="1080" spans="14:14">
      <c r="N1080"/>
    </row>
    <row r="1081" spans="14:14">
      <c r="N1081"/>
    </row>
    <row r="1082" spans="14:14">
      <c r="N1082"/>
    </row>
    <row r="1083" spans="14:14">
      <c r="N1083"/>
    </row>
    <row r="1084" spans="14:14">
      <c r="N1084"/>
    </row>
    <row r="1085" spans="14:14">
      <c r="N1085"/>
    </row>
    <row r="1086" spans="14:14">
      <c r="N1086"/>
    </row>
    <row r="1087" spans="14:14">
      <c r="N1087"/>
    </row>
    <row r="1088" spans="14:14">
      <c r="N1088"/>
    </row>
    <row r="1089" spans="14:14">
      <c r="N1089"/>
    </row>
    <row r="1090" spans="14:14">
      <c r="N1090"/>
    </row>
    <row r="1091" spans="14:14">
      <c r="N1091"/>
    </row>
    <row r="1092" spans="14:14">
      <c r="N1092"/>
    </row>
    <row r="1093" spans="14:14">
      <c r="N1093"/>
    </row>
    <row r="1094" spans="14:14">
      <c r="N1094"/>
    </row>
    <row r="1095" spans="14:14">
      <c r="N1095"/>
    </row>
    <row r="1096" spans="14:14">
      <c r="N1096"/>
    </row>
    <row r="1097" spans="14:14">
      <c r="N1097"/>
    </row>
    <row r="1098" spans="14:14">
      <c r="N1098"/>
    </row>
    <row r="1099" spans="14:14">
      <c r="N1099"/>
    </row>
    <row r="1100" spans="14:14">
      <c r="N1100"/>
    </row>
    <row r="1101" spans="14:14">
      <c r="N1101"/>
    </row>
    <row r="1102" spans="14:14">
      <c r="N1102"/>
    </row>
    <row r="1103" spans="14:14">
      <c r="N1103"/>
    </row>
    <row r="1104" spans="14:14">
      <c r="N1104"/>
    </row>
    <row r="1105" spans="14:14">
      <c r="N1105"/>
    </row>
    <row r="1106" spans="14:14">
      <c r="N1106"/>
    </row>
    <row r="1107" spans="14:14">
      <c r="N1107"/>
    </row>
    <row r="1108" spans="14:14">
      <c r="N1108"/>
    </row>
    <row r="1109" spans="14:14">
      <c r="N1109"/>
    </row>
    <row r="1110" spans="14:14">
      <c r="N1110"/>
    </row>
    <row r="1111" spans="14:14">
      <c r="N1111"/>
    </row>
    <row r="1112" spans="14:14">
      <c r="N1112"/>
    </row>
    <row r="1113" spans="14:14">
      <c r="N1113"/>
    </row>
    <row r="1114" spans="14:14">
      <c r="N1114"/>
    </row>
    <row r="1115" spans="14:14">
      <c r="N1115"/>
    </row>
    <row r="1116" spans="14:14">
      <c r="N1116"/>
    </row>
    <row r="1117" spans="14:14">
      <c r="N1117"/>
    </row>
    <row r="1118" spans="14:14">
      <c r="N1118"/>
    </row>
    <row r="1119" spans="14:14">
      <c r="N1119"/>
    </row>
    <row r="1120" spans="14:14">
      <c r="N1120"/>
    </row>
    <row r="1121" spans="14:14">
      <c r="N1121"/>
    </row>
    <row r="1122" spans="14:14">
      <c r="N1122"/>
    </row>
    <row r="1123" spans="14:14">
      <c r="N1123"/>
    </row>
    <row r="1124" spans="14:14">
      <c r="N1124"/>
    </row>
    <row r="1125" spans="14:14">
      <c r="N1125"/>
    </row>
    <row r="1126" spans="14:14">
      <c r="N1126"/>
    </row>
    <row r="1127" spans="14:14">
      <c r="N1127"/>
    </row>
    <row r="1128" spans="14:14">
      <c r="N1128"/>
    </row>
    <row r="1129" spans="14:14">
      <c r="N1129"/>
    </row>
    <row r="1130" spans="14:14">
      <c r="N1130"/>
    </row>
    <row r="1131" spans="14:14">
      <c r="N1131"/>
    </row>
    <row r="1132" spans="14:14">
      <c r="N1132"/>
    </row>
    <row r="1133" spans="14:14">
      <c r="N1133"/>
    </row>
    <row r="1134" spans="14:14">
      <c r="N1134"/>
    </row>
    <row r="1135" spans="14:14">
      <c r="N1135"/>
    </row>
    <row r="1136" spans="14:14">
      <c r="N1136"/>
    </row>
    <row r="1137" spans="14:14">
      <c r="N1137"/>
    </row>
    <row r="1138" spans="14:14">
      <c r="N1138"/>
    </row>
    <row r="1139" spans="14:14">
      <c r="N1139"/>
    </row>
    <row r="1140" spans="14:14">
      <c r="N1140"/>
    </row>
    <row r="1141" spans="14:14">
      <c r="N1141"/>
    </row>
    <row r="1142" spans="14:14">
      <c r="N1142"/>
    </row>
    <row r="1143" spans="14:14">
      <c r="N1143"/>
    </row>
    <row r="1144" spans="14:14">
      <c r="N114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6"/>
  <sheetViews>
    <sheetView workbookViewId="0">
      <pane ySplit="2" topLeftCell="A37" activePane="bottomLeft" state="frozen"/>
      <selection pane="bottomLeft" activeCell="Y48" sqref="Y48"/>
    </sheetView>
  </sheetViews>
  <sheetFormatPr defaultRowHeight="14.45"/>
  <cols>
    <col min="1" max="1" width="20.42578125" customWidth="1"/>
    <col min="5" max="6" width="17.42578125" customWidth="1"/>
    <col min="9" max="9" width="15" customWidth="1"/>
    <col min="15" max="15" width="16" style="360" customWidth="1"/>
    <col min="16" max="16" width="6.5703125" customWidth="1"/>
    <col min="17" max="17" width="12.140625" customWidth="1"/>
    <col min="18" max="18" width="9" customWidth="1"/>
    <col min="22" max="22" width="25.42578125" style="360" customWidth="1"/>
    <col min="24" max="25" width="15.85546875" customWidth="1"/>
  </cols>
  <sheetData>
    <row r="1" spans="1:32">
      <c r="A1" s="358" t="s">
        <v>1712</v>
      </c>
      <c r="B1" s="358" t="s">
        <v>1713</v>
      </c>
      <c r="C1" s="358" t="s">
        <v>2</v>
      </c>
      <c r="D1" s="358" t="s">
        <v>1714</v>
      </c>
      <c r="E1" s="358" t="s">
        <v>1715</v>
      </c>
      <c r="F1" s="358" t="s">
        <v>1716</v>
      </c>
      <c r="G1" s="358" t="s">
        <v>6</v>
      </c>
      <c r="H1" s="358" t="s">
        <v>7</v>
      </c>
      <c r="K1" s="358" t="s">
        <v>8</v>
      </c>
      <c r="L1" s="358" t="s">
        <v>1717</v>
      </c>
      <c r="M1" s="358" t="s">
        <v>10</v>
      </c>
      <c r="N1" s="358" t="s">
        <v>11</v>
      </c>
      <c r="O1" s="358"/>
      <c r="P1" s="358"/>
      <c r="Q1" s="358"/>
      <c r="R1" s="358"/>
      <c r="S1" s="358"/>
      <c r="T1" s="358"/>
      <c r="U1" s="358"/>
      <c r="V1" s="359" t="s">
        <v>17</v>
      </c>
      <c r="W1" s="358" t="s">
        <v>18</v>
      </c>
      <c r="X1" s="358" t="s">
        <v>1718</v>
      </c>
      <c r="Y1" s="358"/>
      <c r="Z1" s="358" t="s">
        <v>20</v>
      </c>
      <c r="AA1" s="358" t="s">
        <v>21</v>
      </c>
      <c r="AB1" s="358"/>
      <c r="AC1" s="358" t="s">
        <v>23</v>
      </c>
      <c r="AD1" s="358" t="s">
        <v>24</v>
      </c>
      <c r="AE1" s="358" t="s">
        <v>25</v>
      </c>
      <c r="AF1" s="358" t="s">
        <v>26</v>
      </c>
    </row>
    <row r="2" spans="1:32" s="364" customFormat="1">
      <c r="A2" s="364" t="s">
        <v>0</v>
      </c>
      <c r="B2" s="364" t="s">
        <v>1</v>
      </c>
      <c r="C2" s="364" t="s">
        <v>2</v>
      </c>
      <c r="D2" s="364" t="s">
        <v>3</v>
      </c>
      <c r="E2" s="364" t="s">
        <v>4</v>
      </c>
      <c r="F2" s="364" t="s">
        <v>5</v>
      </c>
      <c r="G2" s="364" t="s">
        <v>1171</v>
      </c>
      <c r="H2" s="364" t="s">
        <v>1172</v>
      </c>
      <c r="I2" s="364" t="s">
        <v>1173</v>
      </c>
      <c r="J2" s="308" t="s">
        <v>1174</v>
      </c>
      <c r="K2" s="364" t="s">
        <v>8</v>
      </c>
      <c r="L2" s="364" t="s">
        <v>9</v>
      </c>
      <c r="M2" s="364" t="s">
        <v>10</v>
      </c>
      <c r="N2" s="364" t="s">
        <v>11</v>
      </c>
      <c r="O2" s="365" t="s">
        <v>12</v>
      </c>
      <c r="P2" s="366" t="s">
        <v>19</v>
      </c>
      <c r="Q2" s="367" t="s">
        <v>13</v>
      </c>
      <c r="R2" s="365" t="s">
        <v>14</v>
      </c>
      <c r="S2" s="368" t="s">
        <v>15</v>
      </c>
      <c r="T2" s="307" t="s">
        <v>1175</v>
      </c>
      <c r="U2" s="369" t="s">
        <v>16</v>
      </c>
      <c r="V2" s="418" t="s">
        <v>17</v>
      </c>
      <c r="W2" s="364" t="s">
        <v>18</v>
      </c>
      <c r="X2" s="364" t="s">
        <v>1176</v>
      </c>
      <c r="Y2" s="364" t="s">
        <v>1177</v>
      </c>
      <c r="Z2" s="364" t="s">
        <v>20</v>
      </c>
      <c r="AA2" s="364" t="s">
        <v>21</v>
      </c>
      <c r="AB2" s="364" t="s">
        <v>22</v>
      </c>
      <c r="AC2" s="364" t="s">
        <v>23</v>
      </c>
      <c r="AD2" s="364" t="s">
        <v>24</v>
      </c>
      <c r="AE2" s="364" t="s">
        <v>25</v>
      </c>
      <c r="AF2" s="364" t="s">
        <v>26</v>
      </c>
    </row>
    <row r="3" spans="1:32">
      <c r="A3" s="358" t="s">
        <v>1313</v>
      </c>
      <c r="B3" s="358">
        <v>5.9983000000000002E-2</v>
      </c>
      <c r="C3" s="358" t="s">
        <v>28</v>
      </c>
      <c r="D3" s="358">
        <v>4.8240850000000002</v>
      </c>
      <c r="E3" s="358">
        <v>6.2E-2</v>
      </c>
      <c r="F3" s="358">
        <v>5.0999999999999996</v>
      </c>
      <c r="G3" s="358">
        <v>35.310479999999998</v>
      </c>
      <c r="H3" s="358">
        <v>-120.66200000000001</v>
      </c>
      <c r="K3" s="358" t="s">
        <v>627</v>
      </c>
      <c r="L3" s="358"/>
      <c r="M3" s="358" t="s">
        <v>30</v>
      </c>
      <c r="N3" s="358" t="s">
        <v>1314</v>
      </c>
      <c r="O3" s="358"/>
      <c r="P3" s="358"/>
      <c r="Q3" s="358"/>
      <c r="R3" s="358"/>
      <c r="S3" s="358"/>
      <c r="T3" s="358"/>
      <c r="U3" s="358"/>
      <c r="V3" s="359">
        <v>1.1000000000000001</v>
      </c>
      <c r="W3" s="358" t="s">
        <v>33</v>
      </c>
      <c r="X3" s="358" t="s">
        <v>887</v>
      </c>
      <c r="Y3" s="358"/>
      <c r="Z3" s="9" t="s">
        <v>1316</v>
      </c>
      <c r="AA3" s="9" t="s">
        <v>1317</v>
      </c>
      <c r="AB3" s="9"/>
      <c r="AC3" s="358"/>
      <c r="AD3" s="358"/>
      <c r="AE3" s="358"/>
      <c r="AF3" s="358" t="s">
        <v>1318</v>
      </c>
    </row>
    <row r="4" spans="1:32">
      <c r="A4" s="358" t="s">
        <v>1319</v>
      </c>
      <c r="B4" s="358">
        <v>5.2263999999999998E-2</v>
      </c>
      <c r="C4" s="358" t="s">
        <v>28</v>
      </c>
      <c r="D4" s="358">
        <v>1.2595499999999999</v>
      </c>
      <c r="E4" s="358">
        <v>0.06</v>
      </c>
      <c r="F4" s="358">
        <v>1.3</v>
      </c>
      <c r="G4" s="358">
        <v>35.310540000000003</v>
      </c>
      <c r="H4" s="358">
        <v>-120.66200000000001</v>
      </c>
      <c r="K4" s="358" t="s">
        <v>627</v>
      </c>
      <c r="L4" s="358"/>
      <c r="M4" s="358" t="s">
        <v>30</v>
      </c>
      <c r="N4" s="358" t="s">
        <v>1314</v>
      </c>
      <c r="O4" s="358"/>
      <c r="P4" s="358"/>
      <c r="Q4" s="358"/>
      <c r="R4" s="358"/>
      <c r="S4" s="358"/>
      <c r="T4" s="358"/>
      <c r="U4" s="358"/>
      <c r="V4" s="359">
        <v>1.2</v>
      </c>
      <c r="W4" s="358" t="s">
        <v>33</v>
      </c>
      <c r="X4" s="358" t="s">
        <v>887</v>
      </c>
      <c r="Y4" s="358"/>
      <c r="Z4" s="9" t="s">
        <v>1320</v>
      </c>
      <c r="AA4" s="9" t="s">
        <v>1317</v>
      </c>
      <c r="AB4" s="9"/>
      <c r="AC4" s="358"/>
      <c r="AD4" s="358"/>
      <c r="AE4" s="358"/>
      <c r="AF4" s="358" t="s">
        <v>1321</v>
      </c>
    </row>
    <row r="5" spans="1:32">
      <c r="A5" s="358" t="s">
        <v>1322</v>
      </c>
      <c r="B5" s="358">
        <v>7.4727000000000002E-2</v>
      </c>
      <c r="C5" s="358" t="s">
        <v>28</v>
      </c>
      <c r="D5" s="358">
        <v>1.212739</v>
      </c>
      <c r="E5" s="358">
        <v>7.3999999999999996E-2</v>
      </c>
      <c r="F5" s="358">
        <v>1.3</v>
      </c>
      <c r="G5" s="358">
        <v>35.310540000000003</v>
      </c>
      <c r="H5" s="358">
        <v>-120.66200000000001</v>
      </c>
      <c r="K5" s="358" t="s">
        <v>627</v>
      </c>
      <c r="L5" s="358"/>
      <c r="M5" s="358" t="s">
        <v>30</v>
      </c>
      <c r="N5" s="358" t="s">
        <v>1314</v>
      </c>
      <c r="O5" s="358"/>
      <c r="P5" s="358"/>
      <c r="Q5" s="358"/>
      <c r="R5" s="358"/>
      <c r="S5" s="358"/>
      <c r="T5" s="358"/>
      <c r="U5" s="358"/>
      <c r="V5" s="359">
        <v>1.3</v>
      </c>
      <c r="W5" s="358" t="s">
        <v>33</v>
      </c>
      <c r="X5" s="358" t="s">
        <v>887</v>
      </c>
      <c r="Y5" s="358"/>
      <c r="Z5" s="9" t="s">
        <v>1323</v>
      </c>
      <c r="AA5" s="9" t="s">
        <v>1324</v>
      </c>
      <c r="AB5" s="9"/>
      <c r="AC5" s="358"/>
      <c r="AD5" s="358"/>
      <c r="AE5" s="358"/>
      <c r="AF5" s="358" t="s">
        <v>1325</v>
      </c>
    </row>
    <row r="6" spans="1:32">
      <c r="A6" s="358" t="s">
        <v>1326</v>
      </c>
      <c r="B6" s="358">
        <v>7.4418999999999999E-2</v>
      </c>
      <c r="C6" s="358" t="s">
        <v>28</v>
      </c>
      <c r="D6" s="358">
        <v>1.153708</v>
      </c>
      <c r="E6" s="358">
        <v>7.4999999999999997E-2</v>
      </c>
      <c r="F6" s="358">
        <v>1.3</v>
      </c>
      <c r="G6" s="358">
        <v>35.31053</v>
      </c>
      <c r="H6" s="358">
        <v>-120.66200000000001</v>
      </c>
      <c r="K6" s="358" t="s">
        <v>627</v>
      </c>
      <c r="L6" s="358"/>
      <c r="M6" s="358" t="s">
        <v>30</v>
      </c>
      <c r="N6" s="358" t="s">
        <v>1314</v>
      </c>
      <c r="O6" s="358"/>
      <c r="P6" s="358"/>
      <c r="Q6" s="358"/>
      <c r="R6" s="358"/>
      <c r="S6" s="358"/>
      <c r="T6" s="358"/>
      <c r="U6" s="358"/>
      <c r="V6" s="359">
        <v>1.4</v>
      </c>
      <c r="W6" s="358" t="s">
        <v>33</v>
      </c>
      <c r="X6" s="358" t="s">
        <v>887</v>
      </c>
      <c r="Y6" s="358"/>
      <c r="Z6" s="9" t="s">
        <v>1327</v>
      </c>
      <c r="AA6" s="9" t="s">
        <v>1328</v>
      </c>
      <c r="AB6" s="9"/>
      <c r="AC6" s="358"/>
      <c r="AD6" s="358"/>
      <c r="AE6" s="358"/>
      <c r="AF6" s="358" t="s">
        <v>1329</v>
      </c>
    </row>
    <row r="7" spans="1:32">
      <c r="A7" s="358" t="s">
        <v>1330</v>
      </c>
      <c r="B7" s="358">
        <v>0.118288</v>
      </c>
      <c r="C7" s="358" t="s">
        <v>28</v>
      </c>
      <c r="D7" s="358">
        <v>1.330964</v>
      </c>
      <c r="E7" s="358">
        <v>0.104</v>
      </c>
      <c r="F7" s="358">
        <v>1.3</v>
      </c>
      <c r="G7" s="358">
        <v>35.310519999999997</v>
      </c>
      <c r="H7" s="358">
        <v>-120.66200000000001</v>
      </c>
      <c r="K7" s="358" t="s">
        <v>627</v>
      </c>
      <c r="L7" s="358"/>
      <c r="M7" s="358" t="s">
        <v>30</v>
      </c>
      <c r="N7" s="358" t="s">
        <v>1314</v>
      </c>
      <c r="O7" s="358"/>
      <c r="P7" s="358"/>
      <c r="Q7" s="358"/>
      <c r="R7" s="358"/>
      <c r="S7" s="358"/>
      <c r="T7" s="358"/>
      <c r="U7" s="358"/>
      <c r="V7" s="359">
        <v>1.5</v>
      </c>
      <c r="W7" s="358" t="s">
        <v>33</v>
      </c>
      <c r="X7" s="358" t="s">
        <v>887</v>
      </c>
      <c r="Y7" s="358"/>
      <c r="Z7" s="9" t="s">
        <v>1331</v>
      </c>
      <c r="AA7" s="9" t="s">
        <v>1332</v>
      </c>
      <c r="AB7" s="9"/>
      <c r="AC7" s="358"/>
      <c r="AD7" s="358"/>
      <c r="AE7" s="358"/>
      <c r="AF7" s="358" t="s">
        <v>1333</v>
      </c>
    </row>
    <row r="8" spans="1:32">
      <c r="A8" s="358" t="s">
        <v>1334</v>
      </c>
      <c r="B8" s="358">
        <v>5.6007000000000001E-2</v>
      </c>
      <c r="C8" s="358" t="s">
        <v>28</v>
      </c>
      <c r="D8" s="358">
        <v>1.068953</v>
      </c>
      <c r="E8" s="358">
        <v>5.2999999999999999E-2</v>
      </c>
      <c r="F8" s="358">
        <v>1.3</v>
      </c>
      <c r="G8" s="358">
        <v>35.310519999999997</v>
      </c>
      <c r="H8" s="358">
        <v>-120.66200000000001</v>
      </c>
      <c r="K8" s="358" t="s">
        <v>627</v>
      </c>
      <c r="L8" s="358"/>
      <c r="M8" s="358" t="s">
        <v>30</v>
      </c>
      <c r="N8" s="358" t="s">
        <v>1314</v>
      </c>
      <c r="O8" s="358"/>
      <c r="P8" s="358"/>
      <c r="Q8" s="358"/>
      <c r="R8" s="358"/>
      <c r="S8" s="358"/>
      <c r="T8" s="358"/>
      <c r="U8" s="358"/>
      <c r="V8" s="359">
        <v>1.6</v>
      </c>
      <c r="W8" s="358" t="s">
        <v>33</v>
      </c>
      <c r="X8" s="358" t="s">
        <v>887</v>
      </c>
      <c r="Y8" s="358"/>
      <c r="Z8" s="9" t="s">
        <v>1335</v>
      </c>
      <c r="AA8" s="9" t="s">
        <v>1336</v>
      </c>
      <c r="AB8" s="9"/>
      <c r="AC8" s="358"/>
      <c r="AD8" s="358"/>
      <c r="AE8" s="358"/>
      <c r="AF8" s="358" t="s">
        <v>1337</v>
      </c>
    </row>
    <row r="9" spans="1:32">
      <c r="A9" s="358" t="s">
        <v>1338</v>
      </c>
      <c r="B9" s="358">
        <v>6.2365999999999998E-2</v>
      </c>
      <c r="C9" s="358" t="s">
        <v>28</v>
      </c>
      <c r="D9" s="358">
        <v>1.329682</v>
      </c>
      <c r="E9" s="358">
        <v>6.6000000000000003E-2</v>
      </c>
      <c r="F9" s="358">
        <v>1.31</v>
      </c>
      <c r="G9" s="358">
        <v>35.310499999999998</v>
      </c>
      <c r="H9" s="358">
        <v>-120.66200000000001</v>
      </c>
      <c r="K9" s="358" t="s">
        <v>627</v>
      </c>
      <c r="L9" s="358"/>
      <c r="M9" s="358" t="s">
        <v>30</v>
      </c>
      <c r="N9" s="358" t="s">
        <v>1314</v>
      </c>
      <c r="O9" s="358"/>
      <c r="P9" s="358"/>
      <c r="Q9" s="358"/>
      <c r="R9" s="358"/>
      <c r="S9" s="358"/>
      <c r="T9" s="358"/>
      <c r="U9" s="358"/>
      <c r="V9" s="359">
        <v>1.7</v>
      </c>
      <c r="W9" s="358" t="s">
        <v>33</v>
      </c>
      <c r="X9" s="358" t="s">
        <v>887</v>
      </c>
      <c r="Y9" s="358"/>
      <c r="Z9" s="9" t="s">
        <v>1339</v>
      </c>
      <c r="AA9" s="9" t="s">
        <v>1340</v>
      </c>
      <c r="AB9" s="9"/>
      <c r="AC9" s="358"/>
      <c r="AD9" s="358"/>
      <c r="AE9" s="358"/>
      <c r="AF9" s="358" t="s">
        <v>1341</v>
      </c>
    </row>
    <row r="10" spans="1:32">
      <c r="A10" s="358" t="s">
        <v>1342</v>
      </c>
      <c r="B10" s="358">
        <v>5.8263000000000002E-2</v>
      </c>
      <c r="C10" s="358" t="s">
        <v>28</v>
      </c>
      <c r="D10" s="358">
        <v>1.234084</v>
      </c>
      <c r="E10" s="358">
        <v>6.2E-2</v>
      </c>
      <c r="F10" s="358">
        <v>1.3</v>
      </c>
      <c r="G10" s="358">
        <v>35.310519999999997</v>
      </c>
      <c r="H10" s="358">
        <v>-120.66200000000001</v>
      </c>
      <c r="K10" s="358" t="s">
        <v>627</v>
      </c>
      <c r="L10" s="358"/>
      <c r="M10" s="358" t="s">
        <v>30</v>
      </c>
      <c r="N10" s="358" t="s">
        <v>1314</v>
      </c>
      <c r="O10" s="358"/>
      <c r="P10" s="358"/>
      <c r="Q10" s="358"/>
      <c r="R10" s="358"/>
      <c r="S10" s="358"/>
      <c r="T10" s="358"/>
      <c r="U10" s="358"/>
      <c r="V10" s="359">
        <v>1.8</v>
      </c>
      <c r="W10" s="358" t="s">
        <v>33</v>
      </c>
      <c r="X10" s="358" t="s">
        <v>887</v>
      </c>
      <c r="Y10" s="358"/>
      <c r="Z10" s="9" t="s">
        <v>1343</v>
      </c>
      <c r="AA10" s="9" t="s">
        <v>1344</v>
      </c>
      <c r="AB10" s="9"/>
      <c r="AC10" s="358"/>
      <c r="AD10" s="358"/>
      <c r="AE10" s="358"/>
      <c r="AF10" s="358" t="s">
        <v>1345</v>
      </c>
    </row>
    <row r="11" spans="1:32">
      <c r="A11" s="358" t="s">
        <v>1346</v>
      </c>
      <c r="B11" s="358">
        <v>8.1809000000000007E-2</v>
      </c>
      <c r="C11" s="358" t="s">
        <v>28</v>
      </c>
      <c r="D11" s="358">
        <v>0.69397399999999998</v>
      </c>
      <c r="E11" s="358">
        <v>8.5999999999999993E-2</v>
      </c>
      <c r="F11" s="358">
        <v>1.3</v>
      </c>
      <c r="G11" s="358">
        <v>35.310519999999997</v>
      </c>
      <c r="H11" s="358">
        <v>-120.66200000000001</v>
      </c>
      <c r="K11" s="358" t="s">
        <v>627</v>
      </c>
      <c r="L11" s="358"/>
      <c r="M11" s="358" t="s">
        <v>30</v>
      </c>
      <c r="N11" s="358" t="s">
        <v>1314</v>
      </c>
      <c r="O11" s="358"/>
      <c r="P11" s="358"/>
      <c r="Q11" s="358"/>
      <c r="R11" s="358"/>
      <c r="S11" s="358"/>
      <c r="T11" s="358"/>
      <c r="U11" s="358"/>
      <c r="V11" s="359">
        <v>1.9</v>
      </c>
      <c r="W11" s="358" t="s">
        <v>33</v>
      </c>
      <c r="X11" s="358" t="s">
        <v>887</v>
      </c>
      <c r="Y11" s="358"/>
      <c r="Z11" s="9" t="s">
        <v>1347</v>
      </c>
      <c r="AA11" s="9" t="s">
        <v>1348</v>
      </c>
      <c r="AB11" s="9"/>
      <c r="AC11" s="358"/>
      <c r="AD11" s="358"/>
      <c r="AE11" s="358"/>
      <c r="AF11" s="358" t="s">
        <v>1349</v>
      </c>
    </row>
    <row r="12" spans="1:32">
      <c r="A12" s="358" t="s">
        <v>1350</v>
      </c>
      <c r="B12" s="358">
        <v>5.5920999999999998E-2</v>
      </c>
      <c r="C12" s="358" t="s">
        <v>28</v>
      </c>
      <c r="D12" s="358">
        <v>0.68886999999999998</v>
      </c>
      <c r="E12" s="358">
        <v>0.03</v>
      </c>
      <c r="F12" s="358">
        <v>1.3</v>
      </c>
      <c r="G12" s="358">
        <v>35.310499999999998</v>
      </c>
      <c r="H12" s="358">
        <v>-120.66200000000001</v>
      </c>
      <c r="K12" s="358" t="s">
        <v>627</v>
      </c>
      <c r="L12" s="358"/>
      <c r="M12" s="358" t="s">
        <v>30</v>
      </c>
      <c r="N12" s="358" t="s">
        <v>1314</v>
      </c>
      <c r="O12" s="358"/>
      <c r="P12" s="358"/>
      <c r="Q12" s="358"/>
      <c r="R12" s="358"/>
      <c r="S12" s="358"/>
      <c r="T12" s="358"/>
      <c r="U12" s="358"/>
      <c r="V12" s="359">
        <v>1.1000000000000001</v>
      </c>
      <c r="W12" s="358" t="s">
        <v>33</v>
      </c>
      <c r="X12" s="358" t="s">
        <v>887</v>
      </c>
      <c r="Y12" s="358"/>
      <c r="Z12" s="9" t="s">
        <v>1351</v>
      </c>
      <c r="AA12" s="9" t="s">
        <v>1352</v>
      </c>
      <c r="AB12" s="9"/>
      <c r="AC12" s="358"/>
      <c r="AD12" s="358"/>
      <c r="AE12" s="358"/>
      <c r="AF12" s="358" t="s">
        <v>1353</v>
      </c>
    </row>
    <row r="13" spans="1:32">
      <c r="A13" s="358" t="s">
        <v>1354</v>
      </c>
      <c r="B13" s="358">
        <v>5.5369000000000002E-2</v>
      </c>
      <c r="C13" s="358" t="s">
        <v>28</v>
      </c>
      <c r="D13" s="358">
        <v>0.65460600000000002</v>
      </c>
      <c r="E13" s="358">
        <v>4.2999999999999997E-2</v>
      </c>
      <c r="F13" s="358">
        <v>1.3</v>
      </c>
      <c r="G13" s="358">
        <v>35.310499999999998</v>
      </c>
      <c r="H13" s="358">
        <v>-120.66200000000001</v>
      </c>
      <c r="K13" s="358" t="s">
        <v>627</v>
      </c>
      <c r="L13" s="358"/>
      <c r="M13" s="358" t="s">
        <v>30</v>
      </c>
      <c r="N13" s="358" t="s">
        <v>1314</v>
      </c>
      <c r="O13" s="358"/>
      <c r="P13" s="358"/>
      <c r="Q13" s="358"/>
      <c r="R13" s="358"/>
      <c r="S13" s="358"/>
      <c r="T13" s="358"/>
      <c r="U13" s="358"/>
      <c r="V13" s="359">
        <v>1.1100000000000001</v>
      </c>
      <c r="W13" s="358" t="s">
        <v>33</v>
      </c>
      <c r="X13" s="358" t="s">
        <v>887</v>
      </c>
      <c r="Y13" s="358"/>
      <c r="Z13" s="9" t="s">
        <v>1355</v>
      </c>
      <c r="AA13" s="9" t="s">
        <v>1356</v>
      </c>
      <c r="AB13" s="9"/>
      <c r="AC13" s="358"/>
      <c r="AD13" s="358"/>
      <c r="AE13" s="358"/>
      <c r="AF13" s="358" t="s">
        <v>1357</v>
      </c>
    </row>
    <row r="14" spans="1:32">
      <c r="A14" s="358" t="s">
        <v>1358</v>
      </c>
      <c r="B14" s="358">
        <v>7.6773999999999995E-2</v>
      </c>
      <c r="C14" s="358" t="s">
        <v>28</v>
      </c>
      <c r="D14" s="358">
        <v>0.76464100000000002</v>
      </c>
      <c r="E14" s="358">
        <v>9.8000000000000004E-2</v>
      </c>
      <c r="F14" s="358">
        <v>1.3</v>
      </c>
      <c r="G14" s="358">
        <v>35.310490000000001</v>
      </c>
      <c r="H14" s="358">
        <v>-120.66200000000001</v>
      </c>
      <c r="K14" s="358" t="s">
        <v>627</v>
      </c>
      <c r="L14" s="358"/>
      <c r="M14" s="358" t="s">
        <v>30</v>
      </c>
      <c r="N14" s="358" t="s">
        <v>1314</v>
      </c>
      <c r="O14" s="358"/>
      <c r="P14" s="358"/>
      <c r="Q14" s="358"/>
      <c r="R14" s="358"/>
      <c r="S14" s="358"/>
      <c r="T14" s="358"/>
      <c r="U14" s="358"/>
      <c r="V14" s="359"/>
      <c r="W14" s="358" t="s">
        <v>33</v>
      </c>
      <c r="X14" s="358" t="s">
        <v>887</v>
      </c>
      <c r="Y14" s="358"/>
      <c r="Z14" s="9" t="s">
        <v>1359</v>
      </c>
      <c r="AA14" s="9" t="s">
        <v>1360</v>
      </c>
      <c r="AB14" s="9"/>
      <c r="AC14" s="358"/>
      <c r="AD14" s="358"/>
      <c r="AE14" s="358"/>
      <c r="AF14" s="358" t="s">
        <v>1361</v>
      </c>
    </row>
    <row r="15" spans="1:32">
      <c r="A15" s="358" t="s">
        <v>1362</v>
      </c>
      <c r="B15" s="358">
        <v>8.6984000000000006E-2</v>
      </c>
      <c r="C15" s="358" t="s">
        <v>28</v>
      </c>
      <c r="D15" s="358">
        <v>0.90568000000000004</v>
      </c>
      <c r="E15" s="358">
        <v>9.5000000000000001E-2</v>
      </c>
      <c r="F15" s="358">
        <v>1.3</v>
      </c>
      <c r="G15" s="358">
        <v>35.310490000000001</v>
      </c>
      <c r="H15" s="358">
        <v>-120.66200000000001</v>
      </c>
      <c r="K15" s="358" t="s">
        <v>627</v>
      </c>
      <c r="L15" s="358"/>
      <c r="M15" s="358" t="s">
        <v>30</v>
      </c>
      <c r="N15" s="358" t="s">
        <v>1314</v>
      </c>
      <c r="O15" s="358"/>
      <c r="P15" s="358"/>
      <c r="Q15" s="358"/>
      <c r="R15" s="358"/>
      <c r="S15" s="358"/>
      <c r="T15" s="358"/>
      <c r="U15" s="358"/>
      <c r="V15" s="359"/>
      <c r="W15" s="358" t="s">
        <v>33</v>
      </c>
      <c r="X15" s="358" t="s">
        <v>887</v>
      </c>
      <c r="Y15" s="358"/>
      <c r="Z15" s="9" t="s">
        <v>1359</v>
      </c>
      <c r="AA15" s="9" t="s">
        <v>1363</v>
      </c>
      <c r="AB15" s="9"/>
      <c r="AC15" s="358"/>
      <c r="AD15" s="358"/>
      <c r="AE15" s="358"/>
      <c r="AF15" s="358" t="s">
        <v>1364</v>
      </c>
    </row>
    <row r="16" spans="1:32">
      <c r="A16" s="358" t="s">
        <v>1365</v>
      </c>
      <c r="B16" s="358">
        <v>5.3434000000000002E-2</v>
      </c>
      <c r="C16" s="358" t="s">
        <v>28</v>
      </c>
      <c r="D16" s="358">
        <v>0.69837499999999997</v>
      </c>
      <c r="E16" s="358">
        <v>3.6999999999999998E-2</v>
      </c>
      <c r="F16" s="358">
        <v>1.3</v>
      </c>
      <c r="G16" s="358">
        <v>35.310470000000002</v>
      </c>
      <c r="H16" s="358">
        <v>-120.66200000000001</v>
      </c>
      <c r="K16" s="358" t="s">
        <v>627</v>
      </c>
      <c r="L16" s="358"/>
      <c r="M16" s="358" t="s">
        <v>30</v>
      </c>
      <c r="N16" s="358" t="s">
        <v>1314</v>
      </c>
      <c r="O16" s="358"/>
      <c r="P16" s="358"/>
      <c r="Q16" s="358"/>
      <c r="R16" s="358"/>
      <c r="S16" s="358"/>
      <c r="T16" s="358"/>
      <c r="U16" s="358"/>
      <c r="V16" s="359"/>
      <c r="W16" s="358" t="s">
        <v>33</v>
      </c>
      <c r="X16" s="358" t="s">
        <v>887</v>
      </c>
      <c r="Y16" s="358"/>
      <c r="Z16" s="9" t="s">
        <v>1366</v>
      </c>
      <c r="AA16" s="9" t="s">
        <v>1367</v>
      </c>
      <c r="AB16" s="9"/>
      <c r="AC16" s="358"/>
      <c r="AD16" s="358"/>
      <c r="AE16" s="358"/>
      <c r="AF16" s="358" t="s">
        <v>1368</v>
      </c>
    </row>
    <row r="17" spans="1:32">
      <c r="A17" s="358" t="s">
        <v>1369</v>
      </c>
      <c r="B17" s="358">
        <v>5.7357999999999999E-2</v>
      </c>
      <c r="C17" s="358" t="s">
        <v>28</v>
      </c>
      <c r="D17" s="358">
        <v>0.68385200000000002</v>
      </c>
      <c r="E17" s="358">
        <v>4.2999999999999997E-2</v>
      </c>
      <c r="F17" s="358">
        <v>1.3</v>
      </c>
      <c r="G17" s="358">
        <v>35.310479999999998</v>
      </c>
      <c r="H17" s="358">
        <v>-120.66200000000001</v>
      </c>
      <c r="K17" s="358" t="s">
        <v>627</v>
      </c>
      <c r="L17" s="358"/>
      <c r="M17" s="358" t="s">
        <v>30</v>
      </c>
      <c r="N17" s="358" t="s">
        <v>1314</v>
      </c>
      <c r="O17" s="358"/>
      <c r="P17" s="358"/>
      <c r="Q17" s="358"/>
      <c r="R17" s="358"/>
      <c r="S17" s="358"/>
      <c r="T17" s="358"/>
      <c r="U17" s="358"/>
      <c r="V17" s="359"/>
      <c r="W17" s="358" t="s">
        <v>33</v>
      </c>
      <c r="X17" s="358" t="s">
        <v>887</v>
      </c>
      <c r="Y17" s="358"/>
      <c r="Z17" s="9" t="s">
        <v>1370</v>
      </c>
      <c r="AA17" s="9" t="s">
        <v>1371</v>
      </c>
      <c r="AB17" s="9"/>
      <c r="AC17" s="358"/>
      <c r="AD17" s="358"/>
      <c r="AE17" s="358"/>
      <c r="AF17" s="358" t="s">
        <v>1372</v>
      </c>
    </row>
    <row r="18" spans="1:32">
      <c r="A18" s="358" t="s">
        <v>1373</v>
      </c>
      <c r="B18" s="358">
        <v>5.5171999999999999E-2</v>
      </c>
      <c r="C18" s="358" t="s">
        <v>28</v>
      </c>
      <c r="D18" s="358">
        <v>0.79547000000000001</v>
      </c>
      <c r="E18" s="358">
        <v>3.1E-2</v>
      </c>
      <c r="F18" s="358">
        <v>1.3</v>
      </c>
      <c r="G18" s="358">
        <v>35.310519999999997</v>
      </c>
      <c r="H18" s="358">
        <v>-120.66200000000001</v>
      </c>
      <c r="K18" s="358" t="s">
        <v>627</v>
      </c>
      <c r="L18" s="358"/>
      <c r="M18" s="358" t="s">
        <v>30</v>
      </c>
      <c r="N18" s="358" t="s">
        <v>1314</v>
      </c>
      <c r="O18" s="358"/>
      <c r="P18" s="358"/>
      <c r="Q18" s="358"/>
      <c r="R18" s="358"/>
      <c r="S18" s="358"/>
      <c r="T18" s="358"/>
      <c r="U18" s="358"/>
      <c r="V18" s="359"/>
      <c r="W18" s="358" t="s">
        <v>33</v>
      </c>
      <c r="X18" s="358" t="s">
        <v>887</v>
      </c>
      <c r="Y18" s="358"/>
      <c r="Z18" s="9" t="s">
        <v>1374</v>
      </c>
      <c r="AA18" s="9" t="s">
        <v>1375</v>
      </c>
      <c r="AB18" s="9"/>
      <c r="AC18" s="358"/>
      <c r="AD18" s="358"/>
      <c r="AE18" s="358"/>
      <c r="AF18" s="358" t="s">
        <v>1376</v>
      </c>
    </row>
    <row r="19" spans="1:32">
      <c r="A19" s="358" t="s">
        <v>1377</v>
      </c>
      <c r="B19" s="358">
        <v>7.3094999999999993E-2</v>
      </c>
      <c r="C19" s="358" t="s">
        <v>28</v>
      </c>
      <c r="D19" s="358">
        <v>0.92736799999999997</v>
      </c>
      <c r="E19" s="358">
        <v>7.4999999999999997E-2</v>
      </c>
      <c r="F19" s="358">
        <v>1.3</v>
      </c>
      <c r="G19" s="358">
        <v>35.310510000000001</v>
      </c>
      <c r="H19" s="358">
        <v>-120.66200000000001</v>
      </c>
      <c r="K19" s="358" t="s">
        <v>627</v>
      </c>
      <c r="L19" s="358"/>
      <c r="M19" s="358" t="s">
        <v>30</v>
      </c>
      <c r="N19" s="358" t="s">
        <v>1314</v>
      </c>
      <c r="O19" s="358"/>
      <c r="P19" s="358"/>
      <c r="Q19" s="358"/>
      <c r="R19" s="358"/>
      <c r="S19" s="358"/>
      <c r="T19" s="358"/>
      <c r="U19" s="358"/>
      <c r="V19" s="359"/>
      <c r="W19" s="358" t="s">
        <v>33</v>
      </c>
      <c r="X19" s="358" t="s">
        <v>887</v>
      </c>
      <c r="Y19" s="358"/>
      <c r="Z19" s="9" t="s">
        <v>1378</v>
      </c>
      <c r="AA19" s="9" t="s">
        <v>1379</v>
      </c>
      <c r="AB19" s="9"/>
      <c r="AC19" s="358"/>
      <c r="AD19" s="358"/>
      <c r="AE19" s="358"/>
      <c r="AF19" s="358" t="s">
        <v>1380</v>
      </c>
    </row>
    <row r="20" spans="1:32">
      <c r="A20" s="358" t="s">
        <v>1381</v>
      </c>
      <c r="B20" s="358">
        <v>6.2426000000000002E-2</v>
      </c>
      <c r="C20" s="358" t="s">
        <v>28</v>
      </c>
      <c r="D20" s="358">
        <v>1.016775</v>
      </c>
      <c r="E20" s="358">
        <v>6.4000000000000001E-2</v>
      </c>
      <c r="F20" s="358">
        <v>1.3</v>
      </c>
      <c r="G20" s="358">
        <v>35.310490000000001</v>
      </c>
      <c r="H20" s="358">
        <v>-120.66200000000001</v>
      </c>
      <c r="K20" s="358" t="s">
        <v>627</v>
      </c>
      <c r="L20" s="358"/>
      <c r="M20" s="358" t="s">
        <v>30</v>
      </c>
      <c r="N20" s="358" t="s">
        <v>1314</v>
      </c>
      <c r="O20" s="358"/>
      <c r="P20" s="358"/>
      <c r="Q20" s="358"/>
      <c r="R20" s="358"/>
      <c r="S20" s="358"/>
      <c r="T20" s="358"/>
      <c r="U20" s="358"/>
      <c r="V20" s="359"/>
      <c r="W20" s="358" t="s">
        <v>33</v>
      </c>
      <c r="X20" s="358" t="s">
        <v>887</v>
      </c>
      <c r="Y20" s="358"/>
      <c r="Z20" s="9" t="s">
        <v>1382</v>
      </c>
      <c r="AA20" s="9" t="s">
        <v>1383</v>
      </c>
      <c r="AB20" s="9"/>
      <c r="AC20" s="358"/>
      <c r="AD20" s="358"/>
      <c r="AE20" s="358"/>
      <c r="AF20" s="358" t="s">
        <v>1384</v>
      </c>
    </row>
    <row r="21" spans="1:32">
      <c r="A21" s="358" t="s">
        <v>1385</v>
      </c>
      <c r="B21" s="358">
        <v>7.9772999999999997E-2</v>
      </c>
      <c r="C21" s="358" t="s">
        <v>28</v>
      </c>
      <c r="D21" s="358">
        <v>0.90040900000000001</v>
      </c>
      <c r="E21" s="358">
        <v>7.2999999999999995E-2</v>
      </c>
      <c r="F21" s="358">
        <v>1.3</v>
      </c>
      <c r="G21" s="358">
        <v>35.310470000000002</v>
      </c>
      <c r="H21" s="358">
        <v>-120.66200000000001</v>
      </c>
      <c r="K21" s="358" t="s">
        <v>627</v>
      </c>
      <c r="L21" s="358"/>
      <c r="M21" s="358" t="s">
        <v>30</v>
      </c>
      <c r="N21" s="358" t="s">
        <v>1314</v>
      </c>
      <c r="O21" s="358"/>
      <c r="P21" s="358"/>
      <c r="Q21" s="358"/>
      <c r="R21" s="358"/>
      <c r="S21" s="358"/>
      <c r="T21" s="358"/>
      <c r="U21" s="358"/>
      <c r="V21" s="359"/>
      <c r="W21" s="358" t="s">
        <v>33</v>
      </c>
      <c r="X21" s="358" t="s">
        <v>887</v>
      </c>
      <c r="Y21" s="358"/>
      <c r="Z21" s="9" t="s">
        <v>1386</v>
      </c>
      <c r="AA21" s="9" t="s">
        <v>1387</v>
      </c>
      <c r="AB21" s="9"/>
      <c r="AC21" s="358"/>
      <c r="AD21" s="358"/>
      <c r="AE21" s="358"/>
      <c r="AF21" s="358" t="s">
        <v>1388</v>
      </c>
    </row>
    <row r="22" spans="1:32">
      <c r="A22" s="358" t="s">
        <v>1389</v>
      </c>
      <c r="B22" s="358">
        <v>6.8231E-2</v>
      </c>
      <c r="C22" s="358" t="s">
        <v>28</v>
      </c>
      <c r="D22" s="358">
        <v>0.51964900000000003</v>
      </c>
      <c r="E22" s="358">
        <v>6.5000000000000002E-2</v>
      </c>
      <c r="F22" s="358">
        <v>1.3</v>
      </c>
      <c r="G22" s="358">
        <v>35.310510000000001</v>
      </c>
      <c r="H22" s="358">
        <v>-120.66200000000001</v>
      </c>
      <c r="K22" s="358" t="s">
        <v>627</v>
      </c>
      <c r="L22" s="358"/>
      <c r="M22" s="358" t="s">
        <v>30</v>
      </c>
      <c r="N22" s="358" t="s">
        <v>1314</v>
      </c>
      <c r="O22" s="358"/>
      <c r="P22" s="358"/>
      <c r="Q22" s="358"/>
      <c r="R22" s="358"/>
      <c r="S22" s="358"/>
      <c r="T22" s="358"/>
      <c r="U22" s="358"/>
      <c r="V22" s="359"/>
      <c r="W22" s="358" t="s">
        <v>33</v>
      </c>
      <c r="X22" s="358" t="s">
        <v>887</v>
      </c>
      <c r="Y22" s="358"/>
      <c r="Z22" s="9" t="s">
        <v>1390</v>
      </c>
      <c r="AA22" s="9" t="s">
        <v>1391</v>
      </c>
      <c r="AB22" s="9"/>
      <c r="AC22" s="358"/>
      <c r="AD22" s="358"/>
      <c r="AE22" s="358"/>
      <c r="AF22" s="358" t="s">
        <v>1392</v>
      </c>
    </row>
    <row r="23" spans="1:32">
      <c r="A23" s="358" t="s">
        <v>1719</v>
      </c>
      <c r="B23" s="358">
        <v>6.7988000000000007E-2</v>
      </c>
      <c r="C23" s="358" t="s">
        <v>28</v>
      </c>
      <c r="D23" s="358">
        <v>4.3595059999999997</v>
      </c>
      <c r="E23" s="358">
        <v>0.08</v>
      </c>
      <c r="F23" s="358">
        <v>4.2</v>
      </c>
      <c r="G23" s="358">
        <v>35.310400000000001</v>
      </c>
      <c r="H23" s="358">
        <v>-120.66200000000001</v>
      </c>
      <c r="K23" s="358" t="s">
        <v>627</v>
      </c>
      <c r="L23" s="358"/>
      <c r="M23" s="358" t="s">
        <v>30</v>
      </c>
      <c r="N23" s="358" t="s">
        <v>1314</v>
      </c>
      <c r="O23" s="358"/>
      <c r="P23" s="358"/>
      <c r="Q23" s="358"/>
      <c r="R23" s="358"/>
      <c r="S23" s="358"/>
      <c r="T23" s="358"/>
      <c r="U23" s="358"/>
      <c r="V23" s="359" t="s">
        <v>1720</v>
      </c>
      <c r="W23" s="358" t="s">
        <v>33</v>
      </c>
      <c r="X23" s="358" t="s">
        <v>1721</v>
      </c>
      <c r="Y23" s="358"/>
      <c r="Z23" s="9" t="s">
        <v>1722</v>
      </c>
      <c r="AA23" s="9" t="s">
        <v>1723</v>
      </c>
      <c r="AB23" s="9"/>
      <c r="AC23" s="358"/>
      <c r="AD23" s="358"/>
      <c r="AE23" s="358"/>
      <c r="AF23" s="358" t="s">
        <v>1724</v>
      </c>
    </row>
    <row r="24" spans="1:32" s="364" customFormat="1">
      <c r="A24" s="361" t="s">
        <v>1188</v>
      </c>
      <c r="B24" s="361">
        <v>0.95415399999999995</v>
      </c>
      <c r="C24" s="361" t="s">
        <v>28</v>
      </c>
      <c r="D24" s="361">
        <v>20.15184</v>
      </c>
      <c r="E24" s="361">
        <v>9.7999999999999997E-3</v>
      </c>
      <c r="F24" s="361">
        <v>19.5</v>
      </c>
      <c r="G24" s="361">
        <v>35.310899999999997</v>
      </c>
      <c r="H24" s="361">
        <v>-120.663</v>
      </c>
      <c r="K24" s="361" t="s">
        <v>627</v>
      </c>
      <c r="L24" s="361"/>
      <c r="M24" s="361" t="s">
        <v>30</v>
      </c>
      <c r="N24" s="361" t="s">
        <v>1189</v>
      </c>
      <c r="O24" s="361"/>
      <c r="P24" s="361"/>
      <c r="Q24" s="361"/>
      <c r="R24" s="361"/>
      <c r="S24" s="361"/>
      <c r="T24" s="361"/>
      <c r="U24" s="361"/>
      <c r="V24" s="362"/>
      <c r="W24" s="361" t="s">
        <v>33</v>
      </c>
      <c r="X24" s="361" t="s">
        <v>34</v>
      </c>
      <c r="Y24" s="361"/>
      <c r="Z24" s="363" t="s">
        <v>1190</v>
      </c>
      <c r="AA24" s="363" t="s">
        <v>1191</v>
      </c>
      <c r="AB24" s="363"/>
      <c r="AC24" s="361"/>
      <c r="AD24" s="361"/>
      <c r="AE24" s="361"/>
      <c r="AF24" s="361" t="s">
        <v>1192</v>
      </c>
    </row>
    <row r="25" spans="1:32">
      <c r="A25" s="358" t="s">
        <v>1193</v>
      </c>
      <c r="B25" s="358">
        <v>0.17343800000000001</v>
      </c>
      <c r="C25" s="358" t="s">
        <v>28</v>
      </c>
      <c r="D25" s="358">
        <v>5.4205170000000003</v>
      </c>
      <c r="E25" s="358">
        <v>0.20100000000000001</v>
      </c>
      <c r="F25" s="358">
        <v>5.2</v>
      </c>
      <c r="G25" s="358">
        <v>35.310670000000002</v>
      </c>
      <c r="H25" s="358">
        <v>-120.663</v>
      </c>
      <c r="K25" s="358" t="s">
        <v>627</v>
      </c>
      <c r="L25" s="358"/>
      <c r="M25" s="358" t="s">
        <v>30</v>
      </c>
      <c r="N25" s="358" t="s">
        <v>1189</v>
      </c>
      <c r="O25" s="358"/>
      <c r="P25" s="358"/>
      <c r="Q25" s="358"/>
      <c r="R25" s="358"/>
      <c r="S25" s="358"/>
      <c r="T25" s="358"/>
      <c r="U25" s="358"/>
      <c r="V25" s="359"/>
      <c r="W25" s="358" t="s">
        <v>33</v>
      </c>
      <c r="X25" s="358" t="s">
        <v>1195</v>
      </c>
      <c r="Y25" s="358"/>
      <c r="Z25" s="9" t="s">
        <v>1197</v>
      </c>
      <c r="AA25" s="9" t="s">
        <v>1198</v>
      </c>
      <c r="AB25" s="9"/>
      <c r="AC25" s="358"/>
      <c r="AD25" s="358"/>
      <c r="AE25" s="358"/>
      <c r="AF25" s="358" t="s">
        <v>1199</v>
      </c>
    </row>
    <row r="26" spans="1:32" s="178" customFormat="1">
      <c r="A26" s="422" t="s">
        <v>1410</v>
      </c>
      <c r="B26" s="422">
        <v>0.11525100000000001</v>
      </c>
      <c r="C26" s="422" t="s">
        <v>28</v>
      </c>
      <c r="D26" s="422">
        <v>3.3028759999999999</v>
      </c>
      <c r="E26" s="422">
        <v>0.1</v>
      </c>
      <c r="F26" s="422">
        <v>3</v>
      </c>
      <c r="G26" s="422">
        <v>35.310459999999999</v>
      </c>
      <c r="H26" s="422">
        <v>-120.661</v>
      </c>
      <c r="K26" s="422" t="s">
        <v>627</v>
      </c>
      <c r="L26" s="422"/>
      <c r="M26" s="422" t="s">
        <v>30</v>
      </c>
      <c r="N26" s="422" t="s">
        <v>1189</v>
      </c>
      <c r="O26" s="422"/>
      <c r="P26" s="422"/>
      <c r="Q26" s="422"/>
      <c r="R26" s="422"/>
      <c r="S26" s="422"/>
      <c r="T26" s="422"/>
      <c r="U26" s="422"/>
      <c r="V26" s="423" t="s">
        <v>1725</v>
      </c>
      <c r="W26" s="422" t="s">
        <v>33</v>
      </c>
      <c r="X26" s="422"/>
      <c r="Y26" s="422"/>
      <c r="Z26" s="424" t="s">
        <v>1414</v>
      </c>
      <c r="AA26" s="424" t="s">
        <v>1415</v>
      </c>
      <c r="AB26" s="424"/>
      <c r="AC26" s="422"/>
      <c r="AD26" s="422"/>
      <c r="AE26" s="422"/>
      <c r="AF26" s="422" t="s">
        <v>1416</v>
      </c>
    </row>
    <row r="27" spans="1:32" s="175" customFormat="1">
      <c r="A27" s="419" t="s">
        <v>1417</v>
      </c>
      <c r="B27" s="419">
        <v>5.5622999999999999E-2</v>
      </c>
      <c r="C27" s="419" t="s">
        <v>28</v>
      </c>
      <c r="D27" s="419">
        <v>2.458907</v>
      </c>
      <c r="E27" s="419">
        <v>4.2000000000000003E-2</v>
      </c>
      <c r="F27" s="419">
        <v>2.5</v>
      </c>
      <c r="G27" s="419">
        <v>35.310499999999998</v>
      </c>
      <c r="H27" s="419">
        <v>-120.661</v>
      </c>
      <c r="K27" s="419" t="s">
        <v>627</v>
      </c>
      <c r="L27" s="419"/>
      <c r="M27" s="419" t="s">
        <v>30</v>
      </c>
      <c r="N27" s="419" t="s">
        <v>1189</v>
      </c>
      <c r="O27" s="419"/>
      <c r="P27" s="419"/>
      <c r="Q27" s="419"/>
      <c r="R27" s="419"/>
      <c r="S27" s="419"/>
      <c r="T27" s="419"/>
      <c r="U27" s="419"/>
      <c r="V27" s="420" t="s">
        <v>1726</v>
      </c>
      <c r="W27" s="419" t="s">
        <v>33</v>
      </c>
      <c r="X27" s="419"/>
      <c r="Y27" s="419"/>
      <c r="Z27" s="421" t="s">
        <v>1418</v>
      </c>
      <c r="AA27" s="421" t="s">
        <v>1419</v>
      </c>
      <c r="AB27" s="421"/>
      <c r="AC27" s="419"/>
      <c r="AD27" s="419"/>
      <c r="AE27" s="419"/>
      <c r="AF27" s="419" t="s">
        <v>1420</v>
      </c>
    </row>
    <row r="28" spans="1:32" s="175" customFormat="1">
      <c r="A28" s="419" t="s">
        <v>1422</v>
      </c>
      <c r="B28" s="419">
        <v>7.1114999999999998E-2</v>
      </c>
      <c r="C28" s="419" t="s">
        <v>28</v>
      </c>
      <c r="D28" s="419">
        <v>2.8698619999999999</v>
      </c>
      <c r="E28" s="419">
        <v>3.1E-2</v>
      </c>
      <c r="F28" s="419">
        <v>2.5</v>
      </c>
      <c r="G28" s="419">
        <v>35.310450000000003</v>
      </c>
      <c r="H28" s="419">
        <v>-120.661</v>
      </c>
      <c r="K28" s="419" t="s">
        <v>627</v>
      </c>
      <c r="L28" s="419"/>
      <c r="M28" s="419" t="s">
        <v>30</v>
      </c>
      <c r="N28" s="419" t="s">
        <v>1189</v>
      </c>
      <c r="O28" s="419"/>
      <c r="P28" s="419"/>
      <c r="Q28" s="419"/>
      <c r="R28" s="419"/>
      <c r="S28" s="419"/>
      <c r="T28" s="419"/>
      <c r="U28" s="419"/>
      <c r="V28" s="420"/>
      <c r="W28" s="419" t="s">
        <v>33</v>
      </c>
      <c r="X28" s="419"/>
      <c r="Y28" s="419"/>
      <c r="Z28" s="421" t="s">
        <v>1424</v>
      </c>
      <c r="AA28" s="421" t="s">
        <v>1425</v>
      </c>
      <c r="AB28" s="421"/>
      <c r="AC28" s="419"/>
      <c r="AD28" s="419"/>
      <c r="AE28" s="419"/>
      <c r="AF28" s="419" t="s">
        <v>1426</v>
      </c>
    </row>
    <row r="29" spans="1:32" s="175" customFormat="1">
      <c r="A29" s="419" t="s">
        <v>1427</v>
      </c>
      <c r="B29" s="419">
        <v>0.13206499999999999</v>
      </c>
      <c r="C29" s="419" t="s">
        <v>28</v>
      </c>
      <c r="D29" s="419">
        <v>3.4712320000000001</v>
      </c>
      <c r="E29" s="419">
        <v>0.123</v>
      </c>
      <c r="F29" s="419">
        <v>3.4</v>
      </c>
      <c r="G29" s="419">
        <v>35.310510000000001</v>
      </c>
      <c r="H29" s="419">
        <v>-120.661</v>
      </c>
      <c r="K29" s="419" t="s">
        <v>627</v>
      </c>
      <c r="L29" s="419"/>
      <c r="M29" s="419" t="s">
        <v>30</v>
      </c>
      <c r="N29" s="419" t="s">
        <v>1189</v>
      </c>
      <c r="O29" s="419"/>
      <c r="P29" s="419"/>
      <c r="Q29" s="419"/>
      <c r="R29" s="419"/>
      <c r="S29" s="419"/>
      <c r="T29" s="419"/>
      <c r="U29" s="419"/>
      <c r="V29" s="420" t="s">
        <v>1428</v>
      </c>
      <c r="W29" s="419" t="s">
        <v>33</v>
      </c>
      <c r="X29" s="419"/>
      <c r="Y29" s="419"/>
      <c r="Z29" s="421" t="s">
        <v>1429</v>
      </c>
      <c r="AA29" s="421" t="s">
        <v>1430</v>
      </c>
      <c r="AB29" s="421"/>
      <c r="AC29" s="419"/>
      <c r="AD29" s="419"/>
      <c r="AE29" s="419"/>
      <c r="AF29" s="419" t="s">
        <v>1431</v>
      </c>
    </row>
    <row r="30" spans="1:32">
      <c r="A30" s="358" t="s">
        <v>1436</v>
      </c>
      <c r="B30" s="358">
        <v>5.6855000000000003E-2</v>
      </c>
      <c r="C30" s="358" t="s">
        <v>28</v>
      </c>
      <c r="D30" s="358">
        <v>4.318683</v>
      </c>
      <c r="E30" s="358">
        <v>4.7E-2</v>
      </c>
      <c r="F30" s="358">
        <v>4.0999999999999996</v>
      </c>
      <c r="G30" s="358">
        <v>35.310510000000001</v>
      </c>
      <c r="H30" s="358">
        <v>-120.661</v>
      </c>
      <c r="K30" s="358" t="s">
        <v>627</v>
      </c>
      <c r="L30" s="358"/>
      <c r="M30" s="358" t="s">
        <v>30</v>
      </c>
      <c r="N30" s="358" t="s">
        <v>1189</v>
      </c>
      <c r="O30" s="358"/>
      <c r="P30" s="358"/>
      <c r="Q30" s="358"/>
      <c r="R30" s="358"/>
      <c r="S30" s="358"/>
      <c r="T30" s="358"/>
      <c r="U30" s="358"/>
      <c r="V30" s="359" t="s">
        <v>807</v>
      </c>
      <c r="W30" s="358" t="s">
        <v>33</v>
      </c>
      <c r="X30" s="358"/>
      <c r="Y30" s="358"/>
      <c r="Z30" s="9" t="s">
        <v>1439</v>
      </c>
      <c r="AA30" s="9" t="s">
        <v>1440</v>
      </c>
      <c r="AB30" s="9"/>
      <c r="AC30" s="358"/>
      <c r="AD30" s="358"/>
      <c r="AE30" s="358"/>
      <c r="AF30" s="358" t="s">
        <v>1441</v>
      </c>
    </row>
    <row r="31" spans="1:32">
      <c r="A31" s="358" t="s">
        <v>1443</v>
      </c>
      <c r="B31" s="358">
        <v>5.9806999999999999E-2</v>
      </c>
      <c r="C31" s="358" t="s">
        <v>28</v>
      </c>
      <c r="D31" s="358">
        <v>1.3502190000000001</v>
      </c>
      <c r="E31" s="358">
        <v>5.5E-2</v>
      </c>
      <c r="F31" s="358"/>
      <c r="G31" s="358">
        <v>35.310519999999997</v>
      </c>
      <c r="H31" s="358">
        <v>-120.661</v>
      </c>
      <c r="K31" s="358" t="s">
        <v>627</v>
      </c>
      <c r="L31" s="358"/>
      <c r="M31" s="358" t="s">
        <v>30</v>
      </c>
      <c r="N31" s="358" t="s">
        <v>1189</v>
      </c>
      <c r="O31" s="358"/>
      <c r="P31" s="358"/>
      <c r="Q31" s="358"/>
      <c r="R31" s="358"/>
      <c r="S31" s="358"/>
      <c r="T31" s="358"/>
      <c r="U31" s="358"/>
      <c r="V31" s="359" t="s">
        <v>1444</v>
      </c>
      <c r="W31" s="358" t="s">
        <v>33</v>
      </c>
      <c r="X31" s="358"/>
      <c r="Y31" s="358"/>
      <c r="Z31" s="9" t="s">
        <v>1445</v>
      </c>
      <c r="AA31" s="9" t="s">
        <v>1446</v>
      </c>
      <c r="AB31" s="9"/>
      <c r="AC31" s="358"/>
      <c r="AD31" s="358"/>
      <c r="AE31" s="358"/>
      <c r="AF31" s="358" t="s">
        <v>1447</v>
      </c>
    </row>
    <row r="32" spans="1:32">
      <c r="A32" s="358" t="s">
        <v>1449</v>
      </c>
      <c r="B32" s="358">
        <v>5.4916E-2</v>
      </c>
      <c r="C32" s="358" t="s">
        <v>28</v>
      </c>
      <c r="D32" s="358">
        <v>1.219449</v>
      </c>
      <c r="E32" s="358">
        <v>4.2000000000000003E-2</v>
      </c>
      <c r="F32" s="358"/>
      <c r="G32" s="358">
        <v>35.310499999999998</v>
      </c>
      <c r="H32" s="358">
        <v>-120.661</v>
      </c>
      <c r="K32" s="358" t="s">
        <v>627</v>
      </c>
      <c r="L32" s="358"/>
      <c r="M32" s="358" t="s">
        <v>30</v>
      </c>
      <c r="N32" s="358" t="s">
        <v>1189</v>
      </c>
      <c r="O32" s="358"/>
      <c r="P32" s="358"/>
      <c r="Q32" s="358"/>
      <c r="R32" s="358"/>
      <c r="S32" s="358"/>
      <c r="T32" s="358"/>
      <c r="U32" s="358"/>
      <c r="V32" s="359" t="s">
        <v>816</v>
      </c>
      <c r="W32" s="358" t="s">
        <v>33</v>
      </c>
      <c r="X32" s="358"/>
      <c r="Y32" s="358"/>
      <c r="Z32" s="9" t="s">
        <v>1450</v>
      </c>
      <c r="AA32" s="9" t="s">
        <v>1451</v>
      </c>
      <c r="AB32" s="9"/>
      <c r="AC32" s="358"/>
      <c r="AD32" s="358"/>
      <c r="AE32" s="358"/>
      <c r="AF32" s="358" t="s">
        <v>1452</v>
      </c>
    </row>
    <row r="33" spans="1:32">
      <c r="A33" s="358" t="s">
        <v>1453</v>
      </c>
      <c r="B33" s="358">
        <v>5.9327999999999999E-2</v>
      </c>
      <c r="C33" s="358" t="s">
        <v>28</v>
      </c>
      <c r="D33" s="358">
        <v>1.2958540000000001</v>
      </c>
      <c r="E33" s="358">
        <v>4.2000000000000003E-2</v>
      </c>
      <c r="F33" s="358"/>
      <c r="G33" s="358">
        <v>35.310479999999998</v>
      </c>
      <c r="H33" s="358">
        <v>-120.661</v>
      </c>
      <c r="K33" s="358" t="s">
        <v>627</v>
      </c>
      <c r="L33" s="358"/>
      <c r="M33" s="358" t="s">
        <v>30</v>
      </c>
      <c r="N33" s="358" t="s">
        <v>1189</v>
      </c>
      <c r="O33" s="358"/>
      <c r="P33" s="358"/>
      <c r="Q33" s="358"/>
      <c r="R33" s="358"/>
      <c r="S33" s="358"/>
      <c r="T33" s="358"/>
      <c r="U33" s="358"/>
      <c r="V33" s="359" t="s">
        <v>821</v>
      </c>
      <c r="W33" s="358" t="s">
        <v>33</v>
      </c>
      <c r="X33" s="358"/>
      <c r="Y33" s="358"/>
      <c r="Z33" s="9" t="s">
        <v>1454</v>
      </c>
      <c r="AA33" s="9" t="s">
        <v>1455</v>
      </c>
      <c r="AB33" s="9"/>
      <c r="AC33" s="358"/>
      <c r="AD33" s="358"/>
      <c r="AE33" s="358"/>
      <c r="AF33" s="358" t="s">
        <v>1456</v>
      </c>
    </row>
    <row r="34" spans="1:32">
      <c r="A34" s="358" t="s">
        <v>1457</v>
      </c>
      <c r="B34" s="358">
        <v>0.58520000000000005</v>
      </c>
      <c r="C34" s="358" t="s">
        <v>28</v>
      </c>
      <c r="D34" s="358">
        <v>1.231889</v>
      </c>
      <c r="E34" s="358">
        <v>2.5999999999999999E-2</v>
      </c>
      <c r="F34" s="358"/>
      <c r="G34" s="358">
        <v>35.31053</v>
      </c>
      <c r="H34" s="358">
        <v>-120.661</v>
      </c>
      <c r="K34" s="358" t="s">
        <v>627</v>
      </c>
      <c r="L34" s="358"/>
      <c r="M34" s="358" t="s">
        <v>30</v>
      </c>
      <c r="N34" s="358" t="s">
        <v>1189</v>
      </c>
      <c r="O34" s="358"/>
      <c r="P34" s="358"/>
      <c r="Q34" s="358"/>
      <c r="R34" s="358"/>
      <c r="S34" s="358"/>
      <c r="T34" s="358"/>
      <c r="U34" s="358"/>
      <c r="V34" s="359" t="s">
        <v>1459</v>
      </c>
      <c r="W34" s="358" t="s">
        <v>33</v>
      </c>
      <c r="X34" s="358"/>
      <c r="Y34" s="358"/>
      <c r="Z34" s="9" t="s">
        <v>1460</v>
      </c>
      <c r="AA34" s="9" t="s">
        <v>1461</v>
      </c>
      <c r="AB34" s="9"/>
      <c r="AC34" s="358"/>
      <c r="AD34" s="358"/>
      <c r="AE34" s="358"/>
      <c r="AF34" s="358" t="s">
        <v>1462</v>
      </c>
    </row>
    <row r="35" spans="1:32">
      <c r="A35" s="358" t="s">
        <v>1727</v>
      </c>
      <c r="B35" s="358">
        <v>3.9093999999999997E-2</v>
      </c>
      <c r="C35" s="358" t="s">
        <v>1728</v>
      </c>
      <c r="D35" s="358">
        <v>1.3088089999999999</v>
      </c>
      <c r="F35" s="358"/>
      <c r="G35" s="358">
        <v>35.310510000000001</v>
      </c>
      <c r="H35" s="358">
        <v>-120.661</v>
      </c>
      <c r="K35" s="358" t="s">
        <v>627</v>
      </c>
      <c r="L35" s="358"/>
      <c r="M35" s="358" t="s">
        <v>30</v>
      </c>
      <c r="N35" s="358" t="s">
        <v>1189</v>
      </c>
      <c r="O35" s="358"/>
      <c r="P35" s="358"/>
      <c r="Q35" s="358"/>
      <c r="R35" s="358"/>
      <c r="S35" s="358"/>
      <c r="T35" s="358"/>
      <c r="U35" s="358"/>
      <c r="V35" s="359" t="s">
        <v>1729</v>
      </c>
      <c r="W35" s="358" t="s">
        <v>33</v>
      </c>
      <c r="X35" s="358"/>
      <c r="Y35" s="358"/>
      <c r="Z35" s="9" t="s">
        <v>1730</v>
      </c>
      <c r="AA35" s="9" t="s">
        <v>1731</v>
      </c>
      <c r="AB35" s="9"/>
      <c r="AC35" s="358"/>
      <c r="AD35" s="358"/>
      <c r="AE35" s="358"/>
      <c r="AF35" s="358" t="s">
        <v>1732</v>
      </c>
    </row>
    <row r="36" spans="1:32" s="175" customFormat="1">
      <c r="A36" s="419" t="s">
        <v>1463</v>
      </c>
      <c r="B36" s="419">
        <v>5.6509999999999998E-2</v>
      </c>
      <c r="C36" s="419" t="s">
        <v>28</v>
      </c>
      <c r="D36" s="419">
        <v>1.1719349999999999</v>
      </c>
      <c r="E36" s="419">
        <v>3.3000000000000002E-2</v>
      </c>
      <c r="F36" s="419"/>
      <c r="G36" s="419">
        <v>35.310510000000001</v>
      </c>
      <c r="H36" s="419">
        <v>-120.661</v>
      </c>
      <c r="K36" s="419" t="s">
        <v>627</v>
      </c>
      <c r="L36" s="419"/>
      <c r="M36" s="419" t="s">
        <v>30</v>
      </c>
      <c r="N36" s="419" t="s">
        <v>1189</v>
      </c>
      <c r="O36" s="419"/>
      <c r="P36" s="419"/>
      <c r="Q36" s="419"/>
      <c r="R36" s="419"/>
      <c r="S36" s="419"/>
      <c r="T36" s="419"/>
      <c r="U36" s="419"/>
      <c r="V36" s="420" t="s">
        <v>1464</v>
      </c>
      <c r="W36" s="419" t="s">
        <v>33</v>
      </c>
      <c r="X36" s="419"/>
      <c r="Y36" s="419"/>
      <c r="Z36" s="421" t="s">
        <v>1465</v>
      </c>
      <c r="AA36" s="421" t="s">
        <v>1466</v>
      </c>
      <c r="AB36" s="421"/>
      <c r="AC36" s="419"/>
      <c r="AD36" s="419"/>
      <c r="AE36" s="419"/>
      <c r="AF36" s="419" t="s">
        <v>1467</v>
      </c>
    </row>
    <row r="37" spans="1:32" s="175" customFormat="1" ht="43.5">
      <c r="A37" s="419" t="s">
        <v>1468</v>
      </c>
      <c r="B37" s="419">
        <v>5.3754999999999997E-2</v>
      </c>
      <c r="C37" s="419" t="s">
        <v>28</v>
      </c>
      <c r="D37" s="419">
        <v>4.9751570000000003</v>
      </c>
      <c r="E37" s="419">
        <v>4.2999999999999997E-2</v>
      </c>
      <c r="F37" s="419">
        <v>4.2</v>
      </c>
      <c r="G37" s="419">
        <v>35.310490000000001</v>
      </c>
      <c r="H37" s="419">
        <v>-120.66200000000001</v>
      </c>
      <c r="K37" s="419" t="s">
        <v>627</v>
      </c>
      <c r="L37" s="419"/>
      <c r="M37" s="419" t="s">
        <v>30</v>
      </c>
      <c r="N37" s="419" t="s">
        <v>1189</v>
      </c>
      <c r="O37" s="419"/>
      <c r="P37" s="419"/>
      <c r="Q37" s="419"/>
      <c r="R37" s="419"/>
      <c r="S37" s="419"/>
      <c r="T37" s="419"/>
      <c r="U37" s="419"/>
      <c r="V37" s="420" t="s">
        <v>1733</v>
      </c>
      <c r="W37" s="419" t="s">
        <v>33</v>
      </c>
      <c r="X37" s="419"/>
      <c r="Y37" s="419"/>
      <c r="Z37" s="421" t="s">
        <v>1471</v>
      </c>
      <c r="AA37" s="421" t="s">
        <v>1472</v>
      </c>
      <c r="AB37" s="421"/>
      <c r="AC37" s="419"/>
      <c r="AD37" s="419"/>
      <c r="AE37" s="419"/>
      <c r="AF37" s="419" t="s">
        <v>1473</v>
      </c>
    </row>
    <row r="38" spans="1:32" s="175" customFormat="1">
      <c r="A38" s="419" t="s">
        <v>1475</v>
      </c>
      <c r="B38" s="419">
        <v>0.128414</v>
      </c>
      <c r="C38" s="419" t="s">
        <v>28</v>
      </c>
      <c r="D38" s="419">
        <v>3.181546</v>
      </c>
      <c r="E38" s="419">
        <v>0.13400000000000001</v>
      </c>
      <c r="F38" s="419">
        <v>3.4</v>
      </c>
      <c r="G38" s="419">
        <v>35.310499999999998</v>
      </c>
      <c r="H38" s="419">
        <v>-120.661</v>
      </c>
      <c r="K38" s="419" t="s">
        <v>627</v>
      </c>
      <c r="L38" s="419"/>
      <c r="M38" s="419" t="s">
        <v>30</v>
      </c>
      <c r="N38" s="419" t="s">
        <v>1189</v>
      </c>
      <c r="O38" s="419"/>
      <c r="P38" s="419"/>
      <c r="Q38" s="419"/>
      <c r="R38" s="419"/>
      <c r="S38" s="419"/>
      <c r="T38" s="419"/>
      <c r="U38" s="419"/>
      <c r="V38" s="420" t="s">
        <v>1476</v>
      </c>
      <c r="W38" s="419" t="s">
        <v>33</v>
      </c>
      <c r="X38" s="419"/>
      <c r="Y38" s="419"/>
      <c r="Z38" s="421" t="s">
        <v>1477</v>
      </c>
      <c r="AA38" s="421" t="s">
        <v>1478</v>
      </c>
      <c r="AB38" s="421"/>
      <c r="AC38" s="419"/>
      <c r="AD38" s="419"/>
      <c r="AE38" s="419"/>
      <c r="AF38" s="419" t="s">
        <v>1479</v>
      </c>
    </row>
    <row r="39" spans="1:32" s="175" customFormat="1" ht="43.5">
      <c r="A39" s="419" t="s">
        <v>1481</v>
      </c>
      <c r="B39" s="419">
        <v>5.8106999999999999E-2</v>
      </c>
      <c r="C39" s="419" t="s">
        <v>28</v>
      </c>
      <c r="D39" s="419">
        <v>4.3639279999999996</v>
      </c>
      <c r="E39" s="419">
        <v>0.06</v>
      </c>
      <c r="F39" s="419">
        <v>4.0999999999999996</v>
      </c>
      <c r="G39" s="419">
        <v>35.310519999999997</v>
      </c>
      <c r="H39" s="419">
        <v>-120.661</v>
      </c>
      <c r="K39" s="419" t="s">
        <v>627</v>
      </c>
      <c r="L39" s="419"/>
      <c r="M39" s="419" t="s">
        <v>30</v>
      </c>
      <c r="N39" s="419" t="s">
        <v>1189</v>
      </c>
      <c r="O39" s="419"/>
      <c r="P39" s="419"/>
      <c r="Q39" s="419"/>
      <c r="R39" s="419"/>
      <c r="S39" s="419"/>
      <c r="T39" s="419"/>
      <c r="U39" s="419"/>
      <c r="V39" s="420" t="s">
        <v>1734</v>
      </c>
      <c r="W39" s="419" t="s">
        <v>33</v>
      </c>
      <c r="X39" s="419"/>
      <c r="Y39" s="419"/>
      <c r="Z39" s="421" t="s">
        <v>1483</v>
      </c>
      <c r="AA39" s="421" t="s">
        <v>1484</v>
      </c>
      <c r="AB39" s="421"/>
      <c r="AC39" s="419"/>
      <c r="AD39" s="419"/>
      <c r="AE39" s="419"/>
      <c r="AF39" s="419" t="s">
        <v>1485</v>
      </c>
    </row>
    <row r="40" spans="1:32">
      <c r="A40" s="358" t="s">
        <v>1487</v>
      </c>
      <c r="B40" s="358">
        <v>5.2110999999999998E-2</v>
      </c>
      <c r="C40" s="358" t="s">
        <v>28</v>
      </c>
      <c r="D40" s="358">
        <v>3.8706119999999999</v>
      </c>
      <c r="E40" s="358">
        <v>4.5999999999999999E-2</v>
      </c>
      <c r="F40" s="358">
        <v>4</v>
      </c>
      <c r="G40" s="358">
        <v>35.310580000000002</v>
      </c>
      <c r="H40" s="358">
        <v>-120.661</v>
      </c>
      <c r="K40" s="358" t="s">
        <v>627</v>
      </c>
      <c r="L40" s="358"/>
      <c r="M40" s="358" t="s">
        <v>30</v>
      </c>
      <c r="N40" s="358" t="s">
        <v>1189</v>
      </c>
      <c r="O40" s="358"/>
      <c r="P40" s="358"/>
      <c r="Q40" s="358"/>
      <c r="R40" s="358"/>
      <c r="S40" s="358"/>
      <c r="T40" s="358"/>
      <c r="U40" s="358"/>
      <c r="V40" s="359" t="s">
        <v>1400</v>
      </c>
      <c r="W40" s="358" t="s">
        <v>33</v>
      </c>
      <c r="X40" s="358" t="s">
        <v>904</v>
      </c>
      <c r="Y40" s="358"/>
      <c r="Z40" s="9" t="s">
        <v>1489</v>
      </c>
      <c r="AA40" s="9" t="s">
        <v>1490</v>
      </c>
      <c r="AB40" s="9"/>
      <c r="AC40" s="358"/>
      <c r="AD40" s="358"/>
      <c r="AE40" s="358"/>
      <c r="AF40" s="358" t="s">
        <v>1491</v>
      </c>
    </row>
    <row r="41" spans="1:32">
      <c r="A41" s="358" t="s">
        <v>1524</v>
      </c>
      <c r="B41" s="358">
        <v>0.15962999999999999</v>
      </c>
      <c r="C41" s="358" t="s">
        <v>28</v>
      </c>
      <c r="D41" s="358">
        <v>3.5228480000000002</v>
      </c>
      <c r="E41" s="358">
        <v>0.14899999999999999</v>
      </c>
      <c r="F41" s="358">
        <v>3.5</v>
      </c>
      <c r="G41" s="358">
        <v>35.310339999999997</v>
      </c>
      <c r="H41" s="358">
        <v>-120.661</v>
      </c>
      <c r="K41" s="358" t="s">
        <v>627</v>
      </c>
      <c r="L41" s="358"/>
      <c r="M41" s="358" t="s">
        <v>30</v>
      </c>
      <c r="N41" s="358" t="s">
        <v>1189</v>
      </c>
      <c r="O41" s="358"/>
      <c r="P41" s="358"/>
      <c r="Q41" s="358"/>
      <c r="R41" s="358"/>
      <c r="S41" s="358"/>
      <c r="T41" s="358"/>
      <c r="U41" s="358"/>
      <c r="V41" s="359" t="s">
        <v>1526</v>
      </c>
      <c r="W41" s="358" t="s">
        <v>33</v>
      </c>
      <c r="X41" s="358" t="s">
        <v>64</v>
      </c>
      <c r="Y41" s="358"/>
      <c r="Z41" s="9" t="s">
        <v>1528</v>
      </c>
      <c r="AA41" s="9" t="s">
        <v>1529</v>
      </c>
      <c r="AB41" s="9"/>
      <c r="AC41" s="358"/>
      <c r="AD41" s="358"/>
      <c r="AE41" s="358"/>
      <c r="AF41" s="358" t="s">
        <v>1530</v>
      </c>
    </row>
    <row r="42" spans="1:32" s="40" customFormat="1">
      <c r="A42" s="532" t="s">
        <v>1735</v>
      </c>
      <c r="B42" s="532">
        <v>2.7576E-2</v>
      </c>
      <c r="C42" s="532" t="s">
        <v>28</v>
      </c>
      <c r="D42" s="532">
        <v>3.19686</v>
      </c>
      <c r="E42" s="532">
        <v>2.9000000000000001E-2</v>
      </c>
      <c r="F42" s="532">
        <v>3.1</v>
      </c>
      <c r="G42" s="532">
        <v>35.310310000000001</v>
      </c>
      <c r="H42" s="532">
        <v>-120.661</v>
      </c>
      <c r="K42" s="532" t="s">
        <v>627</v>
      </c>
      <c r="L42" s="532"/>
      <c r="M42" s="532" t="s">
        <v>30</v>
      </c>
      <c r="N42" s="532" t="s">
        <v>1189</v>
      </c>
      <c r="O42" s="532"/>
      <c r="P42" s="532"/>
      <c r="Q42" s="532"/>
      <c r="R42" s="532"/>
      <c r="S42" s="532"/>
      <c r="T42" s="532"/>
      <c r="U42" s="532"/>
      <c r="V42" s="536" t="s">
        <v>1736</v>
      </c>
      <c r="W42" s="532" t="s">
        <v>33</v>
      </c>
      <c r="X42" s="532"/>
      <c r="Y42" s="532"/>
      <c r="Z42" s="43" t="s">
        <v>1737</v>
      </c>
      <c r="AA42" s="43" t="s">
        <v>1738</v>
      </c>
      <c r="AB42" s="43"/>
      <c r="AC42" s="532"/>
      <c r="AD42" s="532"/>
      <c r="AE42" s="532"/>
      <c r="AF42" s="532" t="s">
        <v>1739</v>
      </c>
    </row>
    <row r="43" spans="1:32">
      <c r="A43" s="358" t="s">
        <v>1509</v>
      </c>
      <c r="B43" s="358">
        <v>7.7751000000000001E-2</v>
      </c>
      <c r="C43" s="358" t="s">
        <v>28</v>
      </c>
      <c r="D43" s="358">
        <v>2.3333390000000001</v>
      </c>
      <c r="E43" s="358">
        <v>6.3E-2</v>
      </c>
      <c r="F43" s="358">
        <v>2.4</v>
      </c>
      <c r="G43" s="358">
        <v>35.310389999999998</v>
      </c>
      <c r="H43" s="358">
        <v>-120.661</v>
      </c>
      <c r="K43" s="358" t="s">
        <v>627</v>
      </c>
      <c r="L43" s="358"/>
      <c r="M43" s="358" t="s">
        <v>30</v>
      </c>
      <c r="N43" s="358" t="s">
        <v>1189</v>
      </c>
      <c r="O43" s="358"/>
      <c r="P43" s="358"/>
      <c r="Q43" s="358"/>
      <c r="R43" s="358"/>
      <c r="S43" s="358"/>
      <c r="T43" s="358"/>
      <c r="U43" s="358"/>
      <c r="V43" s="359" t="s">
        <v>1526</v>
      </c>
      <c r="W43" s="358" t="s">
        <v>33</v>
      </c>
      <c r="X43" s="358" t="s">
        <v>64</v>
      </c>
      <c r="Y43" s="358"/>
      <c r="Z43" s="9" t="s">
        <v>1513</v>
      </c>
      <c r="AA43" s="9" t="s">
        <v>1514</v>
      </c>
      <c r="AB43" s="9"/>
      <c r="AC43" s="358"/>
      <c r="AD43" s="358"/>
      <c r="AE43" s="358"/>
      <c r="AF43" s="358" t="s">
        <v>1515</v>
      </c>
    </row>
    <row r="44" spans="1:32">
      <c r="A44" s="358" t="s">
        <v>1516</v>
      </c>
      <c r="B44" s="358">
        <v>9.0177999999999994E-2</v>
      </c>
      <c r="C44" s="358" t="s">
        <v>28</v>
      </c>
      <c r="D44" s="358">
        <v>2.9577469999999999</v>
      </c>
      <c r="E44" s="358"/>
      <c r="F44" s="358">
        <v>3.3</v>
      </c>
      <c r="G44" s="358">
        <v>35.310310000000001</v>
      </c>
      <c r="H44" s="358">
        <v>-120.661</v>
      </c>
      <c r="K44" s="358" t="s">
        <v>627</v>
      </c>
      <c r="L44" s="358"/>
      <c r="M44" s="358" t="s">
        <v>30</v>
      </c>
      <c r="N44" s="358" t="s">
        <v>1189</v>
      </c>
      <c r="O44" s="358"/>
      <c r="P44" s="358"/>
      <c r="Q44" s="358"/>
      <c r="R44" s="358"/>
      <c r="S44" s="358"/>
      <c r="T44" s="358"/>
      <c r="U44" s="358"/>
      <c r="V44" s="359" t="s">
        <v>1740</v>
      </c>
      <c r="W44" s="358" t="s">
        <v>33</v>
      </c>
      <c r="X44" s="358"/>
      <c r="Y44" s="358"/>
      <c r="Z44" s="9" t="s">
        <v>1520</v>
      </c>
      <c r="AA44" s="9" t="s">
        <v>1521</v>
      </c>
      <c r="AB44" s="9"/>
      <c r="AC44" s="358"/>
      <c r="AD44" s="358"/>
      <c r="AE44" s="358"/>
      <c r="AF44" s="358" t="s">
        <v>1522</v>
      </c>
    </row>
    <row r="45" spans="1:32">
      <c r="A45" s="358" t="s">
        <v>1741</v>
      </c>
      <c r="B45" s="358">
        <v>8.5514000000000007E-2</v>
      </c>
      <c r="C45" s="358" t="s">
        <v>28</v>
      </c>
      <c r="D45" s="358">
        <v>3.1598030000000001</v>
      </c>
      <c r="E45" s="358"/>
      <c r="F45" s="358">
        <v>3.1</v>
      </c>
      <c r="G45" s="358">
        <v>35.310310000000001</v>
      </c>
      <c r="H45" s="358">
        <v>-120.661</v>
      </c>
      <c r="K45" s="358" t="s">
        <v>627</v>
      </c>
      <c r="L45" s="358"/>
      <c r="M45" s="358" t="s">
        <v>30</v>
      </c>
      <c r="N45" s="358" t="s">
        <v>1189</v>
      </c>
      <c r="O45" s="358"/>
      <c r="P45" s="358"/>
      <c r="Q45" s="358"/>
      <c r="R45" s="358"/>
      <c r="S45" s="358"/>
      <c r="T45" s="358"/>
      <c r="U45" s="358"/>
      <c r="V45" s="359" t="s">
        <v>1742</v>
      </c>
      <c r="W45" s="358" t="s">
        <v>33</v>
      </c>
      <c r="X45" s="358"/>
      <c r="Y45" s="358"/>
      <c r="Z45" s="9" t="s">
        <v>1743</v>
      </c>
      <c r="AA45" s="9" t="s">
        <v>1744</v>
      </c>
      <c r="AB45" s="9"/>
      <c r="AC45" s="358"/>
      <c r="AD45" s="358"/>
      <c r="AE45" s="358"/>
      <c r="AF45" s="358" t="s">
        <v>1745</v>
      </c>
    </row>
    <row r="46" spans="1:32">
      <c r="A46" s="358" t="s">
        <v>1492</v>
      </c>
      <c r="B46" s="358">
        <v>0.72011899999999995</v>
      </c>
      <c r="C46" s="358" t="s">
        <v>28</v>
      </c>
      <c r="D46" s="358">
        <v>10.09027</v>
      </c>
      <c r="E46" s="358"/>
      <c r="F46" s="358">
        <v>9.4</v>
      </c>
      <c r="G46" s="358">
        <v>35.310639999999999</v>
      </c>
      <c r="H46" s="358">
        <v>-120.66200000000001</v>
      </c>
      <c r="K46" s="358" t="s">
        <v>627</v>
      </c>
      <c r="L46" s="358"/>
      <c r="M46" s="358" t="s">
        <v>30</v>
      </c>
      <c r="N46" s="358" t="s">
        <v>1189</v>
      </c>
      <c r="O46" s="358"/>
      <c r="P46" s="358"/>
      <c r="Q46" s="358"/>
      <c r="R46" s="358"/>
      <c r="S46" s="358"/>
      <c r="T46" s="358"/>
      <c r="V46" s="359" t="s">
        <v>1493</v>
      </c>
      <c r="W46" s="358" t="s">
        <v>33</v>
      </c>
      <c r="X46" s="358"/>
      <c r="Y46" s="358"/>
      <c r="Z46" s="9" t="s">
        <v>1496</v>
      </c>
      <c r="AA46" s="9" t="s">
        <v>1497</v>
      </c>
      <c r="AB46" s="9"/>
      <c r="AC46" s="358"/>
      <c r="AD46" s="358"/>
      <c r="AE46" s="358"/>
      <c r="AF46" s="358" t="s">
        <v>1498</v>
      </c>
    </row>
  </sheetData>
  <conditionalFormatting sqref="T2">
    <cfRule type="containsBlanks" dxfId="3" priority="4">
      <formula>LEN(TRIM(T2))=0</formula>
    </cfRule>
  </conditionalFormatting>
  <conditionalFormatting sqref="T2">
    <cfRule type="containsText" dxfId="2" priority="3" operator="containsText" text="y">
      <formula>NOT(ISERROR(SEARCH("y",T2)))</formula>
    </cfRule>
  </conditionalFormatting>
  <conditionalFormatting sqref="T2">
    <cfRule type="containsText" dxfId="1" priority="2" operator="containsText" text="n">
      <formula>NOT(ISERROR(SEARCH("n",T2)))</formula>
    </cfRule>
  </conditionalFormatting>
  <conditionalFormatting sqref="R2">
    <cfRule type="containsText" dxfId="0" priority="1" operator="containsText" text="99">
      <formula>NOT(ISERROR(SEARCH("99",R2)))</formula>
    </cfRule>
  </conditionalFormatting>
  <hyperlinks>
    <hyperlink ref="Z5" r:id="rId1" xr:uid="{00000000-0004-0000-0300-000000000000}"/>
    <hyperlink ref="Z6" r:id="rId2" xr:uid="{00000000-0004-0000-0300-000001000000}"/>
    <hyperlink ref="Z7" r:id="rId3" xr:uid="{00000000-0004-0000-0300-000002000000}"/>
    <hyperlink ref="Z8" r:id="rId4" xr:uid="{00000000-0004-0000-0300-000003000000}"/>
    <hyperlink ref="Z9" r:id="rId5" xr:uid="{00000000-0004-0000-0300-000004000000}"/>
    <hyperlink ref="Z10" r:id="rId6" xr:uid="{00000000-0004-0000-0300-000005000000}"/>
    <hyperlink ref="Z11" r:id="rId7" xr:uid="{00000000-0004-0000-0300-000006000000}"/>
    <hyperlink ref="Z12" r:id="rId8" xr:uid="{00000000-0004-0000-0300-000007000000}"/>
    <hyperlink ref="Z13" r:id="rId9" xr:uid="{00000000-0004-0000-0300-000008000000}"/>
    <hyperlink ref="Z14" r:id="rId10" xr:uid="{00000000-0004-0000-0300-000009000000}"/>
    <hyperlink ref="Z15" r:id="rId11" xr:uid="{00000000-0004-0000-0300-00000A000000}"/>
    <hyperlink ref="Z16" r:id="rId12" xr:uid="{00000000-0004-0000-0300-00000B000000}"/>
    <hyperlink ref="Z17" r:id="rId13" xr:uid="{00000000-0004-0000-0300-00000C000000}"/>
    <hyperlink ref="Z18" r:id="rId14" xr:uid="{00000000-0004-0000-0300-00000D000000}"/>
    <hyperlink ref="Z19" r:id="rId15" xr:uid="{00000000-0004-0000-0300-00000E000000}"/>
    <hyperlink ref="Z20" r:id="rId16" xr:uid="{00000000-0004-0000-0300-00000F000000}"/>
    <hyperlink ref="Z21" r:id="rId17" xr:uid="{00000000-0004-0000-0300-000010000000}"/>
    <hyperlink ref="Z22" r:id="rId18" xr:uid="{00000000-0004-0000-0300-000011000000}"/>
    <hyperlink ref="Z23" r:id="rId19" xr:uid="{00000000-0004-0000-0300-000012000000}"/>
    <hyperlink ref="Z24" r:id="rId20" xr:uid="{00000000-0004-0000-0300-000013000000}"/>
    <hyperlink ref="Z25" r:id="rId21" xr:uid="{00000000-0004-0000-0300-000014000000}"/>
    <hyperlink ref="Z26" r:id="rId22" xr:uid="{00000000-0004-0000-0300-000015000000}"/>
    <hyperlink ref="Z27" r:id="rId23" xr:uid="{00000000-0004-0000-0300-000016000000}"/>
    <hyperlink ref="Z28" r:id="rId24" xr:uid="{00000000-0004-0000-0300-000017000000}"/>
    <hyperlink ref="Z29" r:id="rId25" xr:uid="{00000000-0004-0000-0300-000018000000}"/>
    <hyperlink ref="Z30" r:id="rId26" xr:uid="{00000000-0004-0000-0300-000019000000}"/>
    <hyperlink ref="Z31" r:id="rId27" xr:uid="{00000000-0004-0000-0300-00001A000000}"/>
    <hyperlink ref="Z32" r:id="rId28" xr:uid="{00000000-0004-0000-0300-00001B000000}"/>
    <hyperlink ref="Z33" r:id="rId29" xr:uid="{00000000-0004-0000-0300-00001C000000}"/>
    <hyperlink ref="Z34" r:id="rId30" xr:uid="{00000000-0004-0000-0300-00001D000000}"/>
    <hyperlink ref="Z35" r:id="rId31" xr:uid="{00000000-0004-0000-0300-00001E000000}"/>
    <hyperlink ref="Z36" r:id="rId32" xr:uid="{00000000-0004-0000-0300-00001F000000}"/>
    <hyperlink ref="Z37" r:id="rId33" xr:uid="{00000000-0004-0000-0300-000020000000}"/>
    <hyperlink ref="Z38" r:id="rId34" xr:uid="{00000000-0004-0000-0300-000021000000}"/>
    <hyperlink ref="Z39" r:id="rId35" xr:uid="{00000000-0004-0000-0300-000022000000}"/>
    <hyperlink ref="Z40" r:id="rId36" xr:uid="{00000000-0004-0000-0300-000023000000}"/>
    <hyperlink ref="Z41" r:id="rId37" xr:uid="{00000000-0004-0000-0300-000024000000}"/>
    <hyperlink ref="Z42" r:id="rId38" xr:uid="{00000000-0004-0000-0300-000025000000}"/>
    <hyperlink ref="Z43" r:id="rId39" xr:uid="{00000000-0004-0000-0300-000026000000}"/>
    <hyperlink ref="Z44" r:id="rId40" xr:uid="{00000000-0004-0000-0300-000027000000}"/>
    <hyperlink ref="Z45" r:id="rId41" xr:uid="{00000000-0004-0000-0300-000028000000}"/>
    <hyperlink ref="Z46" r:id="rId42" xr:uid="{00000000-0004-0000-0300-000029000000}"/>
    <hyperlink ref="Z3" r:id="rId43" xr:uid="{00000000-0004-0000-0300-00002A000000}"/>
    <hyperlink ref="Z4" r:id="rId44" xr:uid="{00000000-0004-0000-0300-00002B000000}"/>
    <hyperlink ref="AA3" r:id="rId45" xr:uid="{00000000-0004-0000-0300-00002C000000}"/>
    <hyperlink ref="AA4" r:id="rId46" xr:uid="{00000000-0004-0000-0300-00002D000000}"/>
    <hyperlink ref="AA5" r:id="rId47" xr:uid="{00000000-0004-0000-0300-00002E000000}"/>
    <hyperlink ref="AA6" r:id="rId48" xr:uid="{00000000-0004-0000-0300-00002F000000}"/>
    <hyperlink ref="AA7" r:id="rId49" xr:uid="{00000000-0004-0000-0300-000030000000}"/>
    <hyperlink ref="AA8" r:id="rId50" xr:uid="{00000000-0004-0000-0300-000031000000}"/>
    <hyperlink ref="AA9" r:id="rId51" xr:uid="{00000000-0004-0000-0300-000032000000}"/>
    <hyperlink ref="AA10" r:id="rId52" xr:uid="{00000000-0004-0000-0300-000033000000}"/>
    <hyperlink ref="AA11" r:id="rId53" xr:uid="{00000000-0004-0000-0300-000034000000}"/>
    <hyperlink ref="AA12" r:id="rId54" xr:uid="{00000000-0004-0000-0300-000035000000}"/>
    <hyperlink ref="AA13" r:id="rId55" xr:uid="{00000000-0004-0000-0300-000036000000}"/>
    <hyperlink ref="AA14" r:id="rId56" xr:uid="{00000000-0004-0000-0300-000037000000}"/>
    <hyperlink ref="AA15" r:id="rId57" xr:uid="{00000000-0004-0000-0300-000038000000}"/>
    <hyperlink ref="AA16" r:id="rId58" xr:uid="{00000000-0004-0000-0300-000039000000}"/>
    <hyperlink ref="AA17" r:id="rId59" xr:uid="{00000000-0004-0000-0300-00003A000000}"/>
    <hyperlink ref="AA18" r:id="rId60" xr:uid="{00000000-0004-0000-0300-00003B000000}"/>
    <hyperlink ref="AA19" r:id="rId61" xr:uid="{00000000-0004-0000-0300-00003C000000}"/>
    <hyperlink ref="AA20" r:id="rId62" xr:uid="{00000000-0004-0000-0300-00003D000000}"/>
    <hyperlink ref="AA21" r:id="rId63" xr:uid="{00000000-0004-0000-0300-00003E000000}"/>
    <hyperlink ref="AA22" r:id="rId64" xr:uid="{00000000-0004-0000-0300-00003F000000}"/>
    <hyperlink ref="AA23" r:id="rId65" xr:uid="{00000000-0004-0000-0300-000040000000}"/>
    <hyperlink ref="AA24" r:id="rId66" xr:uid="{00000000-0004-0000-0300-000041000000}"/>
    <hyperlink ref="AA25" r:id="rId67" xr:uid="{00000000-0004-0000-0300-000042000000}"/>
    <hyperlink ref="AA26" r:id="rId68" xr:uid="{00000000-0004-0000-0300-000043000000}"/>
    <hyperlink ref="AA27" r:id="rId69" xr:uid="{00000000-0004-0000-0300-000044000000}"/>
    <hyperlink ref="AA28" r:id="rId70" xr:uid="{00000000-0004-0000-0300-000045000000}"/>
    <hyperlink ref="AA29" r:id="rId71" xr:uid="{00000000-0004-0000-0300-000046000000}"/>
    <hyperlink ref="AA30" r:id="rId72" xr:uid="{00000000-0004-0000-0300-000047000000}"/>
    <hyperlink ref="AA31" r:id="rId73" xr:uid="{00000000-0004-0000-0300-000048000000}"/>
    <hyperlink ref="AA32" r:id="rId74" xr:uid="{00000000-0004-0000-0300-000049000000}"/>
    <hyperlink ref="AA33" r:id="rId75" xr:uid="{00000000-0004-0000-0300-00004A000000}"/>
    <hyperlink ref="AA34" r:id="rId76" xr:uid="{00000000-0004-0000-0300-00004B000000}"/>
    <hyperlink ref="AA35" r:id="rId77" xr:uid="{00000000-0004-0000-0300-00004C000000}"/>
    <hyperlink ref="AA36" r:id="rId78" xr:uid="{00000000-0004-0000-0300-00004D000000}"/>
    <hyperlink ref="AA37" r:id="rId79" xr:uid="{00000000-0004-0000-0300-00004E000000}"/>
    <hyperlink ref="AA38" r:id="rId80" xr:uid="{00000000-0004-0000-0300-00004F000000}"/>
    <hyperlink ref="AA39" r:id="rId81" xr:uid="{00000000-0004-0000-0300-000050000000}"/>
    <hyperlink ref="AA40" r:id="rId82" xr:uid="{00000000-0004-0000-0300-000051000000}"/>
    <hyperlink ref="AA41" r:id="rId83" xr:uid="{00000000-0004-0000-0300-000052000000}"/>
    <hyperlink ref="AA42" r:id="rId84" xr:uid="{00000000-0004-0000-0300-000053000000}"/>
    <hyperlink ref="AA43" r:id="rId85" xr:uid="{00000000-0004-0000-0300-000054000000}"/>
    <hyperlink ref="AA44" r:id="rId86" xr:uid="{00000000-0004-0000-0300-000055000000}"/>
    <hyperlink ref="AA45" r:id="rId87" xr:uid="{00000000-0004-0000-0300-000056000000}"/>
    <hyperlink ref="AA46" r:id="rId88" xr:uid="{00000000-0004-0000-0300-000057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"/>
  <sheetViews>
    <sheetView topLeftCell="D3" zoomScaleNormal="100" zoomScaleSheetLayoutView="100" workbookViewId="0">
      <selection activeCell="G10" sqref="G10:H10"/>
    </sheetView>
  </sheetViews>
  <sheetFormatPr defaultRowHeight="14.45"/>
  <cols>
    <col min="1" max="1" width="8.7109375" bestFit="1" customWidth="1"/>
    <col min="3" max="3" width="8.7109375" bestFit="1" customWidth="1"/>
    <col min="4" max="4" width="32.140625" customWidth="1"/>
    <col min="5" max="5" width="8.7109375" bestFit="1" customWidth="1"/>
    <col min="7" max="7" width="28" customWidth="1"/>
    <col min="8" max="8" width="26.7109375" customWidth="1"/>
    <col min="13" max="13" width="32.42578125" customWidth="1"/>
  </cols>
  <sheetData>
    <row r="1" spans="1:23">
      <c r="A1" s="291" t="s">
        <v>1713</v>
      </c>
      <c r="B1" s="291" t="s">
        <v>2</v>
      </c>
      <c r="C1" s="291" t="s">
        <v>1714</v>
      </c>
      <c r="D1" s="291" t="s">
        <v>1712</v>
      </c>
      <c r="E1" s="291" t="s">
        <v>6</v>
      </c>
      <c r="F1" s="291" t="s">
        <v>7</v>
      </c>
      <c r="G1" s="291" t="s">
        <v>1716</v>
      </c>
      <c r="H1" s="291" t="s">
        <v>1715</v>
      </c>
      <c r="I1" s="291" t="s">
        <v>8</v>
      </c>
      <c r="J1" s="291" t="s">
        <v>1717</v>
      </c>
      <c r="K1" s="291" t="s">
        <v>10</v>
      </c>
      <c r="L1" s="291" t="s">
        <v>11</v>
      </c>
      <c r="M1" s="291" t="s">
        <v>17</v>
      </c>
      <c r="N1" s="291" t="s">
        <v>18</v>
      </c>
      <c r="O1" s="291" t="s">
        <v>1718</v>
      </c>
      <c r="P1" s="291" t="s">
        <v>20</v>
      </c>
      <c r="Q1" s="291" t="s">
        <v>21</v>
      </c>
      <c r="R1" s="291" t="s">
        <v>23</v>
      </c>
      <c r="S1" s="291" t="s">
        <v>24</v>
      </c>
      <c r="T1" s="291" t="s">
        <v>25</v>
      </c>
      <c r="U1" s="291" t="s">
        <v>26</v>
      </c>
      <c r="V1" s="291"/>
      <c r="W1" s="291"/>
    </row>
    <row r="2" spans="1:23" ht="29.1">
      <c r="A2" s="291">
        <v>0.19756099999999999</v>
      </c>
      <c r="B2" s="291" t="s">
        <v>28</v>
      </c>
      <c r="C2" s="291">
        <v>1.2558549999999999</v>
      </c>
      <c r="D2" s="291" t="s">
        <v>1200</v>
      </c>
      <c r="E2" s="291">
        <v>35.310740000000003</v>
      </c>
      <c r="F2" s="291">
        <v>-120.663</v>
      </c>
      <c r="G2" s="291">
        <v>1.3</v>
      </c>
      <c r="H2" s="291">
        <v>0.157</v>
      </c>
      <c r="I2" s="291" t="s">
        <v>627</v>
      </c>
      <c r="J2" s="291"/>
      <c r="K2" s="291" t="s">
        <v>30</v>
      </c>
      <c r="L2" s="291" t="s">
        <v>628</v>
      </c>
      <c r="M2" s="292" t="s">
        <v>1746</v>
      </c>
      <c r="N2" s="291" t="s">
        <v>33</v>
      </c>
      <c r="O2" s="291"/>
      <c r="P2" s="291" t="s">
        <v>1203</v>
      </c>
      <c r="Q2" s="291" t="s">
        <v>1204</v>
      </c>
      <c r="R2" s="291"/>
      <c r="S2" s="291"/>
      <c r="T2" s="291"/>
      <c r="U2" s="291" t="s">
        <v>1205</v>
      </c>
      <c r="V2" s="291"/>
      <c r="W2" s="291"/>
    </row>
    <row r="3" spans="1:23" ht="29.1">
      <c r="A3" s="291">
        <v>0.284856</v>
      </c>
      <c r="B3" s="291" t="s">
        <v>28</v>
      </c>
      <c r="C3" s="291">
        <v>1.30881</v>
      </c>
      <c r="D3" s="291" t="s">
        <v>1206</v>
      </c>
      <c r="E3" s="291">
        <v>35.310740000000003</v>
      </c>
      <c r="F3" s="291">
        <v>-120.663</v>
      </c>
      <c r="G3" s="291">
        <v>1.3</v>
      </c>
      <c r="H3" s="291">
        <v>0.186</v>
      </c>
      <c r="I3" s="291" t="s">
        <v>627</v>
      </c>
      <c r="J3" s="291"/>
      <c r="K3" s="291" t="s">
        <v>30</v>
      </c>
      <c r="L3" s="291" t="s">
        <v>628</v>
      </c>
      <c r="M3" s="292" t="s">
        <v>1747</v>
      </c>
      <c r="N3" s="291" t="s">
        <v>33</v>
      </c>
      <c r="O3" s="291"/>
      <c r="P3" s="291" t="s">
        <v>1208</v>
      </c>
      <c r="Q3" s="291" t="s">
        <v>1209</v>
      </c>
      <c r="R3" s="291"/>
      <c r="S3" s="291"/>
      <c r="T3" s="291"/>
      <c r="U3" s="291" t="s">
        <v>1210</v>
      </c>
      <c r="V3" s="291"/>
      <c r="W3" s="291"/>
    </row>
    <row r="4" spans="1:23" ht="29.1">
      <c r="A4" s="291">
        <v>0.114286</v>
      </c>
      <c r="B4" s="291" t="s">
        <v>28</v>
      </c>
      <c r="C4" s="291">
        <v>2.0032169999999998</v>
      </c>
      <c r="D4" s="291" t="s">
        <v>1211</v>
      </c>
      <c r="E4" s="291">
        <v>35.310740000000003</v>
      </c>
      <c r="F4" s="291">
        <v>-120.663</v>
      </c>
      <c r="G4" s="291">
        <v>1.3</v>
      </c>
      <c r="H4" s="291">
        <v>0.11600000000000001</v>
      </c>
      <c r="I4" s="291" t="s">
        <v>627</v>
      </c>
      <c r="J4" s="291"/>
      <c r="K4" s="291" t="s">
        <v>30</v>
      </c>
      <c r="L4" s="291" t="s">
        <v>628</v>
      </c>
      <c r="M4" s="292" t="s">
        <v>1748</v>
      </c>
      <c r="N4" s="291" t="s">
        <v>33</v>
      </c>
      <c r="O4" s="291"/>
      <c r="P4" s="291" t="s">
        <v>1213</v>
      </c>
      <c r="Q4" s="291" t="s">
        <v>1214</v>
      </c>
      <c r="R4" s="291"/>
      <c r="S4" s="291"/>
      <c r="T4" s="291"/>
      <c r="U4" s="291" t="s">
        <v>1215</v>
      </c>
      <c r="V4" s="291"/>
      <c r="W4" s="291"/>
    </row>
    <row r="5" spans="1:23" ht="29.1">
      <c r="A5" s="291">
        <v>0.17032</v>
      </c>
      <c r="B5" s="291" t="s">
        <v>28</v>
      </c>
      <c r="C5" s="291">
        <v>1.2595419999999999</v>
      </c>
      <c r="D5" s="291" t="s">
        <v>1216</v>
      </c>
      <c r="E5" s="291">
        <v>35.31073</v>
      </c>
      <c r="F5" s="291">
        <v>-120.663</v>
      </c>
      <c r="G5" s="291">
        <v>1.3</v>
      </c>
      <c r="H5" s="291">
        <v>0.14649999999999999</v>
      </c>
      <c r="I5" s="291" t="s">
        <v>627</v>
      </c>
      <c r="J5" s="291"/>
      <c r="K5" s="291" t="s">
        <v>30</v>
      </c>
      <c r="L5" s="291" t="s">
        <v>628</v>
      </c>
      <c r="M5" s="292" t="s">
        <v>1749</v>
      </c>
      <c r="N5" s="291" t="s">
        <v>33</v>
      </c>
      <c r="O5" s="291"/>
      <c r="P5" s="291" t="s">
        <v>1218</v>
      </c>
      <c r="Q5" s="291" t="s">
        <v>1219</v>
      </c>
      <c r="R5" s="291"/>
      <c r="S5" s="291"/>
      <c r="T5" s="291"/>
      <c r="U5" s="291" t="s">
        <v>1220</v>
      </c>
      <c r="V5" s="291"/>
      <c r="W5" s="291"/>
    </row>
    <row r="6" spans="1:23" ht="29.1">
      <c r="A6" s="291">
        <v>7.5853000000000004E-2</v>
      </c>
      <c r="B6" s="291" t="s">
        <v>28</v>
      </c>
      <c r="C6" s="291">
        <v>9.5770389999999992</v>
      </c>
      <c r="D6" s="291" t="s">
        <v>1221</v>
      </c>
      <c r="E6" s="291">
        <v>35.310890000000001</v>
      </c>
      <c r="F6" s="291">
        <v>-120.663</v>
      </c>
      <c r="G6" s="291">
        <v>8.1999999999999993</v>
      </c>
      <c r="H6" s="291">
        <v>6.2E-2</v>
      </c>
      <c r="I6" s="291" t="s">
        <v>627</v>
      </c>
      <c r="J6" s="291"/>
      <c r="K6" s="291" t="s">
        <v>30</v>
      </c>
      <c r="L6" s="291" t="s">
        <v>628</v>
      </c>
      <c r="M6" s="292" t="s">
        <v>1750</v>
      </c>
      <c r="N6" s="291" t="s">
        <v>33</v>
      </c>
      <c r="O6" s="291" t="s">
        <v>107</v>
      </c>
      <c r="P6" s="291" t="s">
        <v>1225</v>
      </c>
      <c r="Q6" s="291" t="s">
        <v>1226</v>
      </c>
      <c r="R6" s="291"/>
      <c r="S6" s="291"/>
      <c r="T6" s="291"/>
      <c r="U6" s="291" t="s">
        <v>1227</v>
      </c>
      <c r="V6" s="291"/>
      <c r="W6" s="291"/>
    </row>
    <row r="7" spans="1:23" ht="29.1">
      <c r="A7" s="291">
        <v>0.106418</v>
      </c>
      <c r="B7" s="291" t="s">
        <v>28</v>
      </c>
      <c r="C7" s="291">
        <v>8.8925149999999995</v>
      </c>
      <c r="D7" s="291" t="s">
        <v>1228</v>
      </c>
      <c r="E7" s="291">
        <v>35.310899999999997</v>
      </c>
      <c r="F7" s="291">
        <v>-120.663</v>
      </c>
      <c r="G7" s="291">
        <v>8.1999999999999993</v>
      </c>
      <c r="H7" s="291">
        <v>0.114</v>
      </c>
      <c r="I7" s="291" t="s">
        <v>627</v>
      </c>
      <c r="J7" s="291"/>
      <c r="K7" s="291" t="s">
        <v>30</v>
      </c>
      <c r="L7" s="291" t="s">
        <v>628</v>
      </c>
      <c r="M7" s="292" t="s">
        <v>1751</v>
      </c>
      <c r="N7" s="291" t="s">
        <v>33</v>
      </c>
      <c r="O7" s="291" t="s">
        <v>1180</v>
      </c>
      <c r="P7" s="291" t="s">
        <v>1230</v>
      </c>
      <c r="Q7" s="291" t="s">
        <v>1231</v>
      </c>
      <c r="R7" s="291"/>
      <c r="S7" s="291"/>
      <c r="T7" s="291"/>
      <c r="U7" s="291" t="s">
        <v>1232</v>
      </c>
      <c r="V7" s="291"/>
      <c r="W7" s="291"/>
    </row>
    <row r="8" spans="1:23" ht="29.1">
      <c r="A8" s="291">
        <v>8.7108000000000005E-2</v>
      </c>
      <c r="B8" s="291" t="s">
        <v>28</v>
      </c>
      <c r="C8" s="291">
        <v>1.2775989999999999</v>
      </c>
      <c r="D8" s="291" t="s">
        <v>1233</v>
      </c>
      <c r="E8" s="291">
        <v>35.310899999999997</v>
      </c>
      <c r="F8" s="291">
        <v>-120.663</v>
      </c>
      <c r="G8" s="291">
        <v>1.3</v>
      </c>
      <c r="H8" s="291">
        <v>9.5500000000000002E-2</v>
      </c>
      <c r="I8" s="291" t="s">
        <v>627</v>
      </c>
      <c r="J8" s="291"/>
      <c r="K8" s="291" t="s">
        <v>30</v>
      </c>
      <c r="L8" s="291" t="s">
        <v>628</v>
      </c>
      <c r="M8" s="292" t="s">
        <v>1752</v>
      </c>
      <c r="N8" s="291" t="s">
        <v>33</v>
      </c>
      <c r="O8" s="291"/>
      <c r="P8" s="291" t="s">
        <v>1234</v>
      </c>
      <c r="Q8" s="291" t="s">
        <v>1235</v>
      </c>
      <c r="R8" s="291"/>
      <c r="S8" s="291"/>
      <c r="T8" s="291"/>
      <c r="U8" s="291" t="s">
        <v>1236</v>
      </c>
      <c r="V8" s="291"/>
      <c r="W8" s="291"/>
    </row>
    <row r="9" spans="1:23" ht="29.1">
      <c r="A9" s="291">
        <v>5.2253000000000001E-2</v>
      </c>
      <c r="B9" s="291" t="s">
        <v>28</v>
      </c>
      <c r="C9" s="291">
        <v>1.289766</v>
      </c>
      <c r="D9" s="291" t="s">
        <v>1237</v>
      </c>
      <c r="E9" s="291">
        <v>35.31091</v>
      </c>
      <c r="F9" s="291">
        <v>-120.663</v>
      </c>
      <c r="G9" s="291">
        <v>1.3</v>
      </c>
      <c r="H9" s="291">
        <v>5.5E-2</v>
      </c>
      <c r="I9" s="291" t="s">
        <v>627</v>
      </c>
      <c r="J9" s="291"/>
      <c r="K9" s="291" t="s">
        <v>30</v>
      </c>
      <c r="L9" s="291" t="s">
        <v>628</v>
      </c>
      <c r="M9" s="292" t="s">
        <v>1753</v>
      </c>
      <c r="N9" s="291" t="s">
        <v>33</v>
      </c>
      <c r="O9" s="291"/>
      <c r="P9" s="291" t="s">
        <v>1238</v>
      </c>
      <c r="Q9" s="291" t="s">
        <v>1239</v>
      </c>
      <c r="R9" s="291"/>
      <c r="S9" s="291"/>
      <c r="T9" s="291"/>
      <c r="U9" s="291" t="s">
        <v>1240</v>
      </c>
      <c r="V9" s="291"/>
      <c r="W9" s="291"/>
    </row>
    <row r="10" spans="1:23" ht="29.1">
      <c r="A10" s="291">
        <v>9.8658999999999997E-2</v>
      </c>
      <c r="B10" s="291" t="s">
        <v>28</v>
      </c>
      <c r="C10" s="291">
        <v>4.456283</v>
      </c>
      <c r="D10" s="291" t="s">
        <v>1241</v>
      </c>
      <c r="E10" s="291">
        <v>35.310920000000003</v>
      </c>
      <c r="F10" s="291">
        <v>-120.663</v>
      </c>
      <c r="G10" s="291">
        <v>4.0999999999999996</v>
      </c>
      <c r="H10" s="291">
        <v>0.10050000000000001</v>
      </c>
      <c r="I10" s="291" t="s">
        <v>627</v>
      </c>
      <c r="J10" s="291"/>
      <c r="K10" s="291" t="s">
        <v>30</v>
      </c>
      <c r="L10" s="291" t="s">
        <v>628</v>
      </c>
      <c r="M10" s="292" t="s">
        <v>1754</v>
      </c>
      <c r="N10" s="291" t="s">
        <v>33</v>
      </c>
      <c r="O10" s="291"/>
      <c r="P10" s="291" t="s">
        <v>1245</v>
      </c>
      <c r="Q10" s="291" t="s">
        <v>1246</v>
      </c>
      <c r="R10" s="291"/>
      <c r="S10" s="291"/>
      <c r="T10" s="291"/>
      <c r="U10" s="291" t="s">
        <v>1247</v>
      </c>
      <c r="V10" s="291"/>
      <c r="W10" s="291"/>
    </row>
    <row r="11" spans="1:23">
      <c r="A11" s="291">
        <v>0.195184</v>
      </c>
      <c r="B11" s="291" t="s">
        <v>28</v>
      </c>
      <c r="C11" s="291">
        <v>4.2094149999999999</v>
      </c>
      <c r="D11" s="291" t="s">
        <v>1755</v>
      </c>
      <c r="E11" s="291">
        <v>35.310879999999997</v>
      </c>
      <c r="F11" s="291">
        <v>-120.663</v>
      </c>
      <c r="G11" s="291"/>
      <c r="H11" s="291"/>
      <c r="I11" s="291" t="s">
        <v>627</v>
      </c>
      <c r="J11" s="291"/>
      <c r="K11" s="291" t="s">
        <v>30</v>
      </c>
      <c r="L11" s="291" t="s">
        <v>628</v>
      </c>
      <c r="M11" s="291" t="s">
        <v>1756</v>
      </c>
      <c r="N11" s="291" t="s">
        <v>33</v>
      </c>
      <c r="O11" s="291"/>
      <c r="P11" s="291" t="s">
        <v>1757</v>
      </c>
      <c r="Q11" s="291" t="s">
        <v>1758</v>
      </c>
      <c r="R11" s="291"/>
      <c r="S11" s="291"/>
      <c r="T11" s="291"/>
      <c r="U11" s="291" t="s">
        <v>1759</v>
      </c>
      <c r="V11" s="291"/>
      <c r="W11" s="291"/>
    </row>
    <row r="12" spans="1:23" ht="29.1">
      <c r="A12" s="291">
        <v>3.2521000000000001E-2</v>
      </c>
      <c r="B12" s="291" t="s">
        <v>28</v>
      </c>
      <c r="C12" s="291">
        <v>4.1664709999999996</v>
      </c>
      <c r="D12" s="291" t="s">
        <v>1248</v>
      </c>
      <c r="E12" s="291">
        <v>35.310920000000003</v>
      </c>
      <c r="F12" s="291">
        <v>-120.663</v>
      </c>
      <c r="G12" s="291">
        <v>4.2</v>
      </c>
      <c r="H12" s="291">
        <v>9.5000000000000001E-2</v>
      </c>
      <c r="I12" s="291" t="s">
        <v>627</v>
      </c>
      <c r="J12" s="291"/>
      <c r="K12" s="291" t="s">
        <v>30</v>
      </c>
      <c r="L12" s="291" t="s">
        <v>628</v>
      </c>
      <c r="M12" s="292" t="s">
        <v>1760</v>
      </c>
      <c r="N12" s="291" t="s">
        <v>33</v>
      </c>
      <c r="O12" s="291"/>
      <c r="P12" s="291" t="s">
        <v>1250</v>
      </c>
      <c r="Q12" s="291" t="s">
        <v>1251</v>
      </c>
      <c r="R12" s="291"/>
      <c r="S12" s="291"/>
      <c r="T12" s="291"/>
      <c r="U12" s="291" t="s">
        <v>1252</v>
      </c>
      <c r="V12" s="291"/>
      <c r="W12" s="291"/>
    </row>
    <row r="13" spans="1:23" ht="29.1">
      <c r="A13" s="291">
        <v>0.18351600000000001</v>
      </c>
      <c r="B13" s="291" t="s">
        <v>28</v>
      </c>
      <c r="C13" s="291">
        <v>12.53917</v>
      </c>
      <c r="D13" s="291" t="s">
        <v>1253</v>
      </c>
      <c r="E13" s="291">
        <v>35.310899999999997</v>
      </c>
      <c r="F13" s="291">
        <v>-120.663</v>
      </c>
      <c r="G13" s="291">
        <v>11.3</v>
      </c>
      <c r="H13" s="291">
        <v>0.19500000000000001</v>
      </c>
      <c r="I13" s="291" t="s">
        <v>627</v>
      </c>
      <c r="J13" s="291"/>
      <c r="K13" s="291" t="s">
        <v>30</v>
      </c>
      <c r="L13" s="291" t="s">
        <v>628</v>
      </c>
      <c r="M13" s="292" t="s">
        <v>1761</v>
      </c>
      <c r="N13" s="291" t="s">
        <v>33</v>
      </c>
      <c r="O13" s="291"/>
      <c r="P13" s="291" t="s">
        <v>1257</v>
      </c>
      <c r="Q13" s="291" t="s">
        <v>1258</v>
      </c>
      <c r="R13" s="291"/>
      <c r="S13" s="291"/>
      <c r="T13" s="291"/>
      <c r="U13" s="291" t="s">
        <v>1259</v>
      </c>
      <c r="V13" s="291"/>
      <c r="W13" s="291"/>
    </row>
    <row r="14" spans="1:23" ht="29.1">
      <c r="A14" s="291">
        <v>7.936E-2</v>
      </c>
      <c r="B14" s="291" t="s">
        <v>28</v>
      </c>
      <c r="C14" s="291">
        <v>1.255023</v>
      </c>
      <c r="D14" s="291" t="s">
        <v>1260</v>
      </c>
      <c r="E14" s="291">
        <v>35.31091</v>
      </c>
      <c r="F14" s="291">
        <v>-120.663</v>
      </c>
      <c r="G14" s="291">
        <v>1.3</v>
      </c>
      <c r="H14" s="291">
        <v>8.4000000000000005E-2</v>
      </c>
      <c r="I14" s="291" t="s">
        <v>627</v>
      </c>
      <c r="J14" s="291"/>
      <c r="K14" s="291" t="s">
        <v>30</v>
      </c>
      <c r="L14" s="291" t="s">
        <v>628</v>
      </c>
      <c r="M14" s="292" t="s">
        <v>1762</v>
      </c>
      <c r="N14" s="291" t="s">
        <v>33</v>
      </c>
      <c r="O14" s="291"/>
      <c r="P14" s="291" t="s">
        <v>1262</v>
      </c>
      <c r="Q14" s="291" t="s">
        <v>1263</v>
      </c>
      <c r="R14" s="291"/>
      <c r="S14" s="291"/>
      <c r="T14" s="291"/>
      <c r="U14" s="291" t="s">
        <v>1264</v>
      </c>
      <c r="V14" s="291"/>
      <c r="W14" s="291"/>
    </row>
    <row r="15" spans="1:23" ht="57.95">
      <c r="A15" s="291">
        <v>0.17761199999999999</v>
      </c>
      <c r="B15" s="291" t="s">
        <v>28</v>
      </c>
      <c r="C15" s="291">
        <v>8.4869979999999998</v>
      </c>
      <c r="D15" s="291" t="s">
        <v>1265</v>
      </c>
      <c r="E15" s="291">
        <v>35.310879999999997</v>
      </c>
      <c r="F15" s="291">
        <v>-120.663</v>
      </c>
      <c r="G15" s="291">
        <v>8.3000000000000007</v>
      </c>
      <c r="H15" s="291">
        <v>0.14899999999999999</v>
      </c>
      <c r="I15" s="291" t="s">
        <v>627</v>
      </c>
      <c r="J15" s="291"/>
      <c r="K15" s="291" t="s">
        <v>30</v>
      </c>
      <c r="L15" s="291" t="s">
        <v>628</v>
      </c>
      <c r="M15" s="292" t="s">
        <v>1763</v>
      </c>
      <c r="N15" s="291" t="s">
        <v>33</v>
      </c>
      <c r="O15" s="291" t="s">
        <v>1764</v>
      </c>
      <c r="P15" s="291" t="s">
        <v>1267</v>
      </c>
      <c r="Q15" s="291" t="s">
        <v>1268</v>
      </c>
      <c r="R15" s="291"/>
      <c r="S15" s="291"/>
      <c r="T15" s="291"/>
      <c r="U15" s="291" t="s">
        <v>1269</v>
      </c>
      <c r="V15" s="291"/>
      <c r="W15" s="291"/>
    </row>
    <row r="16" spans="1:23" ht="29.1">
      <c r="A16" s="291">
        <v>8.6301000000000003E-2</v>
      </c>
      <c r="B16" s="291" t="s">
        <v>28</v>
      </c>
      <c r="C16" s="291">
        <v>6.6151340000000003</v>
      </c>
      <c r="D16" s="291" t="s">
        <v>1270</v>
      </c>
      <c r="E16" s="291">
        <v>35.310890000000001</v>
      </c>
      <c r="F16" s="291">
        <v>-120.663</v>
      </c>
      <c r="G16" s="291">
        <v>6.2</v>
      </c>
      <c r="H16" s="291">
        <v>0.104</v>
      </c>
      <c r="I16" s="291" t="s">
        <v>627</v>
      </c>
      <c r="J16" s="291"/>
      <c r="K16" s="291" t="s">
        <v>30</v>
      </c>
      <c r="L16" s="291" t="s">
        <v>628</v>
      </c>
      <c r="M16" s="292" t="s">
        <v>1765</v>
      </c>
      <c r="N16" s="291" t="s">
        <v>33</v>
      </c>
      <c r="O16" s="291"/>
      <c r="P16" s="291" t="s">
        <v>1274</v>
      </c>
      <c r="Q16" s="291" t="s">
        <v>1275</v>
      </c>
      <c r="R16" s="291"/>
      <c r="S16" s="291"/>
      <c r="T16" s="291"/>
      <c r="U16" s="291" t="s">
        <v>1276</v>
      </c>
      <c r="V16" s="291"/>
      <c r="W16" s="291"/>
    </row>
    <row r="17" spans="1:23" ht="29.1">
      <c r="A17" s="291">
        <v>0.31379400000000002</v>
      </c>
      <c r="B17" s="291" t="s">
        <v>28</v>
      </c>
      <c r="C17" s="291">
        <v>10.370570000000001</v>
      </c>
      <c r="D17" s="291" t="s">
        <v>1277</v>
      </c>
      <c r="E17" s="291">
        <v>35.310920000000003</v>
      </c>
      <c r="F17" s="291">
        <v>-120.663</v>
      </c>
      <c r="G17" s="291">
        <v>10.5</v>
      </c>
      <c r="H17" s="291">
        <v>0.33700000000000002</v>
      </c>
      <c r="I17" s="291" t="s">
        <v>627</v>
      </c>
      <c r="J17" s="291"/>
      <c r="K17" s="291" t="s">
        <v>30</v>
      </c>
      <c r="L17" s="291" t="s">
        <v>628</v>
      </c>
      <c r="M17" s="292" t="s">
        <v>1766</v>
      </c>
      <c r="N17" s="291" t="s">
        <v>33</v>
      </c>
      <c r="O17" s="291" t="s">
        <v>34</v>
      </c>
      <c r="P17" s="291" t="s">
        <v>1279</v>
      </c>
      <c r="Q17" s="291" t="s">
        <v>1280</v>
      </c>
      <c r="R17" s="291"/>
      <c r="S17" s="291"/>
      <c r="T17" s="291"/>
      <c r="U17" s="291" t="s">
        <v>1281</v>
      </c>
      <c r="V17" s="291"/>
      <c r="W17" s="291"/>
    </row>
    <row r="18" spans="1:23">
      <c r="A18" s="291">
        <v>0.26827600000000001</v>
      </c>
      <c r="B18" s="291" t="s">
        <v>28</v>
      </c>
      <c r="C18" s="291">
        <v>11.077299999999999</v>
      </c>
      <c r="D18" s="291" t="s">
        <v>1767</v>
      </c>
      <c r="E18" s="291">
        <v>35.310949999999998</v>
      </c>
      <c r="F18" s="291">
        <v>-120.663</v>
      </c>
      <c r="G18" s="291"/>
      <c r="H18" s="291"/>
      <c r="I18" s="291" t="s">
        <v>627</v>
      </c>
      <c r="J18" s="291"/>
      <c r="K18" s="291" t="s">
        <v>30</v>
      </c>
      <c r="L18" s="291" t="s">
        <v>628</v>
      </c>
      <c r="M18" s="291" t="s">
        <v>1132</v>
      </c>
      <c r="N18" s="291" t="s">
        <v>33</v>
      </c>
      <c r="O18" s="291"/>
      <c r="P18" s="291" t="s">
        <v>1768</v>
      </c>
      <c r="Q18" s="291" t="s">
        <v>1769</v>
      </c>
      <c r="R18" s="291"/>
      <c r="S18" s="291"/>
      <c r="T18" s="291"/>
      <c r="U18" s="291" t="s">
        <v>1770</v>
      </c>
      <c r="V18" s="291"/>
      <c r="W18" s="291"/>
    </row>
    <row r="19" spans="1:23" ht="29.1">
      <c r="A19" s="291">
        <v>0.26653300000000002</v>
      </c>
      <c r="B19" s="291" t="s">
        <v>28</v>
      </c>
      <c r="C19" s="291">
        <v>10.902290000000001</v>
      </c>
      <c r="D19" s="291" t="s">
        <v>1282</v>
      </c>
      <c r="E19" s="291">
        <v>35.310920000000003</v>
      </c>
      <c r="F19" s="291">
        <v>-120.663</v>
      </c>
      <c r="G19" s="291">
        <v>9.6</v>
      </c>
      <c r="H19" s="291">
        <v>0.31900000000000001</v>
      </c>
      <c r="I19" s="291" t="s">
        <v>627</v>
      </c>
      <c r="J19" s="291"/>
      <c r="K19" s="291" t="s">
        <v>30</v>
      </c>
      <c r="L19" s="291" t="s">
        <v>628</v>
      </c>
      <c r="M19" s="292" t="s">
        <v>1771</v>
      </c>
      <c r="N19" s="291" t="s">
        <v>33</v>
      </c>
      <c r="O19" s="291" t="s">
        <v>34</v>
      </c>
      <c r="P19" s="291" t="s">
        <v>1284</v>
      </c>
      <c r="Q19" s="291" t="s">
        <v>1285</v>
      </c>
      <c r="R19" s="291"/>
      <c r="S19" s="291"/>
      <c r="T19" s="291"/>
      <c r="U19" s="291" t="s">
        <v>1286</v>
      </c>
      <c r="V19" s="291"/>
      <c r="W19" s="291"/>
    </row>
    <row r="20" spans="1:23" ht="29.1">
      <c r="A20" s="291">
        <v>0.52017199999999997</v>
      </c>
      <c r="B20" s="291" t="s">
        <v>28</v>
      </c>
      <c r="C20" s="291">
        <v>8.0154589999999999</v>
      </c>
      <c r="D20" s="291" t="s">
        <v>1287</v>
      </c>
      <c r="E20" s="291">
        <v>35.310949999999998</v>
      </c>
      <c r="F20" s="291">
        <v>-120.663</v>
      </c>
      <c r="G20" s="291">
        <v>7.7</v>
      </c>
      <c r="H20" s="291">
        <v>0.27400000000000002</v>
      </c>
      <c r="I20" s="291" t="s">
        <v>627</v>
      </c>
      <c r="J20" s="291"/>
      <c r="K20" s="291" t="s">
        <v>30</v>
      </c>
      <c r="L20" s="291" t="s">
        <v>628</v>
      </c>
      <c r="M20" s="292" t="s">
        <v>1772</v>
      </c>
      <c r="N20" s="291" t="s">
        <v>33</v>
      </c>
      <c r="O20" s="291" t="s">
        <v>34</v>
      </c>
      <c r="P20" s="291" t="s">
        <v>1289</v>
      </c>
      <c r="Q20" s="291" t="s">
        <v>1290</v>
      </c>
      <c r="R20" s="291"/>
      <c r="S20" s="291"/>
      <c r="T20" s="291"/>
      <c r="U20" s="291" t="s">
        <v>1291</v>
      </c>
      <c r="V20" s="291"/>
      <c r="W20" s="29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topLeftCell="B1" workbookViewId="0">
      <selection activeCell="G18" sqref="G18"/>
    </sheetView>
  </sheetViews>
  <sheetFormatPr defaultRowHeight="14.45"/>
  <cols>
    <col min="1" max="1" width="15.140625" customWidth="1"/>
    <col min="2" max="2" width="11.85546875" customWidth="1"/>
    <col min="3" max="5" width="0" hidden="1" customWidth="1"/>
    <col min="6" max="6" width="15" hidden="1" customWidth="1"/>
    <col min="9" max="9" width="12.28515625" customWidth="1"/>
    <col min="10" max="10" width="21.28515625" customWidth="1"/>
    <col min="11" max="11" width="1.85546875" hidden="1" customWidth="1"/>
    <col min="12" max="12" width="14.85546875" customWidth="1"/>
  </cols>
  <sheetData>
    <row r="1" spans="1:1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s="5" t="s">
        <v>12</v>
      </c>
      <c r="H1" s="5" t="s">
        <v>13</v>
      </c>
      <c r="I1" s="5" t="s">
        <v>14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s="11">
        <v>0.83099999999999996</v>
      </c>
      <c r="B2" s="11">
        <v>22.8</v>
      </c>
      <c r="C2" s="11">
        <v>35.310331902708299</v>
      </c>
      <c r="D2" s="11">
        <v>-120.662605000029</v>
      </c>
      <c r="E2" s="11" t="s">
        <v>29</v>
      </c>
      <c r="F2" s="37">
        <v>0.24012093245983099</v>
      </c>
      <c r="G2" s="14">
        <v>1</v>
      </c>
      <c r="H2" s="14">
        <v>1</v>
      </c>
      <c r="I2" s="14">
        <v>1</v>
      </c>
      <c r="J2" s="11" t="s">
        <v>32</v>
      </c>
      <c r="K2" s="11" t="s">
        <v>33</v>
      </c>
      <c r="L2" s="11" t="s">
        <v>34</v>
      </c>
      <c r="M2" s="3" t="s">
        <v>35</v>
      </c>
    </row>
    <row r="3" spans="1:13">
      <c r="A3" s="11">
        <v>0.85</v>
      </c>
      <c r="B3" s="11">
        <v>22.7</v>
      </c>
      <c r="C3" s="11">
        <v>35.309616922184198</v>
      </c>
      <c r="D3" s="11">
        <v>-120.662914312794</v>
      </c>
      <c r="E3" s="11" t="s">
        <v>29</v>
      </c>
      <c r="F3" s="37">
        <v>1.1512799263000399</v>
      </c>
      <c r="G3" s="14">
        <v>1</v>
      </c>
      <c r="H3" s="14">
        <v>2</v>
      </c>
      <c r="I3" s="14">
        <v>1</v>
      </c>
      <c r="J3" s="11" t="s">
        <v>41</v>
      </c>
      <c r="K3" s="11" t="s">
        <v>33</v>
      </c>
      <c r="L3" s="11" t="s">
        <v>34</v>
      </c>
      <c r="M3" s="3" t="s">
        <v>42</v>
      </c>
    </row>
    <row r="4" spans="1:13">
      <c r="A4" s="11">
        <v>0.312</v>
      </c>
      <c r="B4" s="11">
        <v>12.8</v>
      </c>
      <c r="C4" s="11">
        <v>35.310164185540302</v>
      </c>
      <c r="D4" s="11">
        <v>-120.662725427968</v>
      </c>
      <c r="E4" s="11" t="s">
        <v>29</v>
      </c>
      <c r="F4" s="37">
        <v>1.1533961296081501</v>
      </c>
      <c r="G4" s="14">
        <v>1</v>
      </c>
      <c r="H4" s="14">
        <v>3</v>
      </c>
      <c r="I4" s="14">
        <v>1</v>
      </c>
      <c r="J4" s="11" t="s">
        <v>47</v>
      </c>
      <c r="K4" s="11" t="s">
        <v>33</v>
      </c>
      <c r="L4" s="11" t="s">
        <v>34</v>
      </c>
      <c r="M4" s="3" t="s">
        <v>48</v>
      </c>
    </row>
    <row r="5" spans="1:13">
      <c r="A5" s="11">
        <v>0.40899999999999997</v>
      </c>
      <c r="B5" s="11">
        <v>13.4</v>
      </c>
      <c r="C5" s="11">
        <v>35.3095972584157</v>
      </c>
      <c r="D5" s="11">
        <v>-120.66289567154401</v>
      </c>
      <c r="E5" s="11" t="s">
        <v>29</v>
      </c>
      <c r="F5" s="37">
        <v>1.2906858921051001</v>
      </c>
      <c r="G5" s="14">
        <v>1</v>
      </c>
      <c r="H5" s="14">
        <v>4</v>
      </c>
      <c r="I5" s="14">
        <v>1</v>
      </c>
      <c r="J5" s="11" t="s">
        <v>53</v>
      </c>
      <c r="K5" s="11" t="s">
        <v>33</v>
      </c>
      <c r="L5" s="11" t="s">
        <v>34</v>
      </c>
      <c r="M5" s="3" t="s">
        <v>54</v>
      </c>
    </row>
    <row r="6" spans="1:13">
      <c r="A6" s="11">
        <v>0.53900000000000003</v>
      </c>
      <c r="B6" s="11">
        <v>15.7</v>
      </c>
      <c r="C6" s="11">
        <v>35.309467366398501</v>
      </c>
      <c r="D6" s="11">
        <v>-120.662787274978</v>
      </c>
      <c r="E6" s="11" t="s">
        <v>29</v>
      </c>
      <c r="F6" s="37">
        <v>1.4203526973724301</v>
      </c>
      <c r="G6" s="14">
        <v>1</v>
      </c>
      <c r="H6" s="14">
        <v>5</v>
      </c>
      <c r="I6" s="14">
        <v>1</v>
      </c>
      <c r="J6" s="11" t="s">
        <v>59</v>
      </c>
      <c r="K6" s="11" t="s">
        <v>33</v>
      </c>
      <c r="L6" s="11" t="s">
        <v>34</v>
      </c>
      <c r="M6" s="3" t="s">
        <v>60</v>
      </c>
    </row>
    <row r="7" spans="1:13">
      <c r="A7" s="11">
        <v>0.183</v>
      </c>
      <c r="B7" s="11">
        <v>6.2</v>
      </c>
      <c r="C7" s="11">
        <v>35.309630208800201</v>
      </c>
      <c r="D7" s="11">
        <v>-120.662930257887</v>
      </c>
      <c r="E7" s="11" t="s">
        <v>29</v>
      </c>
      <c r="F7" s="37">
        <v>1.3880423307418801</v>
      </c>
      <c r="G7" s="14">
        <v>1</v>
      </c>
      <c r="H7" s="14">
        <v>6</v>
      </c>
      <c r="I7" s="14">
        <v>1</v>
      </c>
      <c r="J7" s="11" t="s">
        <v>1773</v>
      </c>
      <c r="K7" s="11" t="s">
        <v>33</v>
      </c>
      <c r="L7" s="11" t="s">
        <v>34</v>
      </c>
      <c r="M7" s="3" t="s">
        <v>1774</v>
      </c>
    </row>
    <row r="8" spans="1:13">
      <c r="A8" s="11">
        <v>0.78200000000000003</v>
      </c>
      <c r="B8" s="11">
        <v>22.8</v>
      </c>
      <c r="C8" s="11">
        <v>35.309630239320803</v>
      </c>
      <c r="D8" s="11">
        <v>-120.662930263389</v>
      </c>
      <c r="E8" s="11" t="s">
        <v>29</v>
      </c>
      <c r="F8" s="37">
        <v>1.05900561809539</v>
      </c>
      <c r="G8" s="14">
        <v>1</v>
      </c>
      <c r="H8" s="14">
        <v>7</v>
      </c>
      <c r="I8" s="14">
        <v>1</v>
      </c>
      <c r="J8" s="11" t="s">
        <v>66</v>
      </c>
      <c r="K8" s="11" t="s">
        <v>33</v>
      </c>
      <c r="L8" s="11" t="s">
        <v>34</v>
      </c>
      <c r="M8" s="3" t="s">
        <v>67</v>
      </c>
    </row>
    <row r="9" spans="1:13">
      <c r="A9" s="11">
        <v>0.312</v>
      </c>
      <c r="B9" s="11">
        <v>19.2</v>
      </c>
      <c r="C9" s="11">
        <v>35.309641944065298</v>
      </c>
      <c r="D9" s="11">
        <v>-120.662935826538</v>
      </c>
      <c r="E9" s="11" t="s">
        <v>29</v>
      </c>
      <c r="F9" s="37">
        <v>1.87053942680358</v>
      </c>
      <c r="G9" s="14">
        <v>1</v>
      </c>
      <c r="H9" s="14">
        <v>8</v>
      </c>
      <c r="I9" s="14">
        <v>1</v>
      </c>
      <c r="J9" s="11" t="s">
        <v>73</v>
      </c>
      <c r="K9" s="11" t="s">
        <v>33</v>
      </c>
      <c r="L9" s="11" t="s">
        <v>34</v>
      </c>
      <c r="M9" s="3" t="s">
        <v>74</v>
      </c>
    </row>
    <row r="10" spans="1:13">
      <c r="A10" s="11">
        <v>0.51900000000000002</v>
      </c>
      <c r="B10" s="11">
        <v>19.2</v>
      </c>
      <c r="C10" s="11">
        <v>35.310248400169598</v>
      </c>
      <c r="D10" s="11">
        <v>-120.66261540287201</v>
      </c>
      <c r="E10" s="11" t="s">
        <v>29</v>
      </c>
      <c r="F10" s="37">
        <v>0.73293602466583196</v>
      </c>
      <c r="G10" s="14">
        <v>1</v>
      </c>
      <c r="H10" s="14">
        <v>8</v>
      </c>
      <c r="I10" s="14">
        <v>2</v>
      </c>
      <c r="J10" s="11" t="s">
        <v>80</v>
      </c>
      <c r="K10" s="11" t="s">
        <v>33</v>
      </c>
      <c r="L10" s="11" t="s">
        <v>34</v>
      </c>
      <c r="M10" s="3" t="s">
        <v>81</v>
      </c>
    </row>
    <row r="11" spans="1:13">
      <c r="A11" s="11">
        <v>0.183</v>
      </c>
      <c r="B11" s="11">
        <v>6.2</v>
      </c>
      <c r="C11" s="11">
        <v>35.309605694372202</v>
      </c>
      <c r="D11" s="11">
        <v>-120.662935538413</v>
      </c>
      <c r="E11" s="11" t="s">
        <v>29</v>
      </c>
      <c r="F11" s="37">
        <v>0.99732732772827104</v>
      </c>
      <c r="G11" s="14">
        <v>1</v>
      </c>
      <c r="H11" s="14">
        <v>9</v>
      </c>
      <c r="I11" s="14">
        <v>1</v>
      </c>
      <c r="J11" s="11" t="s">
        <v>88</v>
      </c>
      <c r="K11" s="11" t="s">
        <v>33</v>
      </c>
      <c r="L11" s="11" t="s">
        <v>34</v>
      </c>
      <c r="M11" s="3" t="s">
        <v>89</v>
      </c>
    </row>
    <row r="12" spans="1:13">
      <c r="A12" s="11">
        <v>0.56499999999999995</v>
      </c>
      <c r="B12" s="11">
        <v>16.2</v>
      </c>
      <c r="C12" s="11">
        <v>35.309472990002703</v>
      </c>
      <c r="D12" s="11">
        <v>-120.66286937626801</v>
      </c>
      <c r="E12" s="11" t="s">
        <v>29</v>
      </c>
      <c r="F12" s="37">
        <v>1.4232583045959399</v>
      </c>
      <c r="G12" s="14">
        <v>1</v>
      </c>
      <c r="H12" s="14">
        <v>10</v>
      </c>
      <c r="I12" s="14">
        <v>1</v>
      </c>
      <c r="J12" s="11" t="s">
        <v>95</v>
      </c>
      <c r="K12" s="11" t="s">
        <v>33</v>
      </c>
      <c r="L12" s="11" t="s">
        <v>34</v>
      </c>
      <c r="M12" s="3" t="s">
        <v>96</v>
      </c>
    </row>
    <row r="13" spans="1:13">
      <c r="A13" s="11">
        <v>0.58099999999999996</v>
      </c>
      <c r="B13" s="11">
        <v>17.2</v>
      </c>
      <c r="C13" s="11">
        <v>35.309611079237101</v>
      </c>
      <c r="D13" s="11">
        <v>-120.662958777265</v>
      </c>
      <c r="E13" s="11" t="s">
        <v>29</v>
      </c>
      <c r="F13" s="37">
        <v>1.0598449707031199</v>
      </c>
      <c r="G13" s="14">
        <v>1</v>
      </c>
      <c r="H13" s="14">
        <v>11</v>
      </c>
      <c r="I13" s="14">
        <v>1</v>
      </c>
      <c r="J13" s="11" t="s">
        <v>102</v>
      </c>
      <c r="K13" s="11" t="s">
        <v>33</v>
      </c>
      <c r="L13" s="11" t="s">
        <v>34</v>
      </c>
      <c r="M13" s="3" t="s">
        <v>103</v>
      </c>
    </row>
    <row r="15" spans="1:13">
      <c r="B15" t="s">
        <v>1775</v>
      </c>
      <c r="G15" t="s">
        <v>1776</v>
      </c>
    </row>
    <row r="16" spans="1:13">
      <c r="B16" s="38">
        <f t="shared" ref="B16:B27" si="0">A2*39.3701</f>
        <v>32.716553099999999</v>
      </c>
      <c r="G16">
        <v>3</v>
      </c>
      <c r="H16">
        <v>35.310494230000003</v>
      </c>
      <c r="I16">
        <v>-120.6623993</v>
      </c>
    </row>
    <row r="17" spans="2:9">
      <c r="B17" s="38">
        <f t="shared" si="0"/>
        <v>33.464585</v>
      </c>
      <c r="G17">
        <v>7</v>
      </c>
      <c r="H17">
        <v>35.310157449999998</v>
      </c>
      <c r="I17">
        <v>-120.6618993</v>
      </c>
    </row>
    <row r="18" spans="2:9">
      <c r="B18" s="38">
        <f t="shared" si="0"/>
        <v>12.283471200000001</v>
      </c>
      <c r="G18">
        <v>11</v>
      </c>
      <c r="H18">
        <v>35.310516</v>
      </c>
      <c r="I18">
        <v>-120.6625382</v>
      </c>
    </row>
    <row r="19" spans="2:9">
      <c r="B19" s="38">
        <f t="shared" si="0"/>
        <v>16.1023709</v>
      </c>
      <c r="G19">
        <v>13</v>
      </c>
      <c r="H19">
        <v>35.310173859999999</v>
      </c>
      <c r="I19">
        <v>-120.6619194</v>
      </c>
    </row>
    <row r="20" spans="2:9">
      <c r="B20" s="38">
        <f t="shared" si="0"/>
        <v>21.220483900000001</v>
      </c>
      <c r="G20">
        <v>19</v>
      </c>
      <c r="H20">
        <v>35.310518719999997</v>
      </c>
      <c r="I20">
        <v>-120.6624346</v>
      </c>
    </row>
    <row r="21" spans="2:9">
      <c r="B21" s="38">
        <f t="shared" si="0"/>
        <v>7.2047283000000002</v>
      </c>
      <c r="G21">
        <v>21</v>
      </c>
      <c r="H21">
        <v>35.310186999999999</v>
      </c>
      <c r="I21">
        <v>-120.66186709999999</v>
      </c>
    </row>
    <row r="22" spans="2:9">
      <c r="B22" s="38">
        <f t="shared" si="0"/>
        <v>30.787418200000001</v>
      </c>
      <c r="G22">
        <v>21</v>
      </c>
      <c r="H22">
        <v>35.310218939999999</v>
      </c>
      <c r="I22">
        <v>-120.6618787</v>
      </c>
    </row>
    <row r="23" spans="2:9">
      <c r="B23" s="38">
        <f t="shared" si="0"/>
        <v>12.283471200000001</v>
      </c>
      <c r="G23">
        <v>21</v>
      </c>
      <c r="H23">
        <v>35.310451190000002</v>
      </c>
      <c r="I23">
        <v>-120.6623682</v>
      </c>
    </row>
    <row r="24" spans="2:9">
      <c r="B24" s="38">
        <f t="shared" si="0"/>
        <v>20.433081900000001</v>
      </c>
      <c r="G24">
        <v>22</v>
      </c>
      <c r="H24">
        <v>35.310227699999999</v>
      </c>
      <c r="I24">
        <v>-120.66194299999999</v>
      </c>
    </row>
    <row r="25" spans="2:9">
      <c r="B25" s="38">
        <f t="shared" si="0"/>
        <v>7.2047283000000002</v>
      </c>
      <c r="G25">
        <v>29</v>
      </c>
      <c r="H25">
        <v>35.31047401</v>
      </c>
      <c r="I25">
        <v>-120.6623785</v>
      </c>
    </row>
    <row r="26" spans="2:9">
      <c r="B26" s="38">
        <f t="shared" si="0"/>
        <v>22.244106499999997</v>
      </c>
      <c r="G26">
        <v>32</v>
      </c>
      <c r="H26">
        <v>35.310392800000002</v>
      </c>
      <c r="I26">
        <v>-120.6623951</v>
      </c>
    </row>
    <row r="27" spans="2:9">
      <c r="B27" s="38">
        <f t="shared" si="0"/>
        <v>22.8740281</v>
      </c>
      <c r="G27">
        <v>34</v>
      </c>
      <c r="H27">
        <v>35.310337140000001</v>
      </c>
      <c r="I27">
        <v>-120.66233990000001</v>
      </c>
    </row>
  </sheetData>
  <hyperlinks>
    <hyperlink ref="M2" r:id="rId1" xr:uid="{00000000-0004-0000-0500-000000000000}"/>
    <hyperlink ref="M3" r:id="rId2" xr:uid="{00000000-0004-0000-0500-000001000000}"/>
    <hyperlink ref="M4" r:id="rId3" xr:uid="{00000000-0004-0000-0500-000002000000}"/>
    <hyperlink ref="M5" r:id="rId4" xr:uid="{00000000-0004-0000-0500-000003000000}"/>
    <hyperlink ref="M6" r:id="rId5" xr:uid="{00000000-0004-0000-0500-000004000000}"/>
    <hyperlink ref="M7" r:id="rId6" xr:uid="{00000000-0004-0000-0500-000005000000}"/>
    <hyperlink ref="M8" r:id="rId7" xr:uid="{00000000-0004-0000-0500-000006000000}"/>
    <hyperlink ref="M9" r:id="rId8" xr:uid="{00000000-0004-0000-0500-000007000000}"/>
    <hyperlink ref="M10" r:id="rId9" xr:uid="{00000000-0004-0000-0500-000008000000}"/>
    <hyperlink ref="M11" r:id="rId10" xr:uid="{00000000-0004-0000-0500-000009000000}"/>
    <hyperlink ref="M12" r:id="rId11" xr:uid="{00000000-0004-0000-0500-00000A000000}"/>
    <hyperlink ref="M13" r:id="rId12" xr:uid="{00000000-0004-0000-0500-00000B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103"/>
  <sheetViews>
    <sheetView topLeftCell="K1" zoomScale="40" workbookViewId="0">
      <selection activeCell="M3" sqref="M3"/>
    </sheetView>
  </sheetViews>
  <sheetFormatPr defaultRowHeight="14.45"/>
  <cols>
    <col min="13" max="13" width="14.5703125" customWidth="1"/>
  </cols>
  <sheetData>
    <row r="1" spans="2:14">
      <c r="J1" s="4"/>
      <c r="K1" s="4"/>
      <c r="L1" s="4"/>
    </row>
    <row r="2" spans="2:14">
      <c r="B2" t="s">
        <v>1</v>
      </c>
      <c r="C2" t="s">
        <v>4</v>
      </c>
      <c r="J2" t="s">
        <v>4</v>
      </c>
      <c r="K2" t="s">
        <v>1</v>
      </c>
      <c r="L2" t="s">
        <v>19</v>
      </c>
      <c r="M2" t="s">
        <v>1777</v>
      </c>
      <c r="N2" t="s">
        <v>1778</v>
      </c>
    </row>
    <row r="3" spans="2:14">
      <c r="B3" s="12">
        <v>0.844798115804411</v>
      </c>
      <c r="C3" s="11">
        <v>0.83099999999999996</v>
      </c>
      <c r="J3" s="11">
        <v>0.83099999999999996</v>
      </c>
      <c r="K3" s="12">
        <v>0.844798115804411</v>
      </c>
      <c r="L3" s="11" t="s">
        <v>34</v>
      </c>
      <c r="M3">
        <f>J3*100</f>
        <v>83.1</v>
      </c>
      <c r="N3" s="39">
        <f>K3*100</f>
        <v>84.479811580441094</v>
      </c>
    </row>
    <row r="4" spans="2:14">
      <c r="B4" s="12">
        <v>0.76811853887826298</v>
      </c>
      <c r="C4" s="11">
        <v>0.85</v>
      </c>
      <c r="J4" s="11">
        <v>0.85</v>
      </c>
      <c r="K4" s="12">
        <v>0.76811853887826298</v>
      </c>
      <c r="L4" s="11" t="s">
        <v>34</v>
      </c>
      <c r="M4">
        <f t="shared" ref="M4:N67" si="0">J4*100</f>
        <v>85</v>
      </c>
      <c r="N4" s="39">
        <f t="shared" si="0"/>
        <v>76.811853887826302</v>
      </c>
    </row>
    <row r="5" spans="2:14">
      <c r="B5" s="12">
        <v>0.291979996465345</v>
      </c>
      <c r="C5" s="11">
        <v>0.312</v>
      </c>
      <c r="J5" s="11">
        <v>0.312</v>
      </c>
      <c r="K5" s="12">
        <v>0.291979996465345</v>
      </c>
      <c r="L5" s="11" t="s">
        <v>34</v>
      </c>
      <c r="M5">
        <f t="shared" si="0"/>
        <v>31.2</v>
      </c>
      <c r="N5" s="39">
        <f t="shared" si="0"/>
        <v>29.197999646534502</v>
      </c>
    </row>
    <row r="6" spans="2:14">
      <c r="B6" s="12">
        <v>0.40847131049311097</v>
      </c>
      <c r="C6" s="11">
        <v>0.40899999999999997</v>
      </c>
      <c r="J6" s="11">
        <v>0.40899999999999997</v>
      </c>
      <c r="K6" s="12">
        <v>0.40847131049311097</v>
      </c>
      <c r="L6" s="11" t="s">
        <v>34</v>
      </c>
      <c r="M6">
        <f t="shared" si="0"/>
        <v>40.9</v>
      </c>
      <c r="N6" s="39">
        <f t="shared" si="0"/>
        <v>40.847131049311095</v>
      </c>
    </row>
    <row r="7" spans="2:14">
      <c r="B7" s="12">
        <v>0.558436979105156</v>
      </c>
      <c r="C7" s="11">
        <v>0.53900000000000003</v>
      </c>
      <c r="J7" s="11">
        <v>0.53900000000000003</v>
      </c>
      <c r="K7" s="12">
        <v>0.558436979105156</v>
      </c>
      <c r="L7" s="11" t="s">
        <v>34</v>
      </c>
      <c r="M7">
        <f t="shared" si="0"/>
        <v>53.900000000000006</v>
      </c>
      <c r="N7" s="39">
        <f t="shared" si="0"/>
        <v>55.843697910515601</v>
      </c>
    </row>
    <row r="8" spans="2:14">
      <c r="B8" s="12">
        <v>9.0784417824616701E-2</v>
      </c>
      <c r="C8" s="11">
        <v>0.183</v>
      </c>
      <c r="J8" s="11">
        <v>0.78200000000000003</v>
      </c>
      <c r="K8" s="12">
        <v>0.74107102039967798</v>
      </c>
      <c r="L8" s="11" t="s">
        <v>34</v>
      </c>
      <c r="M8">
        <f t="shared" si="0"/>
        <v>78.2</v>
      </c>
      <c r="N8" s="39">
        <f t="shared" si="0"/>
        <v>74.107102039967799</v>
      </c>
    </row>
    <row r="9" spans="2:14">
      <c r="B9" s="12">
        <v>0.74107102039967798</v>
      </c>
      <c r="C9" s="11">
        <v>0.78200000000000003</v>
      </c>
      <c r="J9" s="11">
        <v>0.312</v>
      </c>
      <c r="K9" s="12">
        <v>0.25306192931507199</v>
      </c>
      <c r="L9" s="11" t="s">
        <v>34</v>
      </c>
      <c r="M9">
        <f t="shared" si="0"/>
        <v>31.2</v>
      </c>
      <c r="N9" s="39">
        <f t="shared" si="0"/>
        <v>25.306192931507198</v>
      </c>
    </row>
    <row r="10" spans="2:14">
      <c r="B10" s="12">
        <v>0.25306192931507199</v>
      </c>
      <c r="C10" s="11">
        <v>0.312</v>
      </c>
      <c r="J10" s="11">
        <v>0.51900000000000002</v>
      </c>
      <c r="K10" s="12">
        <v>0.46266606339849597</v>
      </c>
      <c r="L10" s="11" t="s">
        <v>34</v>
      </c>
      <c r="M10">
        <f t="shared" si="0"/>
        <v>51.9</v>
      </c>
      <c r="N10" s="39">
        <f t="shared" si="0"/>
        <v>46.266606339849595</v>
      </c>
    </row>
    <row r="11" spans="2:14">
      <c r="B11" s="12">
        <v>0.46266606339849597</v>
      </c>
      <c r="C11" s="11">
        <v>0.51900000000000002</v>
      </c>
      <c r="J11" s="11">
        <v>0.56499999999999995</v>
      </c>
      <c r="K11" s="12">
        <v>0.51640786008651296</v>
      </c>
      <c r="L11" s="11" t="s">
        <v>34</v>
      </c>
      <c r="M11">
        <f t="shared" si="0"/>
        <v>56.499999999999993</v>
      </c>
      <c r="N11" s="39">
        <f t="shared" si="0"/>
        <v>51.640786008651297</v>
      </c>
    </row>
    <row r="12" spans="2:14">
      <c r="B12" s="12">
        <v>3.4047654834232798E-2</v>
      </c>
      <c r="C12" s="11">
        <v>0.183</v>
      </c>
      <c r="J12" s="11">
        <v>0.58099999999999996</v>
      </c>
      <c r="K12" s="12">
        <v>0.35709720155387398</v>
      </c>
      <c r="L12" s="11" t="s">
        <v>34</v>
      </c>
      <c r="M12">
        <f t="shared" si="0"/>
        <v>58.099999999999994</v>
      </c>
      <c r="N12" s="39">
        <f t="shared" si="0"/>
        <v>35.709720155387394</v>
      </c>
    </row>
    <row r="13" spans="2:14">
      <c r="B13" s="12">
        <v>0.51640786008651296</v>
      </c>
      <c r="C13" s="11">
        <v>0.56499999999999995</v>
      </c>
      <c r="J13" s="15">
        <v>0.38700000000000001</v>
      </c>
      <c r="K13" s="16">
        <v>0.35948565592226001</v>
      </c>
      <c r="L13" s="15" t="s">
        <v>64</v>
      </c>
      <c r="M13">
        <f t="shared" si="0"/>
        <v>38.700000000000003</v>
      </c>
      <c r="N13" s="39">
        <f t="shared" si="0"/>
        <v>35.948565592226004</v>
      </c>
    </row>
    <row r="14" spans="2:14">
      <c r="B14" s="12">
        <v>0.35709720155387398</v>
      </c>
      <c r="C14" s="11">
        <v>0.58099999999999996</v>
      </c>
      <c r="J14" s="15">
        <v>0.14399999999999999</v>
      </c>
      <c r="K14" s="16">
        <v>0.13822587807469999</v>
      </c>
      <c r="L14" s="15" t="s">
        <v>64</v>
      </c>
      <c r="M14">
        <f t="shared" si="0"/>
        <v>14.399999999999999</v>
      </c>
      <c r="N14" s="39">
        <f t="shared" si="0"/>
        <v>13.822587807469999</v>
      </c>
    </row>
    <row r="15" spans="2:14">
      <c r="B15" s="16">
        <v>0.35948565592226001</v>
      </c>
      <c r="C15" s="15">
        <v>0.38700000000000001</v>
      </c>
      <c r="J15" s="15">
        <v>0.45</v>
      </c>
      <c r="K15" s="16">
        <v>0.41157524853162902</v>
      </c>
      <c r="L15" s="15" t="s">
        <v>64</v>
      </c>
      <c r="M15">
        <f t="shared" si="0"/>
        <v>45</v>
      </c>
      <c r="N15" s="39">
        <f t="shared" si="0"/>
        <v>41.157524853162904</v>
      </c>
    </row>
    <row r="16" spans="2:14">
      <c r="B16" s="16">
        <v>0.13822587807469999</v>
      </c>
      <c r="C16" s="15">
        <v>0.14399999999999999</v>
      </c>
      <c r="J16" s="15">
        <v>0.30599999999999999</v>
      </c>
      <c r="K16" s="16">
        <v>0.29416446915106098</v>
      </c>
      <c r="L16" s="15" t="s">
        <v>64</v>
      </c>
      <c r="M16">
        <f t="shared" si="0"/>
        <v>30.599999999999998</v>
      </c>
      <c r="N16" s="39">
        <f t="shared" si="0"/>
        <v>29.4164469151061</v>
      </c>
    </row>
    <row r="17" spans="2:14">
      <c r="B17" s="16">
        <v>0.41157524853162902</v>
      </c>
      <c r="C17" s="15">
        <v>0.45</v>
      </c>
      <c r="J17" s="15">
        <v>0.47199999999999998</v>
      </c>
      <c r="K17" s="16">
        <v>0.448338520895189</v>
      </c>
      <c r="L17" s="15" t="s">
        <v>64</v>
      </c>
      <c r="M17">
        <f t="shared" si="0"/>
        <v>47.199999999999996</v>
      </c>
      <c r="N17" s="39">
        <f t="shared" si="0"/>
        <v>44.833852089518899</v>
      </c>
    </row>
    <row r="18" spans="2:14">
      <c r="B18" s="16">
        <v>0.29416446915106098</v>
      </c>
      <c r="C18" s="15">
        <v>0.30599999999999999</v>
      </c>
      <c r="J18" s="15">
        <v>0.47499999999999998</v>
      </c>
      <c r="K18" s="16">
        <v>0.50010013137087805</v>
      </c>
      <c r="L18" s="15" t="s">
        <v>64</v>
      </c>
      <c r="M18">
        <f t="shared" si="0"/>
        <v>47.5</v>
      </c>
      <c r="N18" s="39">
        <f t="shared" si="0"/>
        <v>50.010013137087803</v>
      </c>
    </row>
    <row r="19" spans="2:14">
      <c r="B19" s="16">
        <v>0.448338520895189</v>
      </c>
      <c r="C19" s="15">
        <v>0.47199999999999998</v>
      </c>
      <c r="J19" s="15">
        <v>0.51400000000000001</v>
      </c>
      <c r="K19" s="16">
        <v>0.47424681541060998</v>
      </c>
      <c r="L19" s="15" t="s">
        <v>64</v>
      </c>
      <c r="M19">
        <f t="shared" si="0"/>
        <v>51.4</v>
      </c>
      <c r="N19" s="39">
        <f t="shared" si="0"/>
        <v>47.424681541060998</v>
      </c>
    </row>
    <row r="20" spans="2:14">
      <c r="B20" s="16">
        <v>0.50010013137087805</v>
      </c>
      <c r="C20" s="15">
        <v>0.47499999999999998</v>
      </c>
      <c r="J20" s="15">
        <v>0.23100000000000001</v>
      </c>
      <c r="K20" s="16">
        <v>0.21365570043468099</v>
      </c>
      <c r="L20" s="15" t="s">
        <v>64</v>
      </c>
      <c r="M20">
        <f t="shared" si="0"/>
        <v>23.1</v>
      </c>
      <c r="N20" s="39">
        <f t="shared" si="0"/>
        <v>21.3655700434681</v>
      </c>
    </row>
    <row r="21" spans="2:14">
      <c r="B21" s="16">
        <v>0.47424681541060998</v>
      </c>
      <c r="C21" s="15">
        <v>0.51400000000000001</v>
      </c>
      <c r="J21" s="15">
        <v>0.3</v>
      </c>
      <c r="K21" s="16">
        <v>0.28408539676588401</v>
      </c>
      <c r="L21" s="15" t="s">
        <v>64</v>
      </c>
      <c r="M21">
        <f t="shared" si="0"/>
        <v>30</v>
      </c>
      <c r="N21" s="39">
        <f t="shared" si="0"/>
        <v>28.408539676588401</v>
      </c>
    </row>
    <row r="22" spans="2:14">
      <c r="B22" s="16">
        <v>0.21365570043468099</v>
      </c>
      <c r="C22" s="15">
        <v>0.23100000000000001</v>
      </c>
      <c r="J22" s="15">
        <v>0.125</v>
      </c>
      <c r="K22" s="16">
        <v>0.11520452826520999</v>
      </c>
      <c r="L22" s="15" t="s">
        <v>64</v>
      </c>
      <c r="M22">
        <f t="shared" si="0"/>
        <v>12.5</v>
      </c>
      <c r="N22" s="39">
        <f t="shared" si="0"/>
        <v>11.520452826521</v>
      </c>
    </row>
    <row r="23" spans="2:14">
      <c r="B23" s="16">
        <v>0.28408539676588401</v>
      </c>
      <c r="C23" s="15">
        <v>0.3</v>
      </c>
      <c r="J23" s="15">
        <v>0.11</v>
      </c>
      <c r="K23" s="16">
        <v>0.102283553626823</v>
      </c>
      <c r="L23" s="15" t="s">
        <v>64</v>
      </c>
      <c r="M23">
        <f t="shared" si="0"/>
        <v>11</v>
      </c>
      <c r="N23" s="39">
        <f t="shared" si="0"/>
        <v>10.228355362682299</v>
      </c>
    </row>
    <row r="24" spans="2:14">
      <c r="B24" s="16">
        <v>0.11520452826520999</v>
      </c>
      <c r="C24" s="15">
        <v>0.125</v>
      </c>
      <c r="J24" s="15">
        <v>0.33800000000000002</v>
      </c>
      <c r="K24" s="16">
        <v>0.28040143397232797</v>
      </c>
      <c r="L24" s="15" t="s">
        <v>64</v>
      </c>
      <c r="M24">
        <f t="shared" si="0"/>
        <v>33.800000000000004</v>
      </c>
      <c r="N24" s="39">
        <f t="shared" si="0"/>
        <v>28.040143397232796</v>
      </c>
    </row>
    <row r="25" spans="2:14">
      <c r="B25" s="16">
        <v>0.102283553626823</v>
      </c>
      <c r="C25" s="15">
        <v>0.11</v>
      </c>
      <c r="J25" s="15">
        <v>0.21299999999999999</v>
      </c>
      <c r="K25" s="16">
        <v>0.18495096359921401</v>
      </c>
      <c r="L25" s="15" t="s">
        <v>64</v>
      </c>
      <c r="M25">
        <f t="shared" si="0"/>
        <v>21.3</v>
      </c>
      <c r="N25" s="39">
        <f t="shared" si="0"/>
        <v>18.495096359921401</v>
      </c>
    </row>
    <row r="26" spans="2:14">
      <c r="B26" s="16">
        <v>0.28040143397232797</v>
      </c>
      <c r="C26" s="15">
        <v>0.33800000000000002</v>
      </c>
      <c r="J26" s="15">
        <v>0.24</v>
      </c>
      <c r="K26" s="16">
        <v>0.223855853763577</v>
      </c>
      <c r="L26" s="15" t="s">
        <v>64</v>
      </c>
      <c r="M26">
        <f t="shared" si="0"/>
        <v>24</v>
      </c>
      <c r="N26" s="39">
        <f t="shared" si="0"/>
        <v>22.3855853763577</v>
      </c>
    </row>
    <row r="27" spans="2:14">
      <c r="B27" s="16">
        <v>0.18495096359921401</v>
      </c>
      <c r="C27" s="15">
        <v>0.21299999999999999</v>
      </c>
      <c r="J27" s="15">
        <v>0.255</v>
      </c>
      <c r="K27" s="16">
        <v>0.24117258157309199</v>
      </c>
      <c r="L27" s="15" t="s">
        <v>64</v>
      </c>
      <c r="M27">
        <f t="shared" si="0"/>
        <v>25.5</v>
      </c>
      <c r="N27" s="39">
        <f t="shared" si="0"/>
        <v>24.117258157309198</v>
      </c>
    </row>
    <row r="28" spans="2:14">
      <c r="B28" s="16">
        <v>0.223855853763577</v>
      </c>
      <c r="C28" s="15">
        <v>0.24</v>
      </c>
      <c r="J28" s="15">
        <v>0.192</v>
      </c>
      <c r="K28" s="16">
        <v>0.16812205594777699</v>
      </c>
      <c r="L28" s="15" t="s">
        <v>64</v>
      </c>
      <c r="M28">
        <f t="shared" si="0"/>
        <v>19.2</v>
      </c>
      <c r="N28" s="39">
        <f t="shared" si="0"/>
        <v>16.812205594777698</v>
      </c>
    </row>
    <row r="29" spans="2:14">
      <c r="B29" s="16">
        <v>0.24117258157309199</v>
      </c>
      <c r="C29" s="15">
        <v>0.255</v>
      </c>
      <c r="J29" s="15">
        <v>0.49099999999999999</v>
      </c>
      <c r="K29" s="16">
        <v>0.43914294885090399</v>
      </c>
      <c r="L29" s="15" t="s">
        <v>64</v>
      </c>
      <c r="M29">
        <f t="shared" si="0"/>
        <v>49.1</v>
      </c>
      <c r="N29" s="39">
        <f t="shared" si="0"/>
        <v>43.914294885090399</v>
      </c>
    </row>
    <row r="30" spans="2:14">
      <c r="B30" s="16">
        <v>0.16812205594777699</v>
      </c>
      <c r="C30" s="15">
        <v>0.192</v>
      </c>
      <c r="J30" s="15">
        <v>0.23599999999999999</v>
      </c>
      <c r="K30" s="16">
        <v>0.210615677247107</v>
      </c>
      <c r="L30" s="15" t="s">
        <v>64</v>
      </c>
      <c r="M30">
        <f t="shared" si="0"/>
        <v>23.599999999999998</v>
      </c>
      <c r="N30" s="39">
        <f t="shared" si="0"/>
        <v>21.061567724710699</v>
      </c>
    </row>
    <row r="31" spans="2:14">
      <c r="B31" s="16">
        <v>0.43914294885090399</v>
      </c>
      <c r="C31" s="15">
        <v>0.49099999999999999</v>
      </c>
      <c r="J31" s="15">
        <v>0.23699999999999999</v>
      </c>
      <c r="K31" s="16">
        <v>0.18681470632601499</v>
      </c>
      <c r="L31" s="15" t="s">
        <v>64</v>
      </c>
      <c r="M31">
        <f t="shared" si="0"/>
        <v>23.7</v>
      </c>
      <c r="N31" s="39">
        <f t="shared" si="0"/>
        <v>18.681470632601499</v>
      </c>
    </row>
    <row r="32" spans="2:14">
      <c r="B32" s="16">
        <v>0.210615677247107</v>
      </c>
      <c r="C32" s="15">
        <v>0.23599999999999999</v>
      </c>
      <c r="J32" s="15">
        <v>0.46</v>
      </c>
      <c r="K32" s="16">
        <v>0.42154631342767901</v>
      </c>
      <c r="L32" s="15" t="s">
        <v>64</v>
      </c>
      <c r="M32">
        <f t="shared" si="0"/>
        <v>46</v>
      </c>
      <c r="N32" s="39">
        <f t="shared" si="0"/>
        <v>42.1546313427679</v>
      </c>
    </row>
    <row r="33" spans="2:14">
      <c r="B33" s="16">
        <v>0.18681470632601499</v>
      </c>
      <c r="C33" s="15">
        <v>0.23699999999999999</v>
      </c>
      <c r="J33" s="15">
        <v>0.25900000000000001</v>
      </c>
      <c r="K33" s="16">
        <v>0.26523684436853101</v>
      </c>
      <c r="L33" s="15" t="s">
        <v>64</v>
      </c>
      <c r="M33">
        <f t="shared" si="0"/>
        <v>25.900000000000002</v>
      </c>
      <c r="N33" s="39">
        <f t="shared" si="0"/>
        <v>26.523684436853102</v>
      </c>
    </row>
    <row r="34" spans="2:14">
      <c r="B34" s="16">
        <v>0.42154631342767901</v>
      </c>
      <c r="C34" s="15">
        <v>0.46</v>
      </c>
      <c r="J34" s="15">
        <v>0.32700000000000001</v>
      </c>
      <c r="K34" s="16">
        <v>0.280983437166058</v>
      </c>
      <c r="L34" s="15" t="s">
        <v>64</v>
      </c>
      <c r="M34">
        <f t="shared" si="0"/>
        <v>32.700000000000003</v>
      </c>
      <c r="N34" s="39">
        <f t="shared" si="0"/>
        <v>28.0983437166058</v>
      </c>
    </row>
    <row r="35" spans="2:14">
      <c r="B35" s="16">
        <v>0.26523684436853101</v>
      </c>
      <c r="C35" s="15">
        <v>0.25900000000000001</v>
      </c>
      <c r="J35" s="15">
        <v>0.34399999999999997</v>
      </c>
      <c r="K35" s="16">
        <v>0.34173329062757601</v>
      </c>
      <c r="L35" s="15" t="s">
        <v>64</v>
      </c>
      <c r="M35">
        <f t="shared" si="0"/>
        <v>34.4</v>
      </c>
      <c r="N35" s="39">
        <f t="shared" si="0"/>
        <v>34.173329062757603</v>
      </c>
    </row>
    <row r="36" spans="2:14">
      <c r="B36" s="16">
        <v>0.280983437166058</v>
      </c>
      <c r="C36" s="15">
        <v>0.32700000000000001</v>
      </c>
      <c r="J36" s="15">
        <v>0.25800000000000001</v>
      </c>
      <c r="K36" s="16">
        <v>0.21662830278481099</v>
      </c>
      <c r="L36" s="15" t="s">
        <v>64</v>
      </c>
      <c r="M36">
        <f t="shared" si="0"/>
        <v>25.8</v>
      </c>
      <c r="N36" s="39">
        <f t="shared" si="0"/>
        <v>21.662830278481099</v>
      </c>
    </row>
    <row r="37" spans="2:14">
      <c r="B37" s="16">
        <v>0.34173329062757601</v>
      </c>
      <c r="C37" s="15">
        <v>0.34399999999999997</v>
      </c>
      <c r="J37" s="15">
        <v>0.34</v>
      </c>
      <c r="K37" s="16">
        <v>0.29312723074838498</v>
      </c>
      <c r="L37" s="15" t="s">
        <v>64</v>
      </c>
      <c r="M37">
        <f t="shared" si="0"/>
        <v>34</v>
      </c>
      <c r="N37" s="39">
        <f t="shared" si="0"/>
        <v>29.312723074838498</v>
      </c>
    </row>
    <row r="38" spans="2:14">
      <c r="B38" s="16">
        <v>0.21662830278481099</v>
      </c>
      <c r="C38" s="15">
        <v>0.25800000000000001</v>
      </c>
      <c r="J38" s="15">
        <v>0.432</v>
      </c>
      <c r="K38" s="16">
        <v>0.37384262345453301</v>
      </c>
      <c r="L38" s="15" t="s">
        <v>64</v>
      </c>
      <c r="M38">
        <f t="shared" si="0"/>
        <v>43.2</v>
      </c>
      <c r="N38" s="39">
        <f t="shared" si="0"/>
        <v>37.384262345453301</v>
      </c>
    </row>
    <row r="39" spans="2:14">
      <c r="B39" s="16">
        <v>0.29312723074838498</v>
      </c>
      <c r="C39" s="15">
        <v>0.34</v>
      </c>
      <c r="J39" s="15">
        <v>0.53</v>
      </c>
      <c r="K39" s="16">
        <v>0.490995585115233</v>
      </c>
      <c r="L39" s="15" t="s">
        <v>64</v>
      </c>
      <c r="M39">
        <f t="shared" si="0"/>
        <v>53</v>
      </c>
      <c r="N39" s="39">
        <f t="shared" si="0"/>
        <v>49.099558511523298</v>
      </c>
    </row>
    <row r="40" spans="2:14">
      <c r="B40" s="16">
        <v>0.37384262345453301</v>
      </c>
      <c r="C40" s="15">
        <v>0.432</v>
      </c>
      <c r="J40" s="15">
        <v>0.39900000000000002</v>
      </c>
      <c r="K40" s="16">
        <v>0.40315870807506998</v>
      </c>
      <c r="L40" s="15" t="s">
        <v>64</v>
      </c>
      <c r="M40">
        <f t="shared" si="0"/>
        <v>39.900000000000006</v>
      </c>
      <c r="N40" s="39">
        <f t="shared" si="0"/>
        <v>40.315870807506997</v>
      </c>
    </row>
    <row r="41" spans="2:14">
      <c r="B41" s="16">
        <v>0.490995585115233</v>
      </c>
      <c r="C41" s="15">
        <v>0.53</v>
      </c>
      <c r="J41" s="15">
        <v>0.31</v>
      </c>
      <c r="K41" s="16">
        <v>0.31893615242182299</v>
      </c>
      <c r="L41" s="15" t="s">
        <v>64</v>
      </c>
      <c r="M41">
        <f t="shared" si="0"/>
        <v>31</v>
      </c>
      <c r="N41" s="39">
        <f t="shared" si="0"/>
        <v>31.8936152421823</v>
      </c>
    </row>
    <row r="42" spans="2:14">
      <c r="B42" s="16">
        <v>0.40315870807506998</v>
      </c>
      <c r="C42" s="15">
        <v>0.39900000000000002</v>
      </c>
      <c r="J42" s="15">
        <v>0.09</v>
      </c>
      <c r="K42" s="16">
        <v>8.6483989022523702E-2</v>
      </c>
      <c r="L42" s="15" t="s">
        <v>64</v>
      </c>
      <c r="M42">
        <f t="shared" si="0"/>
        <v>9</v>
      </c>
      <c r="N42" s="39">
        <f t="shared" si="0"/>
        <v>8.6483989022523708</v>
      </c>
    </row>
    <row r="43" spans="2:14">
      <c r="B43" s="16">
        <v>0.31893615242182299</v>
      </c>
      <c r="C43" s="15">
        <v>0.31</v>
      </c>
      <c r="J43" s="15">
        <v>0.50600000000000001</v>
      </c>
      <c r="K43" s="16">
        <v>0.50968585278216905</v>
      </c>
      <c r="L43" s="15" t="s">
        <v>64</v>
      </c>
      <c r="M43">
        <f t="shared" si="0"/>
        <v>50.6</v>
      </c>
      <c r="N43" s="39">
        <f t="shared" si="0"/>
        <v>50.968585278216906</v>
      </c>
    </row>
    <row r="44" spans="2:14">
      <c r="B44" s="16">
        <v>8.6483989022523702E-2</v>
      </c>
      <c r="C44" s="15">
        <v>0.09</v>
      </c>
      <c r="J44" s="15">
        <v>0.56399999999999995</v>
      </c>
      <c r="K44" s="16">
        <v>0.52833857906884196</v>
      </c>
      <c r="L44" s="15" t="s">
        <v>64</v>
      </c>
      <c r="M44">
        <f t="shared" si="0"/>
        <v>56.399999999999991</v>
      </c>
      <c r="N44" s="39">
        <f t="shared" si="0"/>
        <v>52.833857906884198</v>
      </c>
    </row>
    <row r="45" spans="2:14">
      <c r="B45" s="16">
        <v>0.50968585278216905</v>
      </c>
      <c r="C45" s="15">
        <v>0.50600000000000001</v>
      </c>
      <c r="J45" s="15">
        <v>0.48199999999999998</v>
      </c>
      <c r="K45" s="16">
        <v>0.49730935309728003</v>
      </c>
      <c r="L45" s="15" t="s">
        <v>64</v>
      </c>
      <c r="M45">
        <f t="shared" si="0"/>
        <v>48.199999999999996</v>
      </c>
      <c r="N45" s="39">
        <f t="shared" si="0"/>
        <v>49.730935309728004</v>
      </c>
    </row>
    <row r="46" spans="2:14">
      <c r="B46" s="16">
        <v>0.52833857906884196</v>
      </c>
      <c r="C46" s="15">
        <v>0.56399999999999995</v>
      </c>
      <c r="J46" s="15">
        <v>0.13100000000000001</v>
      </c>
      <c r="K46" s="16">
        <v>0.124135018719643</v>
      </c>
      <c r="L46" s="15" t="s">
        <v>64</v>
      </c>
      <c r="M46">
        <f t="shared" si="0"/>
        <v>13.100000000000001</v>
      </c>
      <c r="N46" s="39">
        <f t="shared" si="0"/>
        <v>12.4135018719643</v>
      </c>
    </row>
    <row r="47" spans="2:14">
      <c r="B47" s="16">
        <v>0.49730935309728003</v>
      </c>
      <c r="C47" s="15">
        <v>0.48199999999999998</v>
      </c>
      <c r="J47" s="15">
        <v>0.13500000000000001</v>
      </c>
      <c r="K47" s="16">
        <v>0.119537722413443</v>
      </c>
      <c r="L47" s="15" t="s">
        <v>64</v>
      </c>
      <c r="M47">
        <f t="shared" si="0"/>
        <v>13.5</v>
      </c>
      <c r="N47" s="39">
        <f t="shared" si="0"/>
        <v>11.9537722413443</v>
      </c>
    </row>
    <row r="48" spans="2:14">
      <c r="B48" s="16">
        <v>0.124135018719643</v>
      </c>
      <c r="C48" s="15">
        <v>0.13100000000000001</v>
      </c>
      <c r="J48" s="15">
        <v>0.11799999999999999</v>
      </c>
      <c r="K48" s="16">
        <v>0.110198944024981</v>
      </c>
      <c r="L48" s="15" t="s">
        <v>64</v>
      </c>
      <c r="M48">
        <f t="shared" si="0"/>
        <v>11.799999999999999</v>
      </c>
      <c r="N48" s="39">
        <f t="shared" si="0"/>
        <v>11.0198944024981</v>
      </c>
    </row>
    <row r="49" spans="2:14">
      <c r="B49" s="16">
        <v>0.119537722413443</v>
      </c>
      <c r="C49" s="15">
        <v>0.13500000000000001</v>
      </c>
      <c r="J49" s="15">
        <v>0.124</v>
      </c>
      <c r="K49" s="16">
        <v>0.112773935759414</v>
      </c>
      <c r="L49" s="15" t="s">
        <v>64</v>
      </c>
      <c r="M49">
        <f t="shared" si="0"/>
        <v>12.4</v>
      </c>
      <c r="N49" s="39">
        <f t="shared" si="0"/>
        <v>11.277393575941399</v>
      </c>
    </row>
    <row r="50" spans="2:14">
      <c r="B50" s="16">
        <v>0.110198944024981</v>
      </c>
      <c r="C50" s="15">
        <v>0.11799999999999999</v>
      </c>
      <c r="J50" s="15">
        <v>9.2999999999999999E-2</v>
      </c>
      <c r="K50" s="16">
        <v>7.8797186380536705E-2</v>
      </c>
      <c r="L50" s="15" t="s">
        <v>64</v>
      </c>
      <c r="M50">
        <f t="shared" si="0"/>
        <v>9.3000000000000007</v>
      </c>
      <c r="N50" s="39">
        <f t="shared" si="0"/>
        <v>7.8797186380536708</v>
      </c>
    </row>
    <row r="51" spans="2:14">
      <c r="B51" s="16">
        <v>0.112773935759414</v>
      </c>
      <c r="C51" s="15">
        <v>0.124</v>
      </c>
      <c r="J51" s="15">
        <v>0.13500000000000001</v>
      </c>
      <c r="K51" s="16">
        <v>0.12439705906618199</v>
      </c>
      <c r="L51" s="15" t="s">
        <v>64</v>
      </c>
      <c r="M51">
        <f t="shared" si="0"/>
        <v>13.5</v>
      </c>
      <c r="N51" s="39">
        <f t="shared" si="0"/>
        <v>12.439705906618199</v>
      </c>
    </row>
    <row r="52" spans="2:14">
      <c r="B52" s="16">
        <v>7.8797186380536705E-2</v>
      </c>
      <c r="C52" s="15">
        <v>9.2999999999999999E-2</v>
      </c>
      <c r="J52" s="15">
        <v>6.3E-2</v>
      </c>
      <c r="K52" s="16">
        <v>6.1054877924523902E-2</v>
      </c>
      <c r="L52" s="15" t="s">
        <v>64</v>
      </c>
      <c r="M52">
        <f t="shared" si="0"/>
        <v>6.3</v>
      </c>
      <c r="N52" s="39">
        <f t="shared" si="0"/>
        <v>6.10548779245239</v>
      </c>
    </row>
    <row r="53" spans="2:14">
      <c r="B53" s="16">
        <v>0.12439705906618199</v>
      </c>
      <c r="C53" s="15">
        <v>0.13500000000000001</v>
      </c>
      <c r="J53" s="19">
        <v>0.32800000000000001</v>
      </c>
      <c r="K53" s="20">
        <v>0.30838308026487399</v>
      </c>
      <c r="L53" s="19" t="s">
        <v>351</v>
      </c>
      <c r="M53">
        <f t="shared" si="0"/>
        <v>32.800000000000004</v>
      </c>
      <c r="N53" s="39">
        <f t="shared" si="0"/>
        <v>30.8383080264874</v>
      </c>
    </row>
    <row r="54" spans="2:14">
      <c r="B54" s="16">
        <v>6.1054877924523902E-2</v>
      </c>
      <c r="C54" s="15">
        <v>6.3E-2</v>
      </c>
      <c r="J54" s="19">
        <v>0.252</v>
      </c>
      <c r="K54" s="20">
        <v>0.221186151251417</v>
      </c>
      <c r="L54" s="19" t="s">
        <v>351</v>
      </c>
      <c r="M54">
        <f t="shared" si="0"/>
        <v>25.2</v>
      </c>
      <c r="N54" s="39">
        <f t="shared" si="0"/>
        <v>22.118615125141698</v>
      </c>
    </row>
    <row r="55" spans="2:14">
      <c r="B55" s="20">
        <v>0.30838308026487399</v>
      </c>
      <c r="C55" s="19">
        <v>0.32800000000000001</v>
      </c>
      <c r="J55" s="19">
        <v>0.14499999999999999</v>
      </c>
      <c r="K55" s="20">
        <v>0.13553993788621399</v>
      </c>
      <c r="L55" s="19" t="s">
        <v>351</v>
      </c>
      <c r="M55">
        <f t="shared" si="0"/>
        <v>14.499999999999998</v>
      </c>
      <c r="N55" s="39">
        <f t="shared" si="0"/>
        <v>13.553993788621399</v>
      </c>
    </row>
    <row r="56" spans="2:14">
      <c r="B56" s="20">
        <v>0.221186151251417</v>
      </c>
      <c r="C56" s="19">
        <v>0.252</v>
      </c>
      <c r="J56" s="19">
        <v>0.157</v>
      </c>
      <c r="K56" s="20">
        <v>0.14918288691336501</v>
      </c>
      <c r="L56" s="19" t="s">
        <v>351</v>
      </c>
      <c r="M56">
        <f t="shared" si="0"/>
        <v>15.7</v>
      </c>
      <c r="N56" s="39">
        <f t="shared" si="0"/>
        <v>14.918288691336501</v>
      </c>
    </row>
    <row r="57" spans="2:14">
      <c r="B57" s="20">
        <v>0.13553993788621399</v>
      </c>
      <c r="C57" s="19">
        <v>0.14499999999999999</v>
      </c>
      <c r="J57" s="19">
        <v>0.158</v>
      </c>
      <c r="K57" s="20">
        <v>0.13908360518961099</v>
      </c>
      <c r="L57" s="19" t="s">
        <v>351</v>
      </c>
      <c r="M57">
        <f t="shared" si="0"/>
        <v>15.8</v>
      </c>
      <c r="N57" s="39">
        <f t="shared" si="0"/>
        <v>13.9083605189611</v>
      </c>
    </row>
    <row r="58" spans="2:14">
      <c r="B58" s="20">
        <v>0.14918288691336501</v>
      </c>
      <c r="C58" s="19">
        <v>0.157</v>
      </c>
      <c r="J58" s="19">
        <v>6.7000000000000004E-2</v>
      </c>
      <c r="K58" s="20">
        <v>7.4121627462758494E-2</v>
      </c>
      <c r="L58" s="19" t="s">
        <v>351</v>
      </c>
      <c r="M58">
        <f t="shared" si="0"/>
        <v>6.7</v>
      </c>
      <c r="N58" s="39">
        <f t="shared" si="0"/>
        <v>7.4121627462758495</v>
      </c>
    </row>
    <row r="59" spans="2:14">
      <c r="B59" s="20">
        <v>0.13908360518961099</v>
      </c>
      <c r="C59" s="19">
        <v>0.158</v>
      </c>
      <c r="J59" s="19">
        <v>0.13100000000000001</v>
      </c>
      <c r="K59" s="20">
        <v>0.117513367990065</v>
      </c>
      <c r="L59" s="19" t="s">
        <v>351</v>
      </c>
      <c r="M59">
        <f t="shared" si="0"/>
        <v>13.100000000000001</v>
      </c>
      <c r="N59" s="39">
        <f t="shared" si="0"/>
        <v>11.7513367990065</v>
      </c>
    </row>
    <row r="60" spans="2:14">
      <c r="B60" s="20">
        <v>7.4121627462758494E-2</v>
      </c>
      <c r="C60" s="19">
        <v>6.7000000000000004E-2</v>
      </c>
      <c r="J60" s="19">
        <v>0.17399999999999999</v>
      </c>
      <c r="K60" s="20">
        <v>0.15659395255515901</v>
      </c>
      <c r="L60" s="19" t="s">
        <v>351</v>
      </c>
      <c r="M60">
        <f t="shared" si="0"/>
        <v>17.399999999999999</v>
      </c>
      <c r="N60" s="39">
        <f t="shared" si="0"/>
        <v>15.659395255515902</v>
      </c>
    </row>
    <row r="61" spans="2:14">
      <c r="B61" s="20">
        <v>0.117513367990065</v>
      </c>
      <c r="C61" s="19">
        <v>0.13100000000000001</v>
      </c>
      <c r="J61" s="19">
        <v>0.12</v>
      </c>
      <c r="K61" s="20">
        <v>0.109155022103293</v>
      </c>
      <c r="L61" s="19" t="s">
        <v>351</v>
      </c>
      <c r="M61">
        <f t="shared" si="0"/>
        <v>12</v>
      </c>
      <c r="N61" s="39">
        <f t="shared" si="0"/>
        <v>10.915502210329301</v>
      </c>
    </row>
    <row r="62" spans="2:14">
      <c r="B62" s="20">
        <v>0.15659395255515901</v>
      </c>
      <c r="C62" s="19">
        <v>0.17399999999999999</v>
      </c>
      <c r="J62" s="19">
        <v>0.35199999999999998</v>
      </c>
      <c r="K62" s="20">
        <v>0.32360393785874397</v>
      </c>
      <c r="L62" s="19" t="s">
        <v>351</v>
      </c>
      <c r="M62">
        <f t="shared" si="0"/>
        <v>35.199999999999996</v>
      </c>
      <c r="N62" s="39">
        <f t="shared" si="0"/>
        <v>32.3603937858744</v>
      </c>
    </row>
    <row r="63" spans="2:14">
      <c r="B63" s="20">
        <v>0.109155022103293</v>
      </c>
      <c r="C63" s="19">
        <v>0.12</v>
      </c>
      <c r="J63" s="19">
        <v>0.14000000000000001</v>
      </c>
      <c r="K63" s="20">
        <v>9.4102393941898094E-2</v>
      </c>
      <c r="L63" s="19" t="s">
        <v>351</v>
      </c>
      <c r="M63">
        <f t="shared" si="0"/>
        <v>14.000000000000002</v>
      </c>
      <c r="N63" s="39">
        <f t="shared" si="0"/>
        <v>9.4102393941898086</v>
      </c>
    </row>
    <row r="64" spans="2:14">
      <c r="B64" s="20">
        <v>0.32360393785874397</v>
      </c>
      <c r="C64" s="19">
        <v>0.35199999999999998</v>
      </c>
      <c r="J64" s="19">
        <v>0.28000000000000003</v>
      </c>
      <c r="K64" s="20">
        <v>0.27565844900199299</v>
      </c>
      <c r="L64" s="19" t="s">
        <v>351</v>
      </c>
      <c r="M64">
        <f t="shared" si="0"/>
        <v>28.000000000000004</v>
      </c>
      <c r="N64" s="39">
        <f t="shared" si="0"/>
        <v>27.565844900199298</v>
      </c>
    </row>
    <row r="65" spans="2:14">
      <c r="B65" s="20">
        <v>9.4102393941898094E-2</v>
      </c>
      <c r="C65" s="19">
        <v>0.14000000000000001</v>
      </c>
      <c r="J65" s="19">
        <v>0.11700000000000001</v>
      </c>
      <c r="K65" s="20">
        <v>0.115429212849173</v>
      </c>
      <c r="L65" s="19" t="s">
        <v>351</v>
      </c>
      <c r="M65">
        <f t="shared" si="0"/>
        <v>11.700000000000001</v>
      </c>
      <c r="N65" s="39">
        <f t="shared" si="0"/>
        <v>11.5429212849173</v>
      </c>
    </row>
    <row r="66" spans="2:14">
      <c r="B66" s="20">
        <v>0.27565844900199299</v>
      </c>
      <c r="C66" s="19">
        <v>0.28000000000000003</v>
      </c>
      <c r="J66" s="19">
        <v>0.32</v>
      </c>
      <c r="K66" s="20">
        <v>0.27981795898218098</v>
      </c>
      <c r="L66" s="19" t="s">
        <v>351</v>
      </c>
      <c r="M66">
        <f t="shared" si="0"/>
        <v>32</v>
      </c>
      <c r="N66" s="39">
        <f t="shared" si="0"/>
        <v>27.981795898218099</v>
      </c>
    </row>
    <row r="67" spans="2:14">
      <c r="B67" s="20">
        <v>0.115429212849173</v>
      </c>
      <c r="C67" s="19">
        <v>0.11700000000000001</v>
      </c>
      <c r="J67" s="19">
        <v>0.41799999999999998</v>
      </c>
      <c r="K67" s="20">
        <v>0.36687783854128497</v>
      </c>
      <c r="L67" s="19" t="s">
        <v>351</v>
      </c>
      <c r="M67">
        <f t="shared" si="0"/>
        <v>41.8</v>
      </c>
      <c r="N67" s="39">
        <f t="shared" si="0"/>
        <v>36.687783854128497</v>
      </c>
    </row>
    <row r="68" spans="2:14">
      <c r="B68" s="20">
        <v>0.27981795898218098</v>
      </c>
      <c r="C68" s="19">
        <v>0.32</v>
      </c>
      <c r="J68" s="19">
        <v>0.21</v>
      </c>
      <c r="K68" s="20">
        <v>0.16636138531247399</v>
      </c>
      <c r="L68" s="19" t="s">
        <v>351</v>
      </c>
      <c r="M68">
        <f t="shared" ref="M68:N99" si="1">J68*100</f>
        <v>21</v>
      </c>
      <c r="N68" s="39">
        <f t="shared" si="1"/>
        <v>16.636138531247401</v>
      </c>
    </row>
    <row r="69" spans="2:14">
      <c r="B69" s="20">
        <v>0.36687783854128497</v>
      </c>
      <c r="C69" s="19">
        <v>0.41799999999999998</v>
      </c>
      <c r="J69" s="19">
        <v>0.09</v>
      </c>
      <c r="K69" s="20">
        <v>8.4537044486568999E-2</v>
      </c>
      <c r="L69" s="19" t="s">
        <v>351</v>
      </c>
      <c r="M69">
        <f t="shared" si="1"/>
        <v>9</v>
      </c>
      <c r="N69" s="39">
        <f t="shared" si="1"/>
        <v>8.4537044486569002</v>
      </c>
    </row>
    <row r="70" spans="2:14">
      <c r="B70" s="20">
        <v>0.16636138531247399</v>
      </c>
      <c r="C70" s="19">
        <v>2.1000000000000001E-2</v>
      </c>
      <c r="J70" s="19">
        <v>0.28000000000000003</v>
      </c>
      <c r="K70" s="20">
        <v>0.25343617034204402</v>
      </c>
      <c r="L70" s="19" t="s">
        <v>351</v>
      </c>
      <c r="M70">
        <f t="shared" si="1"/>
        <v>28.000000000000004</v>
      </c>
      <c r="N70" s="39">
        <f t="shared" si="1"/>
        <v>25.343617034204403</v>
      </c>
    </row>
    <row r="71" spans="2:14">
      <c r="B71" s="20">
        <v>8.4537044486568999E-2</v>
      </c>
      <c r="C71" s="19">
        <v>0.09</v>
      </c>
      <c r="J71" s="19">
        <v>0.155</v>
      </c>
      <c r="K71" s="20">
        <v>0.13519412646124301</v>
      </c>
      <c r="L71" s="19" t="s">
        <v>351</v>
      </c>
      <c r="M71">
        <f t="shared" si="1"/>
        <v>15.5</v>
      </c>
      <c r="N71" s="39">
        <f t="shared" si="1"/>
        <v>13.519412646124302</v>
      </c>
    </row>
    <row r="72" spans="2:14">
      <c r="B72" s="20">
        <v>0.25343617034204402</v>
      </c>
      <c r="C72" s="19">
        <v>0.28000000000000003</v>
      </c>
      <c r="J72" s="22">
        <v>0.223</v>
      </c>
      <c r="K72" s="23">
        <v>0.202293965085625</v>
      </c>
      <c r="L72" s="22" t="s">
        <v>71</v>
      </c>
      <c r="M72">
        <f t="shared" si="1"/>
        <v>22.3</v>
      </c>
      <c r="N72" s="39">
        <f t="shared" si="1"/>
        <v>20.229396508562498</v>
      </c>
    </row>
    <row r="73" spans="2:14">
      <c r="B73" s="20">
        <v>0.13519412646124301</v>
      </c>
      <c r="C73" s="19">
        <v>0.155</v>
      </c>
      <c r="J73" s="22">
        <v>0.32600000000000001</v>
      </c>
      <c r="K73" s="23">
        <v>0.30445444834844698</v>
      </c>
      <c r="L73" s="22" t="s">
        <v>71</v>
      </c>
      <c r="M73">
        <f t="shared" si="1"/>
        <v>32.6</v>
      </c>
      <c r="N73" s="39">
        <f t="shared" si="1"/>
        <v>30.445444834844697</v>
      </c>
    </row>
    <row r="74" spans="2:14">
      <c r="B74" s="23">
        <v>0.202293965085625</v>
      </c>
      <c r="C74" s="22">
        <v>0.223</v>
      </c>
      <c r="J74" s="22">
        <v>0.245</v>
      </c>
      <c r="K74" s="23">
        <v>0.23925096114201599</v>
      </c>
      <c r="L74" s="22" t="s">
        <v>71</v>
      </c>
      <c r="M74">
        <f t="shared" si="1"/>
        <v>24.5</v>
      </c>
      <c r="N74" s="39">
        <f t="shared" si="1"/>
        <v>23.925096114201601</v>
      </c>
    </row>
    <row r="75" spans="2:14">
      <c r="B75" s="23">
        <v>0.30445444834844698</v>
      </c>
      <c r="C75" s="22">
        <v>0.32600000000000001</v>
      </c>
      <c r="J75" s="22">
        <v>0.16700000000000001</v>
      </c>
      <c r="K75" s="23">
        <v>0.15463968368697201</v>
      </c>
      <c r="L75" s="22" t="s">
        <v>71</v>
      </c>
      <c r="M75">
        <f t="shared" si="1"/>
        <v>16.7</v>
      </c>
      <c r="N75" s="39">
        <f t="shared" si="1"/>
        <v>15.4639683686972</v>
      </c>
    </row>
    <row r="76" spans="2:14">
      <c r="B76" s="23">
        <v>0.23925096114201599</v>
      </c>
      <c r="C76" s="22">
        <v>0.245</v>
      </c>
      <c r="J76" s="22">
        <v>0.17699999999999999</v>
      </c>
      <c r="K76" s="23">
        <v>0.18034055555130801</v>
      </c>
      <c r="L76" s="22" t="s">
        <v>71</v>
      </c>
      <c r="M76">
        <f t="shared" si="1"/>
        <v>17.7</v>
      </c>
      <c r="N76" s="39">
        <f t="shared" si="1"/>
        <v>18.034055555130802</v>
      </c>
    </row>
    <row r="77" spans="2:14">
      <c r="B77" s="23">
        <v>0.15463968368697201</v>
      </c>
      <c r="C77" s="22">
        <v>0.16700000000000001</v>
      </c>
      <c r="J77" s="22">
        <v>0.222</v>
      </c>
      <c r="K77" s="23">
        <v>0.20937008815441699</v>
      </c>
      <c r="L77" s="22" t="s">
        <v>71</v>
      </c>
      <c r="M77">
        <f t="shared" si="1"/>
        <v>22.2</v>
      </c>
      <c r="N77" s="39">
        <f t="shared" si="1"/>
        <v>20.9370088154417</v>
      </c>
    </row>
    <row r="78" spans="2:14">
      <c r="B78" s="23">
        <v>0.18034055555130801</v>
      </c>
      <c r="C78" s="22">
        <v>0.17699999999999999</v>
      </c>
      <c r="J78" s="22">
        <v>0.219</v>
      </c>
      <c r="K78" s="23">
        <v>0.208279034619864</v>
      </c>
      <c r="L78" s="22" t="s">
        <v>71</v>
      </c>
      <c r="M78">
        <f t="shared" si="1"/>
        <v>21.9</v>
      </c>
      <c r="N78" s="39">
        <f t="shared" si="1"/>
        <v>20.827903461986399</v>
      </c>
    </row>
    <row r="79" spans="2:14">
      <c r="B79" s="23">
        <v>0.20937008815441699</v>
      </c>
      <c r="C79" s="22">
        <v>0.222</v>
      </c>
      <c r="J79" s="22">
        <v>0.19500000000000001</v>
      </c>
      <c r="K79" s="23">
        <v>0.17403961872036799</v>
      </c>
      <c r="L79" s="22" t="s">
        <v>71</v>
      </c>
      <c r="M79">
        <f t="shared" si="1"/>
        <v>19.5</v>
      </c>
      <c r="N79" s="39">
        <f t="shared" si="1"/>
        <v>17.403961872036799</v>
      </c>
    </row>
    <row r="80" spans="2:14">
      <c r="B80" s="23">
        <v>0.208279034619864</v>
      </c>
      <c r="C80" s="22">
        <v>0.219</v>
      </c>
      <c r="J80" s="22">
        <v>0.20300000000000001</v>
      </c>
      <c r="K80" s="23">
        <v>0.17567112907094201</v>
      </c>
      <c r="L80" s="22" t="s">
        <v>71</v>
      </c>
      <c r="M80">
        <f t="shared" si="1"/>
        <v>20.3</v>
      </c>
      <c r="N80" s="39">
        <f t="shared" si="1"/>
        <v>17.567112907094202</v>
      </c>
    </row>
    <row r="81" spans="2:14">
      <c r="B81" s="23">
        <v>0.17403961872036799</v>
      </c>
      <c r="C81" s="22">
        <v>0.19500000000000001</v>
      </c>
      <c r="J81" s="22">
        <v>0.11600000000000001</v>
      </c>
      <c r="K81" s="23">
        <v>8.9052836755893997E-2</v>
      </c>
      <c r="L81" s="22" t="s">
        <v>71</v>
      </c>
      <c r="M81">
        <f t="shared" si="1"/>
        <v>11.600000000000001</v>
      </c>
      <c r="N81" s="39">
        <f t="shared" si="1"/>
        <v>8.9052836755894003</v>
      </c>
    </row>
    <row r="82" spans="2:14">
      <c r="B82" s="23">
        <v>0.17567112907094201</v>
      </c>
      <c r="C82" s="22">
        <v>0.20300000000000001</v>
      </c>
      <c r="J82" s="22">
        <v>9.9000000000000005E-2</v>
      </c>
      <c r="K82" s="23">
        <v>9.5188062714119101E-2</v>
      </c>
      <c r="L82" s="22" t="s">
        <v>71</v>
      </c>
      <c r="M82">
        <f t="shared" si="1"/>
        <v>9.9</v>
      </c>
      <c r="N82" s="39">
        <f t="shared" si="1"/>
        <v>9.5188062714119095</v>
      </c>
    </row>
    <row r="83" spans="2:14">
      <c r="B83" s="23">
        <v>8.9052836755893997E-2</v>
      </c>
      <c r="C83" s="22">
        <v>0.11600000000000001</v>
      </c>
      <c r="J83" s="22">
        <v>0.42499999999999999</v>
      </c>
      <c r="K83" s="23">
        <v>0.35785694235348198</v>
      </c>
      <c r="L83" s="22" t="s">
        <v>71</v>
      </c>
      <c r="M83">
        <f t="shared" si="1"/>
        <v>42.5</v>
      </c>
      <c r="N83" s="39">
        <f t="shared" si="1"/>
        <v>35.785694235348195</v>
      </c>
    </row>
    <row r="84" spans="2:14">
      <c r="B84" s="23">
        <v>9.5188062714119101E-2</v>
      </c>
      <c r="C84" s="22">
        <v>9.9000000000000005E-2</v>
      </c>
      <c r="J84" s="22">
        <v>0.17499999999999999</v>
      </c>
      <c r="K84" s="23">
        <v>0.160301667269833</v>
      </c>
      <c r="L84" s="22" t="s">
        <v>71</v>
      </c>
      <c r="M84">
        <f t="shared" si="1"/>
        <v>17.5</v>
      </c>
      <c r="N84" s="39">
        <f t="shared" si="1"/>
        <v>16.0301667269833</v>
      </c>
    </row>
    <row r="85" spans="2:14">
      <c r="B85" s="23">
        <v>0.35785694235348198</v>
      </c>
      <c r="C85" s="22">
        <v>0.42499999999999999</v>
      </c>
      <c r="J85" s="22">
        <v>0.25</v>
      </c>
      <c r="K85" s="23">
        <v>0.229278247209523</v>
      </c>
      <c r="L85" s="22" t="s">
        <v>71</v>
      </c>
      <c r="M85">
        <f t="shared" si="1"/>
        <v>25</v>
      </c>
      <c r="N85" s="39">
        <f t="shared" si="1"/>
        <v>22.927824720952302</v>
      </c>
    </row>
    <row r="86" spans="2:14">
      <c r="B86" s="23">
        <v>0.160301667269833</v>
      </c>
      <c r="C86" s="22">
        <v>0.17499999999999999</v>
      </c>
      <c r="J86">
        <v>3.9E-2</v>
      </c>
      <c r="K86" s="1">
        <v>3.96455938959559E-2</v>
      </c>
      <c r="L86" t="s">
        <v>78</v>
      </c>
      <c r="M86">
        <f t="shared" si="1"/>
        <v>3.9</v>
      </c>
      <c r="N86" s="39">
        <f t="shared" si="1"/>
        <v>3.96455938959559</v>
      </c>
    </row>
    <row r="87" spans="2:14">
      <c r="B87" s="23">
        <v>0.229278247209523</v>
      </c>
      <c r="C87" s="22">
        <v>0.25</v>
      </c>
      <c r="J87">
        <v>4.8000000000000001E-2</v>
      </c>
      <c r="K87" s="1">
        <v>2.89923818225854E-2</v>
      </c>
      <c r="L87" t="s">
        <v>78</v>
      </c>
      <c r="M87">
        <f t="shared" si="1"/>
        <v>4.8</v>
      </c>
      <c r="N87" s="39">
        <f t="shared" si="1"/>
        <v>2.8992381822585402</v>
      </c>
    </row>
    <row r="88" spans="2:14">
      <c r="B88" s="1">
        <v>3.96455938959559E-2</v>
      </c>
      <c r="C88">
        <v>3.9E-2</v>
      </c>
      <c r="J88" s="25">
        <v>0.16900000000000001</v>
      </c>
      <c r="K88" s="26">
        <v>0.151257359578925</v>
      </c>
      <c r="L88" s="25" t="s">
        <v>85</v>
      </c>
      <c r="M88">
        <f t="shared" si="1"/>
        <v>16.900000000000002</v>
      </c>
      <c r="N88" s="39">
        <f t="shared" si="1"/>
        <v>15.1257359578925</v>
      </c>
    </row>
    <row r="89" spans="2:14">
      <c r="B89" s="1">
        <v>2.89923818225854E-2</v>
      </c>
      <c r="C89">
        <v>0.48</v>
      </c>
      <c r="J89" s="25">
        <v>0.14099999999999999</v>
      </c>
      <c r="K89" s="26">
        <v>0.116022519480848</v>
      </c>
      <c r="L89" s="25" t="s">
        <v>85</v>
      </c>
      <c r="M89">
        <f t="shared" si="1"/>
        <v>14.099999999999998</v>
      </c>
      <c r="N89" s="39">
        <f t="shared" si="1"/>
        <v>11.602251948084801</v>
      </c>
    </row>
    <row r="90" spans="2:14">
      <c r="B90" s="26">
        <v>0.151257359578925</v>
      </c>
      <c r="C90" s="25">
        <v>0.16900000000000001</v>
      </c>
      <c r="J90" s="25">
        <v>5.0999999999999997E-2</v>
      </c>
      <c r="K90" s="26">
        <v>5.6039711103442899E-2</v>
      </c>
      <c r="L90" s="25" t="s">
        <v>85</v>
      </c>
      <c r="M90">
        <f t="shared" si="1"/>
        <v>5.0999999999999996</v>
      </c>
      <c r="N90" s="39">
        <f t="shared" si="1"/>
        <v>5.6039711103442897</v>
      </c>
    </row>
    <row r="91" spans="2:14">
      <c r="B91" s="26">
        <v>0.116022519480848</v>
      </c>
      <c r="C91" s="25">
        <v>0.14099999999999999</v>
      </c>
      <c r="J91" s="28">
        <v>0.34200000000000003</v>
      </c>
      <c r="K91" s="29">
        <v>0.31166328681907601</v>
      </c>
      <c r="L91" s="28" t="s">
        <v>93</v>
      </c>
      <c r="M91">
        <f t="shared" si="1"/>
        <v>34.200000000000003</v>
      </c>
      <c r="N91" s="39">
        <f t="shared" si="1"/>
        <v>31.166328681907601</v>
      </c>
    </row>
    <row r="92" spans="2:14">
      <c r="B92" s="26">
        <v>5.6039711103442899E-2</v>
      </c>
      <c r="C92" s="25">
        <v>5.0999999999999997E-2</v>
      </c>
      <c r="J92" s="28">
        <v>0.115</v>
      </c>
      <c r="K92" s="29">
        <v>9.5518751656461606E-2</v>
      </c>
      <c r="L92" s="28" t="s">
        <v>93</v>
      </c>
      <c r="M92">
        <f t="shared" si="1"/>
        <v>11.5</v>
      </c>
      <c r="N92" s="39">
        <f t="shared" si="1"/>
        <v>9.5518751656461607</v>
      </c>
    </row>
    <row r="93" spans="2:14">
      <c r="B93" s="29">
        <v>0.31166328681907601</v>
      </c>
      <c r="C93" s="28">
        <v>0.34200000000000003</v>
      </c>
      <c r="J93" s="28">
        <v>0.23499999999999999</v>
      </c>
      <c r="K93" s="29">
        <v>0.20726275094472399</v>
      </c>
      <c r="L93" s="28" t="s">
        <v>93</v>
      </c>
      <c r="M93">
        <f t="shared" si="1"/>
        <v>23.5</v>
      </c>
      <c r="N93" s="39">
        <f t="shared" si="1"/>
        <v>20.726275094472399</v>
      </c>
    </row>
    <row r="94" spans="2:14">
      <c r="B94" s="29">
        <v>9.5518751656461606E-2</v>
      </c>
      <c r="C94" s="28">
        <v>0.115</v>
      </c>
      <c r="J94" s="31">
        <v>0.22600000000000001</v>
      </c>
      <c r="K94" s="32">
        <v>9.9652277618944102E-2</v>
      </c>
      <c r="L94" s="31" t="s">
        <v>100</v>
      </c>
      <c r="M94">
        <f t="shared" si="1"/>
        <v>22.6</v>
      </c>
      <c r="N94" s="39">
        <f t="shared" si="1"/>
        <v>9.9652277618944094</v>
      </c>
    </row>
    <row r="95" spans="2:14">
      <c r="B95" s="29">
        <v>0.20726275094472399</v>
      </c>
      <c r="C95" s="28">
        <v>0.23499999999999999</v>
      </c>
      <c r="J95" s="34">
        <v>0.122</v>
      </c>
      <c r="K95" s="35">
        <v>9.8544499776234695E-2</v>
      </c>
      <c r="L95" s="34" t="s">
        <v>107</v>
      </c>
      <c r="M95">
        <f t="shared" si="1"/>
        <v>12.2</v>
      </c>
      <c r="N95" s="39">
        <f t="shared" si="1"/>
        <v>9.8544499776234691</v>
      </c>
    </row>
    <row r="96" spans="2:14">
      <c r="B96" s="32">
        <v>9.9652277618944102E-2</v>
      </c>
      <c r="C96" s="31">
        <v>0.22600000000000001</v>
      </c>
      <c r="J96" s="34">
        <v>3.5000000000000003E-2</v>
      </c>
      <c r="K96" s="35">
        <v>3.48902331872235E-2</v>
      </c>
      <c r="L96" s="34" t="s">
        <v>107</v>
      </c>
      <c r="M96">
        <f t="shared" si="1"/>
        <v>3.5000000000000004</v>
      </c>
      <c r="N96" s="39">
        <f t="shared" si="1"/>
        <v>3.4890233187223498</v>
      </c>
    </row>
    <row r="97" spans="2:14">
      <c r="B97" s="35">
        <v>9.8544499776234695E-2</v>
      </c>
      <c r="C97" s="34">
        <v>0.122</v>
      </c>
      <c r="J97" s="34">
        <v>5.2999999999999999E-2</v>
      </c>
      <c r="K97" s="35">
        <v>4.6117154475760799E-2</v>
      </c>
      <c r="L97" s="34" t="s">
        <v>107</v>
      </c>
      <c r="M97">
        <f t="shared" si="1"/>
        <v>5.3</v>
      </c>
      <c r="N97" s="39">
        <f t="shared" si="1"/>
        <v>4.6117154475760795</v>
      </c>
    </row>
    <row r="98" spans="2:14">
      <c r="B98" s="35">
        <v>3.48902331872235E-2</v>
      </c>
      <c r="C98" s="34">
        <v>3.5000000000000003E-2</v>
      </c>
      <c r="J98" s="34">
        <v>5.5E-2</v>
      </c>
      <c r="K98" s="35">
        <v>6.0299719295750398E-2</v>
      </c>
      <c r="L98" s="34" t="s">
        <v>107</v>
      </c>
      <c r="M98">
        <f t="shared" si="1"/>
        <v>5.5</v>
      </c>
      <c r="N98" s="39">
        <f t="shared" si="1"/>
        <v>6.0299719295750398</v>
      </c>
    </row>
    <row r="99" spans="2:14">
      <c r="B99" s="35">
        <v>4.6117154475760799E-2</v>
      </c>
      <c r="C99" s="34">
        <v>0.53</v>
      </c>
      <c r="J99" s="34">
        <v>9.7000000000000003E-2</v>
      </c>
      <c r="K99" s="35">
        <v>8.1575479689261807E-2</v>
      </c>
      <c r="L99" s="34" t="s">
        <v>107</v>
      </c>
      <c r="M99">
        <f t="shared" si="1"/>
        <v>9.7000000000000011</v>
      </c>
      <c r="N99" s="39">
        <f t="shared" si="1"/>
        <v>8.1575479689261812</v>
      </c>
    </row>
    <row r="100" spans="2:14">
      <c r="B100" s="35">
        <v>6.0299719295750398E-2</v>
      </c>
      <c r="C100" s="34">
        <v>5.5E-2</v>
      </c>
      <c r="J100" s="4"/>
      <c r="K100" s="4"/>
      <c r="L100" s="4"/>
    </row>
    <row r="101" spans="2:14">
      <c r="B101" s="35">
        <v>8.1575479689261807E-2</v>
      </c>
      <c r="C101" s="34">
        <v>9.7000000000000003E-2</v>
      </c>
      <c r="J101" s="4"/>
      <c r="K101" s="4"/>
      <c r="L101" s="4"/>
    </row>
    <row r="102" spans="2:14">
      <c r="J102" s="4"/>
      <c r="K102" s="4"/>
      <c r="L102" s="4"/>
    </row>
    <row r="103" spans="2:14">
      <c r="J103" s="4"/>
      <c r="K103" s="4"/>
      <c r="L103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AC713"/>
  <sheetViews>
    <sheetView tabSelected="1" topLeftCell="A585" workbookViewId="0">
      <selection activeCell="G2" sqref="G2"/>
    </sheetView>
  </sheetViews>
  <sheetFormatPr defaultRowHeight="15" customHeight="1"/>
  <cols>
    <col min="2" max="2" width="0" hidden="1" customWidth="1"/>
    <col min="3" max="3" width="23.28515625" customWidth="1"/>
    <col min="4" max="4" width="9.140625" hidden="1" customWidth="1"/>
    <col min="5" max="5" width="14" customWidth="1"/>
    <col min="6" max="7" width="14" style="1" customWidth="1"/>
    <col min="9" max="16" width="0" hidden="1" customWidth="1"/>
    <col min="17" max="17" width="12.5703125" customWidth="1"/>
    <col min="18" max="18" width="12" customWidth="1"/>
    <col min="19" max="21" width="0" hidden="1" customWidth="1"/>
    <col min="23" max="23" width="0" hidden="1" customWidth="1"/>
    <col min="24" max="24" width="22.7109375" customWidth="1"/>
    <col min="25" max="26" width="0" hidden="1" customWidth="1"/>
  </cols>
  <sheetData>
    <row r="1" spans="1:29">
      <c r="A1" t="s">
        <v>1779</v>
      </c>
      <c r="B1" t="s">
        <v>1780</v>
      </c>
      <c r="C1" t="s">
        <v>1781</v>
      </c>
      <c r="D1" t="s">
        <v>1782</v>
      </c>
      <c r="E1" t="s">
        <v>1783</v>
      </c>
      <c r="F1" t="s">
        <v>1775</v>
      </c>
      <c r="G1" t="s">
        <v>1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 t="s">
        <v>1789</v>
      </c>
      <c r="N1" t="s">
        <v>1790</v>
      </c>
      <c r="O1" t="s">
        <v>1791</v>
      </c>
      <c r="P1" t="s">
        <v>1792</v>
      </c>
      <c r="Q1" t="s">
        <v>1793</v>
      </c>
      <c r="R1" t="s">
        <v>1794</v>
      </c>
      <c r="S1" t="s">
        <v>1795</v>
      </c>
      <c r="T1" t="s">
        <v>1796</v>
      </c>
      <c r="U1" t="s">
        <v>1797</v>
      </c>
      <c r="V1" t="s">
        <v>1798</v>
      </c>
      <c r="W1" t="s">
        <v>1799</v>
      </c>
      <c r="X1" t="s">
        <v>1800</v>
      </c>
      <c r="Y1" t="s">
        <v>1801</v>
      </c>
    </row>
    <row r="2" spans="1:29" ht="14.45" customHeight="1">
      <c r="A2">
        <v>9</v>
      </c>
      <c r="B2" t="s">
        <v>1802</v>
      </c>
      <c r="C2" t="s">
        <v>1803</v>
      </c>
      <c r="E2" s="7">
        <v>45930</v>
      </c>
      <c r="F2">
        <v>8</v>
      </c>
      <c r="G2">
        <f>F2*0.0254</f>
        <v>0.20319999999999999</v>
      </c>
      <c r="H2" t="s">
        <v>1804</v>
      </c>
      <c r="I2" t="s">
        <v>1805</v>
      </c>
      <c r="J2" t="s">
        <v>1803</v>
      </c>
      <c r="K2" t="s">
        <v>1806</v>
      </c>
      <c r="M2" t="b">
        <v>1</v>
      </c>
      <c r="N2" s="7">
        <v>45930</v>
      </c>
      <c r="O2" t="s">
        <v>1807</v>
      </c>
      <c r="P2">
        <v>35.310555059999999</v>
      </c>
      <c r="Q2">
        <v>-120.66300870000001</v>
      </c>
      <c r="R2" t="s">
        <v>1808</v>
      </c>
      <c r="S2">
        <v>27550</v>
      </c>
      <c r="T2" t="s">
        <v>1809</v>
      </c>
      <c r="V2">
        <v>861</v>
      </c>
      <c r="W2" t="s">
        <v>1810</v>
      </c>
      <c r="X2" t="b">
        <v>0</v>
      </c>
      <c r="Y2" t="s">
        <v>1811</v>
      </c>
      <c r="AB2" s="1"/>
      <c r="AC2" s="2"/>
    </row>
    <row r="3" spans="1:29" ht="14.45" customHeight="1">
      <c r="A3">
        <v>150</v>
      </c>
      <c r="B3" t="s">
        <v>1812</v>
      </c>
      <c r="C3" t="s">
        <v>1813</v>
      </c>
      <c r="E3" s="7">
        <v>45930</v>
      </c>
      <c r="F3">
        <v>3</v>
      </c>
      <c r="G3">
        <f t="shared" ref="G3:G66" si="0">F3*0.0254</f>
        <v>7.619999999999999E-2</v>
      </c>
      <c r="H3" t="s">
        <v>1814</v>
      </c>
      <c r="I3" t="s">
        <v>1815</v>
      </c>
      <c r="J3" t="s">
        <v>1816</v>
      </c>
      <c r="K3" t="s">
        <v>1817</v>
      </c>
      <c r="M3" t="b">
        <v>1</v>
      </c>
      <c r="N3" s="7">
        <v>45930</v>
      </c>
      <c r="O3" t="s">
        <v>1818</v>
      </c>
      <c r="P3">
        <v>35.310698430000002</v>
      </c>
      <c r="Q3">
        <v>-120.6629148</v>
      </c>
      <c r="R3" t="s">
        <v>1808</v>
      </c>
      <c r="S3">
        <v>27552</v>
      </c>
      <c r="T3" t="s">
        <v>1809</v>
      </c>
      <c r="V3">
        <v>863</v>
      </c>
      <c r="W3" t="s">
        <v>1810</v>
      </c>
      <c r="X3" t="b">
        <v>0</v>
      </c>
      <c r="Y3" t="s">
        <v>1811</v>
      </c>
      <c r="AB3" s="1"/>
      <c r="AC3" s="2"/>
    </row>
    <row r="4" spans="1:29" ht="14.45" customHeight="1">
      <c r="A4">
        <v>371</v>
      </c>
      <c r="B4" t="s">
        <v>1819</v>
      </c>
      <c r="C4" t="s">
        <v>1820</v>
      </c>
      <c r="E4" s="7">
        <v>45930</v>
      </c>
      <c r="F4">
        <v>5</v>
      </c>
      <c r="G4">
        <f t="shared" si="0"/>
        <v>0.127</v>
      </c>
      <c r="H4" t="s">
        <v>1814</v>
      </c>
      <c r="I4" t="s">
        <v>1815</v>
      </c>
      <c r="J4" t="s">
        <v>1821</v>
      </c>
      <c r="K4" t="s">
        <v>1822</v>
      </c>
      <c r="M4" t="b">
        <v>1</v>
      </c>
      <c r="N4" s="7">
        <v>45930</v>
      </c>
      <c r="O4" t="s">
        <v>1823</v>
      </c>
      <c r="P4">
        <v>35.310706089999996</v>
      </c>
      <c r="Q4">
        <v>-120.662896</v>
      </c>
      <c r="R4" t="s">
        <v>1808</v>
      </c>
      <c r="S4">
        <v>27551</v>
      </c>
      <c r="T4" t="s">
        <v>1809</v>
      </c>
      <c r="V4">
        <v>862</v>
      </c>
      <c r="W4" t="s">
        <v>1810</v>
      </c>
      <c r="X4" t="b">
        <v>0</v>
      </c>
      <c r="Y4" t="s">
        <v>1811</v>
      </c>
    </row>
    <row r="5" spans="1:29" ht="14.45" customHeight="1">
      <c r="A5">
        <v>397</v>
      </c>
      <c r="B5" t="s">
        <v>1824</v>
      </c>
      <c r="C5" t="s">
        <v>1825</v>
      </c>
      <c r="D5" t="s">
        <v>1826</v>
      </c>
      <c r="E5" s="7">
        <v>45930</v>
      </c>
      <c r="F5">
        <v>7</v>
      </c>
      <c r="G5">
        <f t="shared" si="0"/>
        <v>0.17779999999999999</v>
      </c>
      <c r="H5" t="s">
        <v>1804</v>
      </c>
      <c r="I5" t="s">
        <v>1815</v>
      </c>
      <c r="J5" t="s">
        <v>1825</v>
      </c>
      <c r="K5" t="s">
        <v>1827</v>
      </c>
      <c r="M5" t="b">
        <v>1</v>
      </c>
      <c r="N5" s="7">
        <v>45930</v>
      </c>
      <c r="O5" t="s">
        <v>1828</v>
      </c>
      <c r="P5">
        <v>35.310865130000003</v>
      </c>
      <c r="Q5">
        <v>-120.6628134</v>
      </c>
      <c r="R5" t="s">
        <v>1808</v>
      </c>
      <c r="S5">
        <v>27555</v>
      </c>
      <c r="T5" t="s">
        <v>1809</v>
      </c>
      <c r="U5" t="s">
        <v>1829</v>
      </c>
      <c r="V5">
        <v>865</v>
      </c>
      <c r="W5" t="s">
        <v>1830</v>
      </c>
      <c r="X5" t="b">
        <v>0</v>
      </c>
      <c r="Y5" t="s">
        <v>1811</v>
      </c>
    </row>
    <row r="6" spans="1:29" ht="14.45" customHeight="1">
      <c r="A6">
        <v>309</v>
      </c>
      <c r="B6" t="s">
        <v>1831</v>
      </c>
      <c r="C6" t="s">
        <v>1832</v>
      </c>
      <c r="E6" s="7">
        <v>45930</v>
      </c>
      <c r="F6">
        <v>5</v>
      </c>
      <c r="G6">
        <f t="shared" si="0"/>
        <v>0.127</v>
      </c>
      <c r="H6" t="s">
        <v>1814</v>
      </c>
      <c r="J6" t="s">
        <v>1816</v>
      </c>
      <c r="K6" t="s">
        <v>1833</v>
      </c>
      <c r="M6" t="b">
        <v>1</v>
      </c>
      <c r="N6" s="7">
        <v>45930</v>
      </c>
      <c r="O6" t="s">
        <v>1834</v>
      </c>
      <c r="P6">
        <v>35.3107805</v>
      </c>
      <c r="Q6">
        <v>-120.66301</v>
      </c>
      <c r="R6" t="s">
        <v>1808</v>
      </c>
      <c r="S6">
        <v>27558</v>
      </c>
      <c r="T6" t="s">
        <v>1809</v>
      </c>
      <c r="V6">
        <v>868</v>
      </c>
      <c r="W6" t="s">
        <v>1810</v>
      </c>
      <c r="X6" t="b">
        <v>0</v>
      </c>
      <c r="Y6" t="s">
        <v>1811</v>
      </c>
    </row>
    <row r="7" spans="1:29" ht="14.45" customHeight="1">
      <c r="A7">
        <v>312</v>
      </c>
      <c r="B7" t="s">
        <v>1831</v>
      </c>
      <c r="C7" t="s">
        <v>1832</v>
      </c>
      <c r="E7" s="7">
        <v>45930</v>
      </c>
      <c r="F7">
        <v>7</v>
      </c>
      <c r="G7">
        <f t="shared" si="0"/>
        <v>0.17779999999999999</v>
      </c>
      <c r="H7" t="s">
        <v>1804</v>
      </c>
      <c r="J7" t="s">
        <v>1816</v>
      </c>
      <c r="K7" t="s">
        <v>1835</v>
      </c>
      <c r="M7" t="b">
        <v>1</v>
      </c>
      <c r="N7" s="7">
        <v>45930</v>
      </c>
      <c r="O7" t="s">
        <v>1834</v>
      </c>
      <c r="P7">
        <v>35.310782690000003</v>
      </c>
      <c r="Q7">
        <v>-120.6629966</v>
      </c>
      <c r="R7" t="s">
        <v>1808</v>
      </c>
      <c r="S7">
        <v>27559</v>
      </c>
      <c r="T7" t="s">
        <v>1809</v>
      </c>
      <c r="V7">
        <v>869</v>
      </c>
      <c r="W7" t="s">
        <v>1810</v>
      </c>
      <c r="X7" t="b">
        <v>0</v>
      </c>
      <c r="Y7" t="s">
        <v>1811</v>
      </c>
    </row>
    <row r="8" spans="1:29" ht="14.45" customHeight="1">
      <c r="A8">
        <v>548</v>
      </c>
      <c r="B8" t="s">
        <v>1836</v>
      </c>
      <c r="C8" t="s">
        <v>1837</v>
      </c>
      <c r="E8" s="7">
        <v>45930</v>
      </c>
      <c r="F8">
        <v>1</v>
      </c>
      <c r="G8">
        <f t="shared" si="0"/>
        <v>2.5399999999999999E-2</v>
      </c>
      <c r="H8" t="s">
        <v>1838</v>
      </c>
      <c r="J8" t="s">
        <v>1839</v>
      </c>
      <c r="K8" t="s">
        <v>1840</v>
      </c>
      <c r="M8" t="b">
        <v>1</v>
      </c>
      <c r="N8" s="7">
        <v>45930</v>
      </c>
      <c r="O8" t="s">
        <v>1841</v>
      </c>
      <c r="P8">
        <v>35.310767370000001</v>
      </c>
      <c r="Q8">
        <v>-120.66299530000001</v>
      </c>
      <c r="R8" t="s">
        <v>1808</v>
      </c>
      <c r="S8">
        <v>27557</v>
      </c>
      <c r="T8" t="s">
        <v>1809</v>
      </c>
      <c r="V8">
        <v>867</v>
      </c>
      <c r="W8" t="s">
        <v>1810</v>
      </c>
      <c r="X8" t="b">
        <v>0</v>
      </c>
      <c r="Y8" t="s">
        <v>1811</v>
      </c>
    </row>
    <row r="9" spans="1:29" ht="14.45" customHeight="1">
      <c r="A9">
        <v>577</v>
      </c>
      <c r="D9" t="s">
        <v>1826</v>
      </c>
      <c r="E9" s="7">
        <v>45930</v>
      </c>
      <c r="F9">
        <v>23</v>
      </c>
      <c r="G9">
        <f t="shared" si="0"/>
        <v>0.58419999999999994</v>
      </c>
      <c r="H9" t="s">
        <v>1842</v>
      </c>
      <c r="K9" t="s">
        <v>1843</v>
      </c>
      <c r="M9" t="b">
        <v>0</v>
      </c>
      <c r="N9" s="7">
        <v>45930</v>
      </c>
      <c r="P9">
        <v>35.310851470000003</v>
      </c>
      <c r="Q9">
        <v>-120.6627843</v>
      </c>
      <c r="R9" t="s">
        <v>1808</v>
      </c>
      <c r="S9">
        <v>27553</v>
      </c>
      <c r="T9" t="s">
        <v>1809</v>
      </c>
      <c r="V9">
        <v>864</v>
      </c>
      <c r="W9" t="s">
        <v>1830</v>
      </c>
      <c r="X9" t="b">
        <v>0</v>
      </c>
      <c r="Y9" t="s">
        <v>1811</v>
      </c>
    </row>
    <row r="10" spans="1:29" ht="14.45" customHeight="1">
      <c r="A10">
        <v>578</v>
      </c>
      <c r="E10" s="7">
        <v>45930</v>
      </c>
      <c r="F10"/>
      <c r="G10">
        <f t="shared" si="0"/>
        <v>0</v>
      </c>
      <c r="K10" t="s">
        <v>1844</v>
      </c>
      <c r="M10" t="b">
        <v>0</v>
      </c>
      <c r="N10" s="7">
        <v>45930</v>
      </c>
      <c r="P10">
        <v>35.310600909999998</v>
      </c>
      <c r="Q10">
        <v>-120.6634622</v>
      </c>
      <c r="R10" t="s">
        <v>1808</v>
      </c>
      <c r="S10">
        <v>27549</v>
      </c>
      <c r="T10" t="s">
        <v>1809</v>
      </c>
      <c r="V10">
        <v>860</v>
      </c>
      <c r="W10" t="s">
        <v>1845</v>
      </c>
      <c r="X10" t="b">
        <v>0</v>
      </c>
      <c r="Y10" t="s">
        <v>1811</v>
      </c>
    </row>
    <row r="11" spans="1:29" ht="14.45" customHeight="1">
      <c r="A11">
        <v>579</v>
      </c>
      <c r="E11" s="7">
        <v>45930</v>
      </c>
      <c r="F11"/>
      <c r="G11">
        <f t="shared" si="0"/>
        <v>0</v>
      </c>
      <c r="K11" t="s">
        <v>1846</v>
      </c>
      <c r="M11" t="b">
        <v>0</v>
      </c>
      <c r="N11" s="7">
        <v>45930</v>
      </c>
      <c r="P11">
        <v>35.310916089999999</v>
      </c>
      <c r="Q11">
        <v>-120.6629714</v>
      </c>
      <c r="R11" t="s">
        <v>1808</v>
      </c>
      <c r="S11">
        <v>27547</v>
      </c>
      <c r="T11" t="s">
        <v>1809</v>
      </c>
      <c r="V11">
        <v>859</v>
      </c>
      <c r="W11" t="s">
        <v>1845</v>
      </c>
      <c r="X11" t="b">
        <v>0</v>
      </c>
      <c r="Y11" t="s">
        <v>1811</v>
      </c>
    </row>
    <row r="12" spans="1:29" ht="14.45" customHeight="1">
      <c r="A12">
        <v>10</v>
      </c>
      <c r="B12" t="s">
        <v>1802</v>
      </c>
      <c r="C12" t="s">
        <v>1803</v>
      </c>
      <c r="E12" s="7">
        <v>45923</v>
      </c>
      <c r="F12">
        <v>9</v>
      </c>
      <c r="G12">
        <f t="shared" si="0"/>
        <v>0.2286</v>
      </c>
      <c r="H12" t="s">
        <v>1804</v>
      </c>
      <c r="I12" t="s">
        <v>1805</v>
      </c>
      <c r="J12" t="s">
        <v>1803</v>
      </c>
      <c r="K12" t="s">
        <v>1847</v>
      </c>
      <c r="M12" t="b">
        <v>1</v>
      </c>
      <c r="N12" s="7">
        <v>45923</v>
      </c>
      <c r="O12" t="s">
        <v>1807</v>
      </c>
      <c r="P12">
        <v>35.310741</v>
      </c>
      <c r="Q12">
        <v>-120.6629683</v>
      </c>
      <c r="R12" t="s">
        <v>1808</v>
      </c>
      <c r="S12">
        <v>27538</v>
      </c>
      <c r="T12" t="s">
        <v>1809</v>
      </c>
      <c r="V12">
        <v>852</v>
      </c>
      <c r="W12" t="s">
        <v>1848</v>
      </c>
      <c r="X12" t="b">
        <v>0</v>
      </c>
      <c r="Y12" t="s">
        <v>1811</v>
      </c>
    </row>
    <row r="13" spans="1:29" ht="14.45" customHeight="1">
      <c r="A13">
        <v>23</v>
      </c>
      <c r="B13" t="s">
        <v>1849</v>
      </c>
      <c r="C13" t="s">
        <v>1850</v>
      </c>
      <c r="E13" s="7">
        <v>45923</v>
      </c>
      <c r="F13">
        <v>7</v>
      </c>
      <c r="G13">
        <f t="shared" si="0"/>
        <v>0.17779999999999999</v>
      </c>
      <c r="H13" t="s">
        <v>1804</v>
      </c>
      <c r="I13" t="s">
        <v>1805</v>
      </c>
      <c r="J13" t="s">
        <v>1803</v>
      </c>
      <c r="K13" t="s">
        <v>1851</v>
      </c>
      <c r="M13" t="b">
        <v>1</v>
      </c>
      <c r="N13" s="7">
        <v>45923</v>
      </c>
      <c r="O13" t="s">
        <v>1852</v>
      </c>
      <c r="P13">
        <v>35.31072786</v>
      </c>
      <c r="Q13">
        <v>-120.66298569999999</v>
      </c>
      <c r="R13" t="s">
        <v>1808</v>
      </c>
      <c r="S13">
        <v>27541</v>
      </c>
      <c r="T13" t="s">
        <v>1809</v>
      </c>
      <c r="V13">
        <v>854</v>
      </c>
      <c r="W13" t="s">
        <v>1848</v>
      </c>
      <c r="X13" t="b">
        <v>0</v>
      </c>
      <c r="Y13" t="s">
        <v>1811</v>
      </c>
    </row>
    <row r="14" spans="1:29" ht="14.45" customHeight="1">
      <c r="A14">
        <v>114</v>
      </c>
      <c r="B14" t="s">
        <v>1853</v>
      </c>
      <c r="C14" t="s">
        <v>1854</v>
      </c>
      <c r="E14" s="7">
        <v>45923</v>
      </c>
      <c r="F14">
        <v>17</v>
      </c>
      <c r="G14">
        <f t="shared" si="0"/>
        <v>0.43179999999999996</v>
      </c>
      <c r="H14" t="s">
        <v>1855</v>
      </c>
      <c r="I14" t="s">
        <v>1856</v>
      </c>
      <c r="J14" t="s">
        <v>1857</v>
      </c>
      <c r="K14" t="s">
        <v>1858</v>
      </c>
      <c r="M14" t="b">
        <v>1</v>
      </c>
      <c r="N14" s="7">
        <v>45923</v>
      </c>
      <c r="O14" t="s">
        <v>1859</v>
      </c>
      <c r="P14">
        <v>35.310606389999997</v>
      </c>
      <c r="Q14">
        <v>-120.66325929999999</v>
      </c>
      <c r="R14" t="s">
        <v>1808</v>
      </c>
      <c r="S14">
        <v>27545</v>
      </c>
      <c r="T14" t="s">
        <v>1809</v>
      </c>
      <c r="V14">
        <v>858</v>
      </c>
      <c r="W14" t="s">
        <v>1848</v>
      </c>
      <c r="X14" t="b">
        <v>0</v>
      </c>
      <c r="Y14" t="s">
        <v>1811</v>
      </c>
    </row>
    <row r="15" spans="1:29" ht="14.45" customHeight="1">
      <c r="A15">
        <v>24</v>
      </c>
      <c r="B15" t="s">
        <v>1860</v>
      </c>
      <c r="C15" t="s">
        <v>1861</v>
      </c>
      <c r="E15" s="7">
        <v>45923</v>
      </c>
      <c r="F15">
        <v>2</v>
      </c>
      <c r="G15">
        <f t="shared" si="0"/>
        <v>5.0799999999999998E-2</v>
      </c>
      <c r="H15" t="s">
        <v>1838</v>
      </c>
      <c r="I15" t="s">
        <v>1815</v>
      </c>
      <c r="J15" t="s">
        <v>1816</v>
      </c>
      <c r="K15" t="s">
        <v>1862</v>
      </c>
      <c r="M15" t="b">
        <v>1</v>
      </c>
      <c r="N15" s="7">
        <v>45923</v>
      </c>
      <c r="O15" t="s">
        <v>1863</v>
      </c>
      <c r="P15">
        <v>35.310700330000003</v>
      </c>
      <c r="Q15">
        <v>-120.6631005</v>
      </c>
      <c r="R15" t="s">
        <v>1808</v>
      </c>
      <c r="S15">
        <v>27540</v>
      </c>
      <c r="T15" t="s">
        <v>1809</v>
      </c>
      <c r="V15">
        <v>853</v>
      </c>
      <c r="W15" t="s">
        <v>1830</v>
      </c>
      <c r="X15" t="b">
        <v>0</v>
      </c>
      <c r="Y15" t="s">
        <v>1811</v>
      </c>
    </row>
    <row r="16" spans="1:29" ht="14.45" customHeight="1">
      <c r="A16">
        <v>267</v>
      </c>
      <c r="B16" t="s">
        <v>1864</v>
      </c>
      <c r="C16" t="s">
        <v>1865</v>
      </c>
      <c r="E16" s="7">
        <v>45923</v>
      </c>
      <c r="F16">
        <v>28</v>
      </c>
      <c r="G16">
        <f t="shared" si="0"/>
        <v>0.71119999999999994</v>
      </c>
      <c r="H16" t="s">
        <v>1866</v>
      </c>
      <c r="I16" t="s">
        <v>1815</v>
      </c>
      <c r="J16" t="s">
        <v>1825</v>
      </c>
      <c r="K16" t="s">
        <v>1867</v>
      </c>
      <c r="M16" t="b">
        <v>1</v>
      </c>
      <c r="N16" s="7">
        <v>45923</v>
      </c>
      <c r="O16" t="s">
        <v>1868</v>
      </c>
      <c r="P16">
        <v>35.310551330000003</v>
      </c>
      <c r="Q16">
        <v>-120.6633269</v>
      </c>
      <c r="R16" t="s">
        <v>1808</v>
      </c>
      <c r="S16">
        <v>27525</v>
      </c>
      <c r="T16" t="s">
        <v>1809</v>
      </c>
      <c r="V16">
        <v>843</v>
      </c>
      <c r="W16" t="s">
        <v>1848</v>
      </c>
      <c r="X16" t="b">
        <v>0</v>
      </c>
      <c r="Y16" t="s">
        <v>1811</v>
      </c>
    </row>
    <row r="17" spans="1:25" ht="14.45" customHeight="1">
      <c r="A17">
        <v>376</v>
      </c>
      <c r="B17" t="s">
        <v>1819</v>
      </c>
      <c r="C17" t="s">
        <v>1820</v>
      </c>
      <c r="E17" s="7">
        <v>45923</v>
      </c>
      <c r="F17"/>
      <c r="G17">
        <f t="shared" si="0"/>
        <v>0</v>
      </c>
      <c r="I17" t="s">
        <v>1815</v>
      </c>
      <c r="J17" t="s">
        <v>1821</v>
      </c>
      <c r="K17" t="s">
        <v>1869</v>
      </c>
      <c r="M17" t="b">
        <v>0</v>
      </c>
      <c r="N17" s="7">
        <v>45923</v>
      </c>
      <c r="O17" t="s">
        <v>1823</v>
      </c>
      <c r="P17">
        <v>35.310695809999999</v>
      </c>
      <c r="Q17">
        <v>-120.6632449</v>
      </c>
      <c r="R17" t="s">
        <v>1808</v>
      </c>
      <c r="S17">
        <v>27526</v>
      </c>
      <c r="T17" t="s">
        <v>1809</v>
      </c>
      <c r="V17">
        <v>844</v>
      </c>
      <c r="W17" t="s">
        <v>1870</v>
      </c>
      <c r="X17" t="b">
        <v>0</v>
      </c>
      <c r="Y17" t="s">
        <v>1811</v>
      </c>
    </row>
    <row r="18" spans="1:25" ht="14.45" customHeight="1">
      <c r="A18">
        <v>495</v>
      </c>
      <c r="B18" t="s">
        <v>1871</v>
      </c>
      <c r="C18" t="s">
        <v>1872</v>
      </c>
      <c r="E18" s="7">
        <v>45923</v>
      </c>
      <c r="F18">
        <v>3</v>
      </c>
      <c r="G18">
        <f t="shared" si="0"/>
        <v>7.619999999999999E-2</v>
      </c>
      <c r="H18" t="s">
        <v>1814</v>
      </c>
      <c r="I18" t="s">
        <v>1815</v>
      </c>
      <c r="J18" t="s">
        <v>1816</v>
      </c>
      <c r="K18" t="s">
        <v>1873</v>
      </c>
      <c r="M18" t="b">
        <v>1</v>
      </c>
      <c r="N18" s="7">
        <v>45923</v>
      </c>
      <c r="O18" t="s">
        <v>1874</v>
      </c>
      <c r="P18">
        <v>35.31057869</v>
      </c>
      <c r="Q18">
        <v>-120.6633068</v>
      </c>
      <c r="R18" t="s">
        <v>1808</v>
      </c>
      <c r="S18">
        <v>27527</v>
      </c>
      <c r="T18" t="s">
        <v>1809</v>
      </c>
      <c r="V18">
        <v>845</v>
      </c>
      <c r="W18" t="s">
        <v>1848</v>
      </c>
      <c r="X18" t="b">
        <v>0</v>
      </c>
      <c r="Y18" t="s">
        <v>1811</v>
      </c>
    </row>
    <row r="19" spans="1:25" ht="14.45" customHeight="1">
      <c r="A19">
        <v>497</v>
      </c>
      <c r="B19" t="s">
        <v>1871</v>
      </c>
      <c r="C19" t="s">
        <v>1872</v>
      </c>
      <c r="E19" s="7">
        <v>45923</v>
      </c>
      <c r="F19">
        <v>9</v>
      </c>
      <c r="G19">
        <f t="shared" si="0"/>
        <v>0.2286</v>
      </c>
      <c r="H19" t="s">
        <v>1804</v>
      </c>
      <c r="I19" t="s">
        <v>1815</v>
      </c>
      <c r="J19" t="s">
        <v>1816</v>
      </c>
      <c r="K19" t="s">
        <v>1875</v>
      </c>
      <c r="M19" t="b">
        <v>1</v>
      </c>
      <c r="N19" s="7">
        <v>45923</v>
      </c>
      <c r="O19" t="s">
        <v>1874</v>
      </c>
      <c r="P19">
        <v>35.310633410000001</v>
      </c>
      <c r="Q19">
        <v>-120.6633497</v>
      </c>
      <c r="R19" t="s">
        <v>1808</v>
      </c>
      <c r="S19">
        <v>27533</v>
      </c>
      <c r="T19" t="s">
        <v>1809</v>
      </c>
      <c r="V19">
        <v>849</v>
      </c>
      <c r="W19" t="s">
        <v>1848</v>
      </c>
      <c r="X19" t="b">
        <v>0</v>
      </c>
      <c r="Y19" t="s">
        <v>1811</v>
      </c>
    </row>
    <row r="20" spans="1:25" ht="14.45" customHeight="1">
      <c r="A20">
        <v>555</v>
      </c>
      <c r="B20" t="s">
        <v>1876</v>
      </c>
      <c r="C20" t="s">
        <v>1877</v>
      </c>
      <c r="E20" s="7">
        <v>45923</v>
      </c>
      <c r="F20">
        <v>10</v>
      </c>
      <c r="G20">
        <f t="shared" si="0"/>
        <v>0.254</v>
      </c>
      <c r="H20" t="s">
        <v>1804</v>
      </c>
      <c r="I20" t="s">
        <v>1815</v>
      </c>
      <c r="J20" t="s">
        <v>1821</v>
      </c>
      <c r="K20" t="s">
        <v>1878</v>
      </c>
      <c r="M20" t="b">
        <v>1</v>
      </c>
      <c r="N20" s="7">
        <v>45923</v>
      </c>
      <c r="O20" t="s">
        <v>1181</v>
      </c>
      <c r="P20">
        <v>35.31074761</v>
      </c>
      <c r="Q20">
        <v>-120.6631311</v>
      </c>
      <c r="R20" t="s">
        <v>1808</v>
      </c>
      <c r="S20">
        <v>27544</v>
      </c>
      <c r="T20" t="s">
        <v>1809</v>
      </c>
      <c r="V20">
        <v>857</v>
      </c>
      <c r="W20" t="s">
        <v>1830</v>
      </c>
      <c r="X20" t="b">
        <v>0</v>
      </c>
      <c r="Y20" t="s">
        <v>1811</v>
      </c>
    </row>
    <row r="21" spans="1:25" ht="14.45" customHeight="1">
      <c r="A21">
        <v>247</v>
      </c>
      <c r="B21" t="s">
        <v>1879</v>
      </c>
      <c r="C21" t="s">
        <v>1880</v>
      </c>
      <c r="E21" s="7">
        <v>45923</v>
      </c>
      <c r="F21">
        <v>34</v>
      </c>
      <c r="G21">
        <f t="shared" si="0"/>
        <v>0.86359999999999992</v>
      </c>
      <c r="H21" t="s">
        <v>1881</v>
      </c>
      <c r="I21" t="s">
        <v>1882</v>
      </c>
      <c r="J21" t="s">
        <v>1883</v>
      </c>
      <c r="K21" t="s">
        <v>1884</v>
      </c>
      <c r="M21" t="b">
        <v>1</v>
      </c>
      <c r="N21" s="7">
        <v>45923</v>
      </c>
      <c r="O21" t="s">
        <v>1399</v>
      </c>
      <c r="P21">
        <v>35.310579789999998</v>
      </c>
      <c r="Q21">
        <v>-120.6633886</v>
      </c>
      <c r="R21" t="s">
        <v>1808</v>
      </c>
      <c r="S21">
        <v>27531</v>
      </c>
      <c r="T21" t="s">
        <v>1809</v>
      </c>
      <c r="V21">
        <v>847</v>
      </c>
      <c r="W21" t="s">
        <v>1848</v>
      </c>
      <c r="X21" t="b">
        <v>0</v>
      </c>
      <c r="Y21" t="s">
        <v>1811</v>
      </c>
    </row>
    <row r="22" spans="1:25" ht="14.45" customHeight="1">
      <c r="A22">
        <v>248</v>
      </c>
      <c r="B22" t="s">
        <v>1879</v>
      </c>
      <c r="C22" t="s">
        <v>1880</v>
      </c>
      <c r="E22" s="7">
        <v>45923</v>
      </c>
      <c r="F22">
        <v>37</v>
      </c>
      <c r="G22">
        <f t="shared" si="0"/>
        <v>0.93979999999999997</v>
      </c>
      <c r="H22" t="s">
        <v>1881</v>
      </c>
      <c r="I22" t="s">
        <v>1882</v>
      </c>
      <c r="J22" t="s">
        <v>1883</v>
      </c>
      <c r="K22" t="s">
        <v>1885</v>
      </c>
      <c r="M22" t="b">
        <v>1</v>
      </c>
      <c r="N22" s="7">
        <v>45923</v>
      </c>
      <c r="O22" t="s">
        <v>1399</v>
      </c>
      <c r="P22">
        <v>35.310590730000001</v>
      </c>
      <c r="Q22">
        <v>-120.6633685</v>
      </c>
      <c r="R22" t="s">
        <v>1808</v>
      </c>
      <c r="S22">
        <v>27530</v>
      </c>
      <c r="T22" t="s">
        <v>1809</v>
      </c>
      <c r="V22">
        <v>846</v>
      </c>
      <c r="W22" t="s">
        <v>1848</v>
      </c>
      <c r="X22" t="b">
        <v>0</v>
      </c>
      <c r="Y22" t="s">
        <v>1811</v>
      </c>
    </row>
    <row r="23" spans="1:25" ht="14.45" customHeight="1">
      <c r="A23">
        <v>516</v>
      </c>
      <c r="B23" t="s">
        <v>1886</v>
      </c>
      <c r="C23" t="s">
        <v>1887</v>
      </c>
      <c r="E23" s="7">
        <v>45923</v>
      </c>
      <c r="F23">
        <v>7</v>
      </c>
      <c r="G23">
        <f t="shared" si="0"/>
        <v>0.17779999999999999</v>
      </c>
      <c r="H23" t="s">
        <v>1804</v>
      </c>
      <c r="I23" t="s">
        <v>1888</v>
      </c>
      <c r="J23" t="s">
        <v>1889</v>
      </c>
      <c r="K23" t="s">
        <v>1890</v>
      </c>
      <c r="M23" t="b">
        <v>1</v>
      </c>
      <c r="N23" s="7">
        <v>45923</v>
      </c>
      <c r="O23" t="s">
        <v>1891</v>
      </c>
      <c r="P23">
        <v>35.310480200000001</v>
      </c>
      <c r="Q23">
        <v>-120.66341679999999</v>
      </c>
      <c r="R23" t="s">
        <v>1808</v>
      </c>
      <c r="S23">
        <v>27490</v>
      </c>
      <c r="T23" t="s">
        <v>1809</v>
      </c>
      <c r="V23">
        <v>808</v>
      </c>
      <c r="W23" t="s">
        <v>1848</v>
      </c>
      <c r="X23" t="b">
        <v>0</v>
      </c>
      <c r="Y23" t="s">
        <v>1811</v>
      </c>
    </row>
    <row r="24" spans="1:25" ht="14.45" customHeight="1">
      <c r="A24">
        <v>517</v>
      </c>
      <c r="B24" t="s">
        <v>1886</v>
      </c>
      <c r="C24" t="s">
        <v>1887</v>
      </c>
      <c r="E24" s="7">
        <v>45923</v>
      </c>
      <c r="F24">
        <v>8</v>
      </c>
      <c r="G24">
        <f t="shared" si="0"/>
        <v>0.20319999999999999</v>
      </c>
      <c r="H24" t="s">
        <v>1804</v>
      </c>
      <c r="I24" t="s">
        <v>1888</v>
      </c>
      <c r="J24" t="s">
        <v>1889</v>
      </c>
      <c r="K24" t="s">
        <v>1892</v>
      </c>
      <c r="M24" t="b">
        <v>1</v>
      </c>
      <c r="N24" s="7">
        <v>45923</v>
      </c>
      <c r="O24" t="s">
        <v>1891</v>
      </c>
      <c r="P24">
        <v>35.310492230000001</v>
      </c>
      <c r="Q24">
        <v>-120.6634261</v>
      </c>
      <c r="R24" t="s">
        <v>1808</v>
      </c>
      <c r="S24">
        <v>27502</v>
      </c>
      <c r="T24" t="s">
        <v>1809</v>
      </c>
      <c r="V24">
        <v>820</v>
      </c>
      <c r="W24" t="s">
        <v>1848</v>
      </c>
      <c r="X24" t="b">
        <v>0</v>
      </c>
      <c r="Y24" t="s">
        <v>1811</v>
      </c>
    </row>
    <row r="25" spans="1:25" ht="14.45" customHeight="1">
      <c r="A25">
        <v>519</v>
      </c>
      <c r="B25" t="s">
        <v>1886</v>
      </c>
      <c r="C25" t="s">
        <v>1887</v>
      </c>
      <c r="E25" s="7">
        <v>45923</v>
      </c>
      <c r="F25">
        <v>13</v>
      </c>
      <c r="G25">
        <f t="shared" si="0"/>
        <v>0.33019999999999999</v>
      </c>
      <c r="H25" t="s">
        <v>1855</v>
      </c>
      <c r="I25" t="s">
        <v>1888</v>
      </c>
      <c r="J25" t="s">
        <v>1889</v>
      </c>
      <c r="K25" t="s">
        <v>1893</v>
      </c>
      <c r="M25" t="b">
        <v>1</v>
      </c>
      <c r="N25" s="7">
        <v>45923</v>
      </c>
      <c r="O25" t="s">
        <v>1891</v>
      </c>
      <c r="P25">
        <v>35.310487860000002</v>
      </c>
      <c r="Q25">
        <v>-120.66343550000001</v>
      </c>
      <c r="R25" t="s">
        <v>1808</v>
      </c>
      <c r="S25">
        <v>27496</v>
      </c>
      <c r="T25" t="s">
        <v>1809</v>
      </c>
      <c r="V25">
        <v>814</v>
      </c>
      <c r="W25" t="s">
        <v>1848</v>
      </c>
      <c r="X25" t="b">
        <v>0</v>
      </c>
      <c r="Y25" t="s">
        <v>1811</v>
      </c>
    </row>
    <row r="26" spans="1:25" ht="14.45" customHeight="1">
      <c r="A26">
        <v>40</v>
      </c>
      <c r="B26" t="s">
        <v>1894</v>
      </c>
      <c r="C26" t="s">
        <v>1895</v>
      </c>
      <c r="E26" s="7">
        <v>45923</v>
      </c>
      <c r="F26">
        <v>8</v>
      </c>
      <c r="G26">
        <f t="shared" si="0"/>
        <v>0.20319999999999999</v>
      </c>
      <c r="H26" t="s">
        <v>1804</v>
      </c>
      <c r="J26" t="s">
        <v>1896</v>
      </c>
      <c r="K26" t="s">
        <v>1897</v>
      </c>
      <c r="M26" t="b">
        <v>0</v>
      </c>
      <c r="N26" s="7">
        <v>45923</v>
      </c>
      <c r="O26" t="s">
        <v>1898</v>
      </c>
      <c r="P26">
        <v>35.310584830000003</v>
      </c>
      <c r="Q26">
        <v>-120.6635072</v>
      </c>
      <c r="R26" t="s">
        <v>1808</v>
      </c>
      <c r="S26">
        <v>27479</v>
      </c>
      <c r="T26" t="s">
        <v>1809</v>
      </c>
      <c r="V26">
        <v>797</v>
      </c>
      <c r="W26" t="s">
        <v>1899</v>
      </c>
      <c r="X26" t="b">
        <v>0</v>
      </c>
      <c r="Y26" t="s">
        <v>1811</v>
      </c>
    </row>
    <row r="27" spans="1:25" ht="14.45" customHeight="1">
      <c r="A27">
        <v>41</v>
      </c>
      <c r="B27" t="s">
        <v>1894</v>
      </c>
      <c r="C27" t="s">
        <v>1895</v>
      </c>
      <c r="E27" s="7">
        <v>45923</v>
      </c>
      <c r="F27">
        <v>9</v>
      </c>
      <c r="G27">
        <f t="shared" si="0"/>
        <v>0.2286</v>
      </c>
      <c r="H27" t="s">
        <v>1804</v>
      </c>
      <c r="J27" t="s">
        <v>1896</v>
      </c>
      <c r="K27" t="s">
        <v>1900</v>
      </c>
      <c r="M27" t="b">
        <v>0</v>
      </c>
      <c r="N27" s="7">
        <v>45923</v>
      </c>
      <c r="O27" t="s">
        <v>1898</v>
      </c>
      <c r="P27">
        <v>35.310706850000003</v>
      </c>
      <c r="Q27">
        <v>-120.6633928</v>
      </c>
      <c r="R27" t="s">
        <v>1808</v>
      </c>
      <c r="S27">
        <v>27488</v>
      </c>
      <c r="T27" t="s">
        <v>1809</v>
      </c>
      <c r="V27">
        <v>806</v>
      </c>
      <c r="W27" t="s">
        <v>1899</v>
      </c>
      <c r="X27" t="b">
        <v>0</v>
      </c>
      <c r="Y27" t="s">
        <v>1811</v>
      </c>
    </row>
    <row r="28" spans="1:25" ht="14.45" customHeight="1">
      <c r="A28">
        <v>42</v>
      </c>
      <c r="B28" t="s">
        <v>1894</v>
      </c>
      <c r="C28" t="s">
        <v>1895</v>
      </c>
      <c r="E28" s="7">
        <v>45923</v>
      </c>
      <c r="F28">
        <v>9</v>
      </c>
      <c r="G28">
        <f t="shared" si="0"/>
        <v>0.2286</v>
      </c>
      <c r="H28" t="s">
        <v>1804</v>
      </c>
      <c r="J28" t="s">
        <v>1896</v>
      </c>
      <c r="K28" t="s">
        <v>1901</v>
      </c>
      <c r="M28" t="b">
        <v>0</v>
      </c>
      <c r="N28" s="7">
        <v>45923</v>
      </c>
      <c r="O28" t="s">
        <v>1898</v>
      </c>
      <c r="P28">
        <v>35.310535739999999</v>
      </c>
      <c r="Q28">
        <v>-120.6635582</v>
      </c>
      <c r="R28" t="s">
        <v>1808</v>
      </c>
      <c r="S28">
        <v>27477</v>
      </c>
      <c r="T28" t="s">
        <v>1809</v>
      </c>
      <c r="V28">
        <v>795</v>
      </c>
      <c r="W28" t="s">
        <v>1899</v>
      </c>
      <c r="X28" t="b">
        <v>0</v>
      </c>
      <c r="Y28" t="s">
        <v>1811</v>
      </c>
    </row>
    <row r="29" spans="1:25" ht="14.45" customHeight="1">
      <c r="A29">
        <v>43</v>
      </c>
      <c r="B29" t="s">
        <v>1894</v>
      </c>
      <c r="C29" t="s">
        <v>1895</v>
      </c>
      <c r="E29" s="7">
        <v>45923</v>
      </c>
      <c r="F29">
        <v>10</v>
      </c>
      <c r="G29">
        <f t="shared" si="0"/>
        <v>0.254</v>
      </c>
      <c r="H29" t="s">
        <v>1804</v>
      </c>
      <c r="J29" t="s">
        <v>1896</v>
      </c>
      <c r="K29" t="s">
        <v>1902</v>
      </c>
      <c r="M29" t="b">
        <v>0</v>
      </c>
      <c r="N29" s="7">
        <v>45923</v>
      </c>
      <c r="O29" t="s">
        <v>1898</v>
      </c>
      <c r="P29">
        <v>35.310982490000001</v>
      </c>
      <c r="Q29">
        <v>-120.6631768</v>
      </c>
      <c r="R29" t="s">
        <v>1808</v>
      </c>
      <c r="S29">
        <v>27484</v>
      </c>
      <c r="T29" t="s">
        <v>1809</v>
      </c>
      <c r="V29">
        <v>802</v>
      </c>
      <c r="W29" t="s">
        <v>1899</v>
      </c>
      <c r="X29" t="b">
        <v>0</v>
      </c>
      <c r="Y29" t="s">
        <v>1811</v>
      </c>
    </row>
    <row r="30" spans="1:25" ht="14.45" customHeight="1">
      <c r="A30">
        <v>44</v>
      </c>
      <c r="B30" t="s">
        <v>1894</v>
      </c>
      <c r="C30" t="s">
        <v>1895</v>
      </c>
      <c r="E30" s="7">
        <v>45923</v>
      </c>
      <c r="F30">
        <v>11</v>
      </c>
      <c r="G30">
        <f t="shared" si="0"/>
        <v>0.27939999999999998</v>
      </c>
      <c r="H30" t="s">
        <v>1804</v>
      </c>
      <c r="J30" t="s">
        <v>1896</v>
      </c>
      <c r="K30" t="s">
        <v>1903</v>
      </c>
      <c r="M30" t="b">
        <v>0</v>
      </c>
      <c r="N30" s="7">
        <v>45923</v>
      </c>
      <c r="O30" t="s">
        <v>1898</v>
      </c>
      <c r="P30">
        <v>35.310915000000001</v>
      </c>
      <c r="Q30">
        <v>-120.6632256</v>
      </c>
      <c r="R30" t="s">
        <v>1808</v>
      </c>
      <c r="S30">
        <v>27482</v>
      </c>
      <c r="T30" t="s">
        <v>1809</v>
      </c>
      <c r="V30">
        <v>800</v>
      </c>
      <c r="W30" t="s">
        <v>1899</v>
      </c>
      <c r="X30" t="b">
        <v>0</v>
      </c>
      <c r="Y30" t="s">
        <v>1811</v>
      </c>
    </row>
    <row r="31" spans="1:25" ht="14.45" customHeight="1">
      <c r="A31">
        <v>45</v>
      </c>
      <c r="B31" t="s">
        <v>1894</v>
      </c>
      <c r="C31" t="s">
        <v>1895</v>
      </c>
      <c r="E31" s="7">
        <v>45923</v>
      </c>
      <c r="F31"/>
      <c r="G31">
        <f t="shared" si="0"/>
        <v>0</v>
      </c>
      <c r="J31" t="s">
        <v>1896</v>
      </c>
      <c r="K31" t="s">
        <v>1904</v>
      </c>
      <c r="M31" t="b">
        <v>0</v>
      </c>
      <c r="N31" s="7">
        <v>45923</v>
      </c>
      <c r="O31" t="s">
        <v>1898</v>
      </c>
      <c r="P31">
        <v>35.311043980000001</v>
      </c>
      <c r="Q31">
        <v>-120.6630837</v>
      </c>
      <c r="R31" t="s">
        <v>1808</v>
      </c>
      <c r="S31">
        <v>27524</v>
      </c>
      <c r="T31" t="s">
        <v>1809</v>
      </c>
      <c r="V31">
        <v>842</v>
      </c>
      <c r="W31" t="s">
        <v>1899</v>
      </c>
      <c r="X31" t="b">
        <v>0</v>
      </c>
      <c r="Y31" t="s">
        <v>1811</v>
      </c>
    </row>
    <row r="32" spans="1:25" ht="14.45" customHeight="1">
      <c r="A32">
        <v>46</v>
      </c>
      <c r="B32" t="s">
        <v>1894</v>
      </c>
      <c r="C32" t="s">
        <v>1895</v>
      </c>
      <c r="E32" s="7">
        <v>45923</v>
      </c>
      <c r="F32"/>
      <c r="G32">
        <f t="shared" si="0"/>
        <v>0</v>
      </c>
      <c r="J32" t="s">
        <v>1896</v>
      </c>
      <c r="K32" t="s">
        <v>1905</v>
      </c>
      <c r="M32" t="b">
        <v>0</v>
      </c>
      <c r="N32" s="7">
        <v>45923</v>
      </c>
      <c r="O32" t="s">
        <v>1898</v>
      </c>
      <c r="P32">
        <v>35.310910819999997</v>
      </c>
      <c r="Q32">
        <v>-120.66323319999999</v>
      </c>
      <c r="R32" t="s">
        <v>1808</v>
      </c>
      <c r="S32">
        <v>27523</v>
      </c>
      <c r="T32" t="s">
        <v>1809</v>
      </c>
      <c r="V32">
        <v>841</v>
      </c>
      <c r="W32" t="s">
        <v>1899</v>
      </c>
      <c r="X32" t="b">
        <v>0</v>
      </c>
      <c r="Y32" t="s">
        <v>1811</v>
      </c>
    </row>
    <row r="33" spans="1:25" ht="14.45" customHeight="1">
      <c r="A33">
        <v>47</v>
      </c>
      <c r="B33" t="s">
        <v>1894</v>
      </c>
      <c r="C33" t="s">
        <v>1895</v>
      </c>
      <c r="E33" s="7">
        <v>45923</v>
      </c>
      <c r="F33"/>
      <c r="G33">
        <f t="shared" si="0"/>
        <v>0</v>
      </c>
      <c r="J33" t="s">
        <v>1896</v>
      </c>
      <c r="K33" t="s">
        <v>1906</v>
      </c>
      <c r="M33" t="b">
        <v>0</v>
      </c>
      <c r="N33" s="7">
        <v>45923</v>
      </c>
      <c r="O33" t="s">
        <v>1898</v>
      </c>
      <c r="P33">
        <v>35.310564429999999</v>
      </c>
      <c r="Q33">
        <v>-120.6635251</v>
      </c>
      <c r="R33" t="s">
        <v>1808</v>
      </c>
      <c r="S33">
        <v>27522</v>
      </c>
      <c r="T33" t="s">
        <v>1809</v>
      </c>
      <c r="V33">
        <v>840</v>
      </c>
      <c r="W33" t="s">
        <v>1899</v>
      </c>
      <c r="X33" t="b">
        <v>0</v>
      </c>
      <c r="Y33" t="s">
        <v>1811</v>
      </c>
    </row>
    <row r="34" spans="1:25" ht="14.45" customHeight="1">
      <c r="A34">
        <v>48</v>
      </c>
      <c r="B34" t="s">
        <v>1894</v>
      </c>
      <c r="C34" t="s">
        <v>1895</v>
      </c>
      <c r="E34" s="7">
        <v>45923</v>
      </c>
      <c r="F34"/>
      <c r="G34">
        <f t="shared" si="0"/>
        <v>0</v>
      </c>
      <c r="J34" t="s">
        <v>1896</v>
      </c>
      <c r="K34" t="s">
        <v>1907</v>
      </c>
      <c r="M34" t="b">
        <v>0</v>
      </c>
      <c r="N34" s="7">
        <v>45923</v>
      </c>
      <c r="O34" t="s">
        <v>1898</v>
      </c>
      <c r="P34">
        <v>35.310697040000001</v>
      </c>
      <c r="Q34">
        <v>-120.6633913</v>
      </c>
      <c r="R34" t="s">
        <v>1808</v>
      </c>
      <c r="S34">
        <v>27521</v>
      </c>
      <c r="T34" t="s">
        <v>1809</v>
      </c>
      <c r="V34">
        <v>839</v>
      </c>
      <c r="W34" t="s">
        <v>1899</v>
      </c>
      <c r="X34" t="b">
        <v>0</v>
      </c>
      <c r="Y34" t="s">
        <v>1811</v>
      </c>
    </row>
    <row r="35" spans="1:25" ht="14.45" customHeight="1">
      <c r="A35">
        <v>49</v>
      </c>
      <c r="B35" t="s">
        <v>1894</v>
      </c>
      <c r="C35" t="s">
        <v>1895</v>
      </c>
      <c r="E35" s="7">
        <v>45923</v>
      </c>
      <c r="F35"/>
      <c r="G35">
        <f t="shared" si="0"/>
        <v>0</v>
      </c>
      <c r="J35" t="s">
        <v>1896</v>
      </c>
      <c r="K35" t="s">
        <v>1908</v>
      </c>
      <c r="M35" t="b">
        <v>0</v>
      </c>
      <c r="N35" s="7">
        <v>45923</v>
      </c>
      <c r="O35" t="s">
        <v>1898</v>
      </c>
      <c r="P35">
        <v>35.310824599999997</v>
      </c>
      <c r="Q35">
        <v>-120.66330000000001</v>
      </c>
      <c r="R35" t="s">
        <v>1808</v>
      </c>
      <c r="S35">
        <v>27520</v>
      </c>
      <c r="T35" t="s">
        <v>1809</v>
      </c>
      <c r="V35">
        <v>838</v>
      </c>
      <c r="W35" t="s">
        <v>1899</v>
      </c>
      <c r="X35" t="b">
        <v>0</v>
      </c>
      <c r="Y35" t="s">
        <v>1811</v>
      </c>
    </row>
    <row r="36" spans="1:25" ht="14.45" customHeight="1">
      <c r="A36">
        <v>50</v>
      </c>
      <c r="B36" t="s">
        <v>1894</v>
      </c>
      <c r="C36" t="s">
        <v>1895</v>
      </c>
      <c r="E36" s="7">
        <v>45923</v>
      </c>
      <c r="F36"/>
      <c r="G36">
        <f t="shared" si="0"/>
        <v>0</v>
      </c>
      <c r="J36" t="s">
        <v>1896</v>
      </c>
      <c r="K36" t="s">
        <v>1909</v>
      </c>
      <c r="M36" t="b">
        <v>0</v>
      </c>
      <c r="N36" s="7">
        <v>45923</v>
      </c>
      <c r="O36" t="s">
        <v>1898</v>
      </c>
      <c r="P36">
        <v>35.310942310000001</v>
      </c>
      <c r="Q36">
        <v>-120.6632153</v>
      </c>
      <c r="R36" t="s">
        <v>1808</v>
      </c>
      <c r="S36">
        <v>27519</v>
      </c>
      <c r="T36" t="s">
        <v>1809</v>
      </c>
      <c r="V36">
        <v>837</v>
      </c>
      <c r="W36" t="s">
        <v>1899</v>
      </c>
      <c r="X36" t="b">
        <v>0</v>
      </c>
      <c r="Y36" t="s">
        <v>1811</v>
      </c>
    </row>
    <row r="37" spans="1:25" ht="14.45" customHeight="1">
      <c r="A37">
        <v>51</v>
      </c>
      <c r="B37" t="s">
        <v>1894</v>
      </c>
      <c r="C37" t="s">
        <v>1895</v>
      </c>
      <c r="E37" s="7">
        <v>45923</v>
      </c>
      <c r="F37"/>
      <c r="G37">
        <f t="shared" si="0"/>
        <v>0</v>
      </c>
      <c r="J37" t="s">
        <v>1896</v>
      </c>
      <c r="K37" t="s">
        <v>1910</v>
      </c>
      <c r="M37" t="b">
        <v>0</v>
      </c>
      <c r="N37" s="7">
        <v>45923</v>
      </c>
      <c r="O37" t="s">
        <v>1898</v>
      </c>
      <c r="P37">
        <v>35.31078557</v>
      </c>
      <c r="Q37">
        <v>-120.6633326</v>
      </c>
      <c r="R37" t="s">
        <v>1808</v>
      </c>
      <c r="S37">
        <v>27518</v>
      </c>
      <c r="T37" t="s">
        <v>1809</v>
      </c>
      <c r="V37">
        <v>836</v>
      </c>
      <c r="W37" t="s">
        <v>1899</v>
      </c>
      <c r="X37" t="b">
        <v>0</v>
      </c>
      <c r="Y37" t="s">
        <v>1811</v>
      </c>
    </row>
    <row r="38" spans="1:25" ht="14.45" customHeight="1">
      <c r="A38">
        <v>52</v>
      </c>
      <c r="B38" t="s">
        <v>1894</v>
      </c>
      <c r="C38" t="s">
        <v>1895</v>
      </c>
      <c r="E38" s="7">
        <v>45923</v>
      </c>
      <c r="F38"/>
      <c r="G38">
        <f t="shared" si="0"/>
        <v>0</v>
      </c>
      <c r="J38" t="s">
        <v>1896</v>
      </c>
      <c r="K38" t="s">
        <v>1911</v>
      </c>
      <c r="M38" t="b">
        <v>0</v>
      </c>
      <c r="N38" s="7">
        <v>45923</v>
      </c>
      <c r="O38" t="s">
        <v>1898</v>
      </c>
      <c r="P38">
        <v>35.310482649999997</v>
      </c>
      <c r="Q38">
        <v>-120.6635946</v>
      </c>
      <c r="R38" t="s">
        <v>1808</v>
      </c>
      <c r="S38">
        <v>27517</v>
      </c>
      <c r="T38" t="s">
        <v>1809</v>
      </c>
      <c r="V38">
        <v>835</v>
      </c>
      <c r="W38" t="s">
        <v>1899</v>
      </c>
      <c r="X38" t="b">
        <v>0</v>
      </c>
      <c r="Y38" t="s">
        <v>1811</v>
      </c>
    </row>
    <row r="39" spans="1:25" ht="14.45" customHeight="1">
      <c r="A39">
        <v>53</v>
      </c>
      <c r="B39" t="s">
        <v>1894</v>
      </c>
      <c r="C39" t="s">
        <v>1895</v>
      </c>
      <c r="E39" s="7">
        <v>45923</v>
      </c>
      <c r="F39"/>
      <c r="G39">
        <f t="shared" si="0"/>
        <v>0</v>
      </c>
      <c r="J39" t="s">
        <v>1896</v>
      </c>
      <c r="K39" t="s">
        <v>1912</v>
      </c>
      <c r="M39" t="b">
        <v>0</v>
      </c>
      <c r="N39" s="7">
        <v>45923</v>
      </c>
      <c r="O39" t="s">
        <v>1898</v>
      </c>
      <c r="P39">
        <v>35.310600289999996</v>
      </c>
      <c r="Q39">
        <v>-120.6634809</v>
      </c>
      <c r="R39" t="s">
        <v>1808</v>
      </c>
      <c r="S39">
        <v>27516</v>
      </c>
      <c r="T39" t="s">
        <v>1809</v>
      </c>
      <c r="V39">
        <v>834</v>
      </c>
      <c r="W39" t="s">
        <v>1899</v>
      </c>
      <c r="X39" t="b">
        <v>0</v>
      </c>
      <c r="Y39" t="s">
        <v>1811</v>
      </c>
    </row>
    <row r="40" spans="1:25" ht="14.45" customHeight="1">
      <c r="A40">
        <v>54</v>
      </c>
      <c r="B40" t="s">
        <v>1894</v>
      </c>
      <c r="C40" t="s">
        <v>1895</v>
      </c>
      <c r="E40" s="7">
        <v>45923</v>
      </c>
      <c r="F40"/>
      <c r="G40">
        <f t="shared" si="0"/>
        <v>0</v>
      </c>
      <c r="J40" t="s">
        <v>1896</v>
      </c>
      <c r="K40" t="s">
        <v>1913</v>
      </c>
      <c r="M40" t="b">
        <v>0</v>
      </c>
      <c r="N40" s="7">
        <v>45923</v>
      </c>
      <c r="O40" t="s">
        <v>1898</v>
      </c>
      <c r="P40">
        <v>35.31074632</v>
      </c>
      <c r="Q40">
        <v>-120.6633642</v>
      </c>
      <c r="R40" t="s">
        <v>1808</v>
      </c>
      <c r="S40">
        <v>27515</v>
      </c>
      <c r="T40" t="s">
        <v>1809</v>
      </c>
      <c r="V40">
        <v>833</v>
      </c>
      <c r="W40" t="s">
        <v>1899</v>
      </c>
      <c r="X40" t="b">
        <v>0</v>
      </c>
      <c r="Y40" t="s">
        <v>1811</v>
      </c>
    </row>
    <row r="41" spans="1:25" ht="14.45" customHeight="1">
      <c r="A41">
        <v>55</v>
      </c>
      <c r="B41" t="s">
        <v>1894</v>
      </c>
      <c r="C41" t="s">
        <v>1895</v>
      </c>
      <c r="E41" s="7">
        <v>45923</v>
      </c>
      <c r="F41"/>
      <c r="G41">
        <f t="shared" si="0"/>
        <v>0</v>
      </c>
      <c r="J41" t="s">
        <v>1896</v>
      </c>
      <c r="K41" t="s">
        <v>1914</v>
      </c>
      <c r="M41" t="b">
        <v>0</v>
      </c>
      <c r="N41" s="7">
        <v>45923</v>
      </c>
      <c r="O41" t="s">
        <v>1898</v>
      </c>
      <c r="P41">
        <v>35.31084851</v>
      </c>
      <c r="Q41">
        <v>-120.6632853</v>
      </c>
      <c r="R41" t="s">
        <v>1808</v>
      </c>
      <c r="S41">
        <v>27514</v>
      </c>
      <c r="T41" t="s">
        <v>1809</v>
      </c>
      <c r="V41">
        <v>832</v>
      </c>
      <c r="W41" t="s">
        <v>1899</v>
      </c>
      <c r="X41" t="b">
        <v>0</v>
      </c>
      <c r="Y41" t="s">
        <v>1811</v>
      </c>
    </row>
    <row r="42" spans="1:25" ht="14.45" customHeight="1">
      <c r="A42">
        <v>56</v>
      </c>
      <c r="B42" t="s">
        <v>1894</v>
      </c>
      <c r="C42" t="s">
        <v>1895</v>
      </c>
      <c r="E42" s="7">
        <v>45923</v>
      </c>
      <c r="F42"/>
      <c r="G42">
        <f t="shared" si="0"/>
        <v>0</v>
      </c>
      <c r="J42" t="s">
        <v>1896</v>
      </c>
      <c r="K42" t="s">
        <v>1915</v>
      </c>
      <c r="M42" t="b">
        <v>0</v>
      </c>
      <c r="N42" s="7">
        <v>45923</v>
      </c>
      <c r="O42" t="s">
        <v>1898</v>
      </c>
      <c r="P42">
        <v>35.310974250000001</v>
      </c>
      <c r="Q42">
        <v>-120.6631852</v>
      </c>
      <c r="R42" t="s">
        <v>1808</v>
      </c>
      <c r="S42">
        <v>27513</v>
      </c>
      <c r="T42" t="s">
        <v>1809</v>
      </c>
      <c r="V42">
        <v>831</v>
      </c>
      <c r="W42" t="s">
        <v>1899</v>
      </c>
      <c r="X42" t="b">
        <v>0</v>
      </c>
      <c r="Y42" t="s">
        <v>1811</v>
      </c>
    </row>
    <row r="43" spans="1:25" ht="14.45" customHeight="1">
      <c r="A43">
        <v>57</v>
      </c>
      <c r="B43" t="s">
        <v>1894</v>
      </c>
      <c r="C43" t="s">
        <v>1895</v>
      </c>
      <c r="E43" s="7">
        <v>45923</v>
      </c>
      <c r="F43"/>
      <c r="G43">
        <f t="shared" si="0"/>
        <v>0</v>
      </c>
      <c r="J43" t="s">
        <v>1896</v>
      </c>
      <c r="K43" t="s">
        <v>1916</v>
      </c>
      <c r="M43" t="b">
        <v>0</v>
      </c>
      <c r="N43" s="7">
        <v>45923</v>
      </c>
      <c r="O43" t="s">
        <v>1898</v>
      </c>
      <c r="P43">
        <v>35.311028970000002</v>
      </c>
      <c r="Q43">
        <v>-120.6631375</v>
      </c>
      <c r="R43" t="s">
        <v>1808</v>
      </c>
      <c r="S43">
        <v>27512</v>
      </c>
      <c r="T43" t="s">
        <v>1809</v>
      </c>
      <c r="V43">
        <v>830</v>
      </c>
      <c r="W43" t="s">
        <v>1899</v>
      </c>
      <c r="X43" t="b">
        <v>0</v>
      </c>
      <c r="Y43" t="s">
        <v>1811</v>
      </c>
    </row>
    <row r="44" spans="1:25" ht="14.45" customHeight="1">
      <c r="A44">
        <v>58</v>
      </c>
      <c r="B44" t="s">
        <v>1894</v>
      </c>
      <c r="C44" t="s">
        <v>1895</v>
      </c>
      <c r="E44" s="7">
        <v>45923</v>
      </c>
      <c r="F44"/>
      <c r="G44">
        <f t="shared" si="0"/>
        <v>0</v>
      </c>
      <c r="J44" t="s">
        <v>1896</v>
      </c>
      <c r="K44" t="s">
        <v>1917</v>
      </c>
      <c r="M44" t="b">
        <v>0</v>
      </c>
      <c r="N44" s="7">
        <v>45923</v>
      </c>
      <c r="O44" t="s">
        <v>1898</v>
      </c>
      <c r="P44">
        <v>35.311041340000003</v>
      </c>
      <c r="Q44">
        <v>-120.6631076</v>
      </c>
      <c r="R44" t="s">
        <v>1808</v>
      </c>
      <c r="S44">
        <v>27511</v>
      </c>
      <c r="T44" t="s">
        <v>1809</v>
      </c>
      <c r="V44">
        <v>829</v>
      </c>
      <c r="W44" t="s">
        <v>1899</v>
      </c>
      <c r="X44" t="b">
        <v>0</v>
      </c>
      <c r="Y44" t="s">
        <v>1811</v>
      </c>
    </row>
    <row r="45" spans="1:25" ht="14.45" customHeight="1">
      <c r="A45">
        <v>59</v>
      </c>
      <c r="B45" t="s">
        <v>1894</v>
      </c>
      <c r="C45" t="s">
        <v>1895</v>
      </c>
      <c r="E45" s="7">
        <v>45923</v>
      </c>
      <c r="F45"/>
      <c r="G45">
        <f t="shared" si="0"/>
        <v>0</v>
      </c>
      <c r="J45" t="s">
        <v>1896</v>
      </c>
      <c r="K45" t="s">
        <v>1918</v>
      </c>
      <c r="M45" t="b">
        <v>0</v>
      </c>
      <c r="N45" s="7">
        <v>45923</v>
      </c>
      <c r="O45" t="s">
        <v>1898</v>
      </c>
      <c r="P45">
        <v>35.311005809999997</v>
      </c>
      <c r="Q45">
        <v>-120.6631501</v>
      </c>
      <c r="R45" t="s">
        <v>1808</v>
      </c>
      <c r="S45">
        <v>27509</v>
      </c>
      <c r="T45" t="s">
        <v>1809</v>
      </c>
      <c r="V45">
        <v>827</v>
      </c>
      <c r="W45" t="s">
        <v>1899</v>
      </c>
      <c r="X45" t="b">
        <v>0</v>
      </c>
      <c r="Y45" t="s">
        <v>1811</v>
      </c>
    </row>
    <row r="46" spans="1:25" ht="14.45" customHeight="1">
      <c r="A46">
        <v>60</v>
      </c>
      <c r="B46" t="s">
        <v>1894</v>
      </c>
      <c r="C46" t="s">
        <v>1895</v>
      </c>
      <c r="E46" s="7">
        <v>45923</v>
      </c>
      <c r="F46"/>
      <c r="G46">
        <f t="shared" si="0"/>
        <v>0</v>
      </c>
      <c r="J46" t="s">
        <v>1896</v>
      </c>
      <c r="K46" t="s">
        <v>1919</v>
      </c>
      <c r="M46" t="b">
        <v>0</v>
      </c>
      <c r="N46" s="7">
        <v>45923</v>
      </c>
      <c r="O46" t="s">
        <v>1898</v>
      </c>
      <c r="P46">
        <v>35.310896550000002</v>
      </c>
      <c r="Q46">
        <v>-120.66325999999999</v>
      </c>
      <c r="R46" t="s">
        <v>1808</v>
      </c>
      <c r="S46">
        <v>27508</v>
      </c>
      <c r="T46" t="s">
        <v>1809</v>
      </c>
      <c r="V46">
        <v>826</v>
      </c>
      <c r="W46" t="s">
        <v>1899</v>
      </c>
      <c r="X46" t="b">
        <v>0</v>
      </c>
      <c r="Y46" t="s">
        <v>1811</v>
      </c>
    </row>
    <row r="47" spans="1:25" ht="14.45" customHeight="1">
      <c r="A47">
        <v>61</v>
      </c>
      <c r="B47" t="s">
        <v>1894</v>
      </c>
      <c r="C47" t="s">
        <v>1895</v>
      </c>
      <c r="E47" s="7">
        <v>45923</v>
      </c>
      <c r="F47"/>
      <c r="G47">
        <f t="shared" si="0"/>
        <v>0</v>
      </c>
      <c r="J47" t="s">
        <v>1896</v>
      </c>
      <c r="K47" t="s">
        <v>1920</v>
      </c>
      <c r="M47" t="b">
        <v>0</v>
      </c>
      <c r="N47" s="7">
        <v>45923</v>
      </c>
      <c r="O47" t="s">
        <v>1898</v>
      </c>
      <c r="P47">
        <v>35.310687809999997</v>
      </c>
      <c r="Q47">
        <v>-120.6634016</v>
      </c>
      <c r="R47" t="s">
        <v>1808</v>
      </c>
      <c r="S47">
        <v>27507</v>
      </c>
      <c r="T47" t="s">
        <v>1809</v>
      </c>
      <c r="V47">
        <v>825</v>
      </c>
      <c r="W47" t="s">
        <v>1899</v>
      </c>
      <c r="X47" t="b">
        <v>0</v>
      </c>
      <c r="Y47" t="s">
        <v>1811</v>
      </c>
    </row>
    <row r="48" spans="1:25" ht="14.45" customHeight="1">
      <c r="A48">
        <v>62</v>
      </c>
      <c r="B48" t="s">
        <v>1894</v>
      </c>
      <c r="C48" t="s">
        <v>1895</v>
      </c>
      <c r="E48" s="7">
        <v>45923</v>
      </c>
      <c r="F48"/>
      <c r="G48">
        <f t="shared" si="0"/>
        <v>0</v>
      </c>
      <c r="J48" t="s">
        <v>1896</v>
      </c>
      <c r="K48" t="s">
        <v>1921</v>
      </c>
      <c r="M48" t="b">
        <v>0</v>
      </c>
      <c r="N48" s="7">
        <v>45923</v>
      </c>
      <c r="O48" t="s">
        <v>1898</v>
      </c>
      <c r="P48">
        <v>35.310880560000001</v>
      </c>
      <c r="Q48">
        <v>-120.6632731</v>
      </c>
      <c r="R48" t="s">
        <v>1808</v>
      </c>
      <c r="S48">
        <v>27506</v>
      </c>
      <c r="T48" t="s">
        <v>1809</v>
      </c>
      <c r="V48">
        <v>824</v>
      </c>
      <c r="W48" t="s">
        <v>1899</v>
      </c>
      <c r="X48" t="b">
        <v>0</v>
      </c>
      <c r="Y48" t="s">
        <v>1811</v>
      </c>
    </row>
    <row r="49" spans="1:25" ht="14.45" customHeight="1">
      <c r="A49">
        <v>63</v>
      </c>
      <c r="B49" t="s">
        <v>1894</v>
      </c>
      <c r="C49" t="s">
        <v>1895</v>
      </c>
      <c r="E49" s="7">
        <v>45923</v>
      </c>
      <c r="F49"/>
      <c r="G49">
        <f t="shared" si="0"/>
        <v>0</v>
      </c>
      <c r="J49" t="s">
        <v>1896</v>
      </c>
      <c r="K49" t="s">
        <v>1922</v>
      </c>
      <c r="M49" t="b">
        <v>0</v>
      </c>
      <c r="N49" s="7">
        <v>45923</v>
      </c>
      <c r="O49" t="s">
        <v>1898</v>
      </c>
      <c r="P49">
        <v>35.311035279999999</v>
      </c>
      <c r="Q49">
        <v>-120.6631589</v>
      </c>
      <c r="R49" t="s">
        <v>1808</v>
      </c>
      <c r="S49">
        <v>27505</v>
      </c>
      <c r="T49" t="s">
        <v>1809</v>
      </c>
      <c r="V49">
        <v>823</v>
      </c>
      <c r="W49" t="s">
        <v>1899</v>
      </c>
      <c r="X49" t="b">
        <v>0</v>
      </c>
      <c r="Y49" t="s">
        <v>1811</v>
      </c>
    </row>
    <row r="50" spans="1:25" ht="14.45" customHeight="1">
      <c r="A50">
        <v>64</v>
      </c>
      <c r="B50" t="s">
        <v>1894</v>
      </c>
      <c r="C50" t="s">
        <v>1895</v>
      </c>
      <c r="E50" s="7">
        <v>45923</v>
      </c>
      <c r="F50"/>
      <c r="G50">
        <f t="shared" si="0"/>
        <v>0</v>
      </c>
      <c r="J50" t="s">
        <v>1896</v>
      </c>
      <c r="K50" t="s">
        <v>1923</v>
      </c>
      <c r="M50" t="b">
        <v>0</v>
      </c>
      <c r="N50" s="7">
        <v>45923</v>
      </c>
      <c r="O50" t="s">
        <v>1898</v>
      </c>
      <c r="P50">
        <v>35.310804519999998</v>
      </c>
      <c r="Q50">
        <v>-120.66330689999999</v>
      </c>
      <c r="R50" t="s">
        <v>1808</v>
      </c>
      <c r="S50">
        <v>27503</v>
      </c>
      <c r="T50" t="s">
        <v>1809</v>
      </c>
      <c r="V50">
        <v>821</v>
      </c>
      <c r="W50" t="s">
        <v>1899</v>
      </c>
      <c r="X50" t="b">
        <v>0</v>
      </c>
      <c r="Y50" t="s">
        <v>1811</v>
      </c>
    </row>
    <row r="51" spans="1:25" ht="14.45" customHeight="1">
      <c r="A51">
        <v>65</v>
      </c>
      <c r="B51" t="s">
        <v>1894</v>
      </c>
      <c r="C51" t="s">
        <v>1895</v>
      </c>
      <c r="E51" s="7">
        <v>45923</v>
      </c>
      <c r="F51"/>
      <c r="G51">
        <f t="shared" si="0"/>
        <v>0</v>
      </c>
      <c r="J51" t="s">
        <v>1896</v>
      </c>
      <c r="K51" t="s">
        <v>1924</v>
      </c>
      <c r="M51" t="b">
        <v>0</v>
      </c>
      <c r="N51" s="7">
        <v>45923</v>
      </c>
      <c r="O51" t="s">
        <v>1898</v>
      </c>
      <c r="P51">
        <v>35.311045290000003</v>
      </c>
      <c r="Q51">
        <v>-120.6630936</v>
      </c>
      <c r="R51" t="s">
        <v>1808</v>
      </c>
      <c r="S51">
        <v>27501</v>
      </c>
      <c r="T51" t="s">
        <v>1809</v>
      </c>
      <c r="V51">
        <v>819</v>
      </c>
      <c r="W51" t="s">
        <v>1899</v>
      </c>
      <c r="X51" t="b">
        <v>0</v>
      </c>
      <c r="Y51" t="s">
        <v>1811</v>
      </c>
    </row>
    <row r="52" spans="1:25" ht="14.45" customHeight="1">
      <c r="A52">
        <v>66</v>
      </c>
      <c r="B52" t="s">
        <v>1894</v>
      </c>
      <c r="C52" t="s">
        <v>1895</v>
      </c>
      <c r="E52" s="7">
        <v>45923</v>
      </c>
      <c r="F52"/>
      <c r="G52">
        <f t="shared" si="0"/>
        <v>0</v>
      </c>
      <c r="J52" t="s">
        <v>1896</v>
      </c>
      <c r="K52" t="s">
        <v>1925</v>
      </c>
      <c r="M52" t="b">
        <v>0</v>
      </c>
      <c r="N52" s="7">
        <v>45923</v>
      </c>
      <c r="O52" t="s">
        <v>1898</v>
      </c>
      <c r="P52">
        <v>35.310863949999998</v>
      </c>
      <c r="Q52">
        <v>-120.6632614</v>
      </c>
      <c r="R52" t="s">
        <v>1808</v>
      </c>
      <c r="S52">
        <v>27500</v>
      </c>
      <c r="T52" t="s">
        <v>1809</v>
      </c>
      <c r="V52">
        <v>818</v>
      </c>
      <c r="W52" t="s">
        <v>1899</v>
      </c>
      <c r="X52" t="b">
        <v>0</v>
      </c>
      <c r="Y52" t="s">
        <v>1811</v>
      </c>
    </row>
    <row r="53" spans="1:25" ht="14.45" customHeight="1">
      <c r="A53">
        <v>67</v>
      </c>
      <c r="B53" t="s">
        <v>1894</v>
      </c>
      <c r="C53" t="s">
        <v>1895</v>
      </c>
      <c r="E53" s="7">
        <v>45923</v>
      </c>
      <c r="F53"/>
      <c r="G53">
        <f t="shared" si="0"/>
        <v>0</v>
      </c>
      <c r="J53" t="s">
        <v>1896</v>
      </c>
      <c r="K53" t="s">
        <v>1926</v>
      </c>
      <c r="M53" t="b">
        <v>0</v>
      </c>
      <c r="N53" s="7">
        <v>45923</v>
      </c>
      <c r="O53" t="s">
        <v>1898</v>
      </c>
      <c r="P53">
        <v>35.310717510000003</v>
      </c>
      <c r="Q53">
        <v>-120.66337710000001</v>
      </c>
      <c r="R53" t="s">
        <v>1808</v>
      </c>
      <c r="S53">
        <v>27499</v>
      </c>
      <c r="T53" t="s">
        <v>1809</v>
      </c>
      <c r="V53">
        <v>817</v>
      </c>
      <c r="W53" t="s">
        <v>1899</v>
      </c>
      <c r="X53" t="b">
        <v>0</v>
      </c>
      <c r="Y53" t="s">
        <v>1811</v>
      </c>
    </row>
    <row r="54" spans="1:25" ht="14.45" customHeight="1">
      <c r="A54">
        <v>68</v>
      </c>
      <c r="B54" t="s">
        <v>1894</v>
      </c>
      <c r="C54" t="s">
        <v>1895</v>
      </c>
      <c r="E54" s="7">
        <v>45923</v>
      </c>
      <c r="F54"/>
      <c r="G54">
        <f t="shared" si="0"/>
        <v>0</v>
      </c>
      <c r="J54" t="s">
        <v>1896</v>
      </c>
      <c r="K54" t="s">
        <v>1927</v>
      </c>
      <c r="M54" t="b">
        <v>0</v>
      </c>
      <c r="N54" s="7">
        <v>45923</v>
      </c>
      <c r="O54" t="s">
        <v>1898</v>
      </c>
      <c r="P54">
        <v>35.310458220000001</v>
      </c>
      <c r="Q54">
        <v>-120.66359629999999</v>
      </c>
      <c r="R54" t="s">
        <v>1808</v>
      </c>
      <c r="S54">
        <v>27498</v>
      </c>
      <c r="T54" t="s">
        <v>1809</v>
      </c>
      <c r="V54">
        <v>816</v>
      </c>
      <c r="W54" t="s">
        <v>1899</v>
      </c>
      <c r="X54" t="b">
        <v>0</v>
      </c>
      <c r="Y54" t="s">
        <v>1811</v>
      </c>
    </row>
    <row r="55" spans="1:25" ht="14.45" customHeight="1">
      <c r="A55">
        <v>69</v>
      </c>
      <c r="B55" t="s">
        <v>1894</v>
      </c>
      <c r="C55" t="s">
        <v>1895</v>
      </c>
      <c r="E55" s="7">
        <v>45923</v>
      </c>
      <c r="F55"/>
      <c r="G55">
        <f t="shared" si="0"/>
        <v>0</v>
      </c>
      <c r="J55" t="s">
        <v>1896</v>
      </c>
      <c r="K55" t="s">
        <v>1928</v>
      </c>
      <c r="M55" t="b">
        <v>0</v>
      </c>
      <c r="N55" s="7">
        <v>45923</v>
      </c>
      <c r="O55" t="s">
        <v>1898</v>
      </c>
      <c r="P55">
        <v>35.310515649999999</v>
      </c>
      <c r="Q55">
        <v>-120.6635605</v>
      </c>
      <c r="R55" t="s">
        <v>1808</v>
      </c>
      <c r="S55">
        <v>27497</v>
      </c>
      <c r="T55" t="s">
        <v>1809</v>
      </c>
      <c r="V55">
        <v>815</v>
      </c>
      <c r="W55" t="s">
        <v>1899</v>
      </c>
      <c r="X55" t="b">
        <v>0</v>
      </c>
      <c r="Y55" t="s">
        <v>1811</v>
      </c>
    </row>
    <row r="56" spans="1:25" ht="14.45" customHeight="1">
      <c r="A56">
        <v>70</v>
      </c>
      <c r="B56" t="s">
        <v>1894</v>
      </c>
      <c r="C56" t="s">
        <v>1895</v>
      </c>
      <c r="E56" s="7">
        <v>45923</v>
      </c>
      <c r="F56"/>
      <c r="G56">
        <f t="shared" si="0"/>
        <v>0</v>
      </c>
      <c r="J56" t="s">
        <v>1896</v>
      </c>
      <c r="K56" t="s">
        <v>1929</v>
      </c>
      <c r="M56" t="b">
        <v>0</v>
      </c>
      <c r="N56" s="7">
        <v>45923</v>
      </c>
      <c r="O56" t="s">
        <v>1898</v>
      </c>
      <c r="P56">
        <v>35.310631659999999</v>
      </c>
      <c r="Q56">
        <v>-120.6634708</v>
      </c>
      <c r="R56" t="s">
        <v>1808</v>
      </c>
      <c r="S56">
        <v>27495</v>
      </c>
      <c r="T56" t="s">
        <v>1809</v>
      </c>
      <c r="V56">
        <v>813</v>
      </c>
      <c r="W56" t="s">
        <v>1899</v>
      </c>
      <c r="X56" t="b">
        <v>0</v>
      </c>
      <c r="Y56" t="s">
        <v>1811</v>
      </c>
    </row>
    <row r="57" spans="1:25" ht="14.45" customHeight="1">
      <c r="A57">
        <v>71</v>
      </c>
      <c r="B57" t="s">
        <v>1894</v>
      </c>
      <c r="C57" t="s">
        <v>1895</v>
      </c>
      <c r="E57" s="7">
        <v>45923</v>
      </c>
      <c r="F57"/>
      <c r="G57">
        <f t="shared" si="0"/>
        <v>0</v>
      </c>
      <c r="J57" t="s">
        <v>1896</v>
      </c>
      <c r="K57" t="s">
        <v>1930</v>
      </c>
      <c r="M57" t="b">
        <v>0</v>
      </c>
      <c r="N57" s="7">
        <v>45923</v>
      </c>
      <c r="O57" t="s">
        <v>1898</v>
      </c>
      <c r="P57">
        <v>35.310592239999998</v>
      </c>
      <c r="Q57">
        <v>-120.6634876</v>
      </c>
      <c r="R57" t="s">
        <v>1808</v>
      </c>
      <c r="S57">
        <v>27494</v>
      </c>
      <c r="T57" t="s">
        <v>1809</v>
      </c>
      <c r="V57">
        <v>812</v>
      </c>
      <c r="W57" t="s">
        <v>1899</v>
      </c>
      <c r="X57" t="b">
        <v>0</v>
      </c>
      <c r="Y57" t="s">
        <v>1811</v>
      </c>
    </row>
    <row r="58" spans="1:25" ht="14.45" customHeight="1">
      <c r="A58">
        <v>72</v>
      </c>
      <c r="B58" t="s">
        <v>1894</v>
      </c>
      <c r="C58" t="s">
        <v>1895</v>
      </c>
      <c r="E58" s="7">
        <v>45923</v>
      </c>
      <c r="F58"/>
      <c r="G58">
        <f t="shared" si="0"/>
        <v>0</v>
      </c>
      <c r="J58" t="s">
        <v>1896</v>
      </c>
      <c r="K58" t="s">
        <v>1931</v>
      </c>
      <c r="M58" t="b">
        <v>0</v>
      </c>
      <c r="N58" s="7">
        <v>45923</v>
      </c>
      <c r="O58" t="s">
        <v>1898</v>
      </c>
      <c r="P58">
        <v>35.310570460000001</v>
      </c>
      <c r="Q58">
        <v>-120.6635155</v>
      </c>
      <c r="R58" t="s">
        <v>1808</v>
      </c>
      <c r="S58">
        <v>27493</v>
      </c>
      <c r="T58" t="s">
        <v>1809</v>
      </c>
      <c r="V58">
        <v>811</v>
      </c>
      <c r="W58" t="s">
        <v>1899</v>
      </c>
      <c r="X58" t="b">
        <v>0</v>
      </c>
      <c r="Y58" t="s">
        <v>1811</v>
      </c>
    </row>
    <row r="59" spans="1:25" ht="14.45" customHeight="1">
      <c r="A59">
        <v>73</v>
      </c>
      <c r="B59" t="s">
        <v>1894</v>
      </c>
      <c r="C59" t="s">
        <v>1895</v>
      </c>
      <c r="E59" s="7">
        <v>45923</v>
      </c>
      <c r="F59"/>
      <c r="G59">
        <f t="shared" si="0"/>
        <v>0</v>
      </c>
      <c r="J59" t="s">
        <v>1896</v>
      </c>
      <c r="K59" t="s">
        <v>1932</v>
      </c>
      <c r="M59" t="b">
        <v>0</v>
      </c>
      <c r="N59" s="7">
        <v>45923</v>
      </c>
      <c r="O59" t="s">
        <v>1898</v>
      </c>
      <c r="P59">
        <v>35.310546469999998</v>
      </c>
      <c r="Q59">
        <v>-120.6635414</v>
      </c>
      <c r="R59" t="s">
        <v>1808</v>
      </c>
      <c r="S59">
        <v>27492</v>
      </c>
      <c r="T59" t="s">
        <v>1809</v>
      </c>
      <c r="V59">
        <v>810</v>
      </c>
      <c r="W59" t="s">
        <v>1899</v>
      </c>
      <c r="X59" t="b">
        <v>0</v>
      </c>
      <c r="Y59" t="s">
        <v>1811</v>
      </c>
    </row>
    <row r="60" spans="1:25" ht="14.45" customHeight="1">
      <c r="A60">
        <v>74</v>
      </c>
      <c r="B60" t="s">
        <v>1894</v>
      </c>
      <c r="C60" t="s">
        <v>1895</v>
      </c>
      <c r="E60" s="7">
        <v>45923</v>
      </c>
      <c r="F60"/>
      <c r="G60">
        <f t="shared" si="0"/>
        <v>0</v>
      </c>
      <c r="J60" t="s">
        <v>1896</v>
      </c>
      <c r="K60" t="s">
        <v>1933</v>
      </c>
      <c r="M60" t="b">
        <v>0</v>
      </c>
      <c r="N60" s="7">
        <v>45923</v>
      </c>
      <c r="O60" t="s">
        <v>1898</v>
      </c>
      <c r="P60">
        <v>35.310494050000003</v>
      </c>
      <c r="Q60">
        <v>-120.6635891</v>
      </c>
      <c r="R60" t="s">
        <v>1808</v>
      </c>
      <c r="S60">
        <v>27491</v>
      </c>
      <c r="T60" t="s">
        <v>1809</v>
      </c>
      <c r="V60">
        <v>809</v>
      </c>
      <c r="W60" t="s">
        <v>1899</v>
      </c>
      <c r="X60" t="b">
        <v>0</v>
      </c>
      <c r="Y60" t="s">
        <v>1811</v>
      </c>
    </row>
    <row r="61" spans="1:25" ht="14.45" customHeight="1">
      <c r="A61">
        <v>75</v>
      </c>
      <c r="B61" t="s">
        <v>1894</v>
      </c>
      <c r="C61" t="s">
        <v>1895</v>
      </c>
      <c r="E61" s="7">
        <v>45923</v>
      </c>
      <c r="F61"/>
      <c r="G61">
        <f t="shared" si="0"/>
        <v>0</v>
      </c>
      <c r="J61" t="s">
        <v>1896</v>
      </c>
      <c r="K61" t="s">
        <v>1934</v>
      </c>
      <c r="M61" t="b">
        <v>0</v>
      </c>
      <c r="N61" s="7">
        <v>45923</v>
      </c>
      <c r="O61" t="s">
        <v>1898</v>
      </c>
      <c r="P61">
        <v>35.310533800000002</v>
      </c>
      <c r="Q61">
        <v>-120.6635613</v>
      </c>
      <c r="R61" t="s">
        <v>1808</v>
      </c>
      <c r="S61">
        <v>27489</v>
      </c>
      <c r="T61" t="s">
        <v>1809</v>
      </c>
      <c r="V61">
        <v>807</v>
      </c>
      <c r="W61" t="s">
        <v>1899</v>
      </c>
      <c r="X61" t="b">
        <v>0</v>
      </c>
      <c r="Y61" t="s">
        <v>1811</v>
      </c>
    </row>
    <row r="62" spans="1:25" ht="14.45" customHeight="1">
      <c r="A62">
        <v>76</v>
      </c>
      <c r="B62" t="s">
        <v>1894</v>
      </c>
      <c r="C62" t="s">
        <v>1895</v>
      </c>
      <c r="E62" s="7">
        <v>45923</v>
      </c>
      <c r="F62"/>
      <c r="G62">
        <f t="shared" si="0"/>
        <v>0</v>
      </c>
      <c r="J62" t="s">
        <v>1896</v>
      </c>
      <c r="K62" t="s">
        <v>1935</v>
      </c>
      <c r="M62" t="b">
        <v>0</v>
      </c>
      <c r="N62" s="7">
        <v>45923</v>
      </c>
      <c r="O62" t="s">
        <v>1898</v>
      </c>
      <c r="P62">
        <v>35.311022620000003</v>
      </c>
      <c r="Q62">
        <v>-120.6631268</v>
      </c>
      <c r="R62" t="s">
        <v>1808</v>
      </c>
      <c r="S62">
        <v>27487</v>
      </c>
      <c r="T62" t="s">
        <v>1809</v>
      </c>
      <c r="V62">
        <v>805</v>
      </c>
      <c r="W62" t="s">
        <v>1899</v>
      </c>
      <c r="X62" t="b">
        <v>0</v>
      </c>
      <c r="Y62" t="s">
        <v>1811</v>
      </c>
    </row>
    <row r="63" spans="1:25" ht="14.45" customHeight="1">
      <c r="A63">
        <v>77</v>
      </c>
      <c r="B63" t="s">
        <v>1894</v>
      </c>
      <c r="C63" t="s">
        <v>1895</v>
      </c>
      <c r="E63" s="7">
        <v>45923</v>
      </c>
      <c r="F63"/>
      <c r="G63">
        <f t="shared" si="0"/>
        <v>0</v>
      </c>
      <c r="J63" t="s">
        <v>1896</v>
      </c>
      <c r="K63" t="s">
        <v>1936</v>
      </c>
      <c r="M63" t="b">
        <v>0</v>
      </c>
      <c r="N63" s="7">
        <v>45923</v>
      </c>
      <c r="O63" t="s">
        <v>1898</v>
      </c>
      <c r="P63">
        <v>35.310946059999999</v>
      </c>
      <c r="Q63">
        <v>-120.6632025</v>
      </c>
      <c r="R63" t="s">
        <v>1808</v>
      </c>
      <c r="S63">
        <v>27486</v>
      </c>
      <c r="T63" t="s">
        <v>1809</v>
      </c>
      <c r="V63">
        <v>804</v>
      </c>
      <c r="W63" t="s">
        <v>1899</v>
      </c>
      <c r="X63" t="b">
        <v>0</v>
      </c>
      <c r="Y63" t="s">
        <v>1811</v>
      </c>
    </row>
    <row r="64" spans="1:25" ht="14.45" customHeight="1">
      <c r="A64">
        <v>78</v>
      </c>
      <c r="B64" t="s">
        <v>1894</v>
      </c>
      <c r="C64" t="s">
        <v>1895</v>
      </c>
      <c r="E64" s="7">
        <v>45923</v>
      </c>
      <c r="F64"/>
      <c r="G64">
        <f t="shared" si="0"/>
        <v>0</v>
      </c>
      <c r="J64" t="s">
        <v>1896</v>
      </c>
      <c r="K64" t="s">
        <v>1937</v>
      </c>
      <c r="M64" t="b">
        <v>0</v>
      </c>
      <c r="N64" s="7">
        <v>45923</v>
      </c>
      <c r="O64" t="s">
        <v>1898</v>
      </c>
      <c r="P64">
        <v>35.311039880000003</v>
      </c>
      <c r="Q64">
        <v>-120.6631149</v>
      </c>
      <c r="R64" t="s">
        <v>1808</v>
      </c>
      <c r="S64">
        <v>27485</v>
      </c>
      <c r="T64" t="s">
        <v>1809</v>
      </c>
      <c r="V64">
        <v>803</v>
      </c>
      <c r="W64" t="s">
        <v>1899</v>
      </c>
      <c r="X64" t="b">
        <v>0</v>
      </c>
      <c r="Y64" t="s">
        <v>1811</v>
      </c>
    </row>
    <row r="65" spans="1:26" ht="14.45" customHeight="1">
      <c r="A65">
        <v>79</v>
      </c>
      <c r="B65" t="s">
        <v>1894</v>
      </c>
      <c r="C65" t="s">
        <v>1895</v>
      </c>
      <c r="E65" s="7">
        <v>45923</v>
      </c>
      <c r="F65"/>
      <c r="G65">
        <f t="shared" si="0"/>
        <v>0</v>
      </c>
      <c r="J65" t="s">
        <v>1896</v>
      </c>
      <c r="K65" t="s">
        <v>1938</v>
      </c>
      <c r="M65" t="b">
        <v>0</v>
      </c>
      <c r="N65" s="7">
        <v>45923</v>
      </c>
      <c r="O65" t="s">
        <v>1898</v>
      </c>
      <c r="P65">
        <v>35.311018339999997</v>
      </c>
      <c r="Q65">
        <v>-120.66314869999999</v>
      </c>
      <c r="R65" t="s">
        <v>1808</v>
      </c>
      <c r="S65">
        <v>27483</v>
      </c>
      <c r="T65" t="s">
        <v>1809</v>
      </c>
      <c r="V65">
        <v>801</v>
      </c>
      <c r="W65" t="s">
        <v>1899</v>
      </c>
      <c r="X65" t="b">
        <v>0</v>
      </c>
      <c r="Y65" t="s">
        <v>1811</v>
      </c>
    </row>
    <row r="66" spans="1:26" ht="14.45" customHeight="1">
      <c r="A66">
        <v>80</v>
      </c>
      <c r="B66" t="s">
        <v>1894</v>
      </c>
      <c r="C66" t="s">
        <v>1895</v>
      </c>
      <c r="E66" s="7">
        <v>45923</v>
      </c>
      <c r="F66"/>
      <c r="G66">
        <f t="shared" si="0"/>
        <v>0</v>
      </c>
      <c r="J66" t="s">
        <v>1896</v>
      </c>
      <c r="K66" t="s">
        <v>1939</v>
      </c>
      <c r="M66" t="b">
        <v>0</v>
      </c>
      <c r="N66" s="7">
        <v>45923</v>
      </c>
      <c r="O66" t="s">
        <v>1898</v>
      </c>
      <c r="P66">
        <v>35.310729379999998</v>
      </c>
      <c r="Q66">
        <v>-120.66336459999999</v>
      </c>
      <c r="R66" t="s">
        <v>1808</v>
      </c>
      <c r="S66">
        <v>27481</v>
      </c>
      <c r="T66" t="s">
        <v>1809</v>
      </c>
      <c r="V66">
        <v>799</v>
      </c>
      <c r="W66" t="s">
        <v>1899</v>
      </c>
      <c r="X66" t="b">
        <v>0</v>
      </c>
      <c r="Y66" t="s">
        <v>1811</v>
      </c>
    </row>
    <row r="67" spans="1:26" ht="14.45" customHeight="1">
      <c r="A67">
        <v>81</v>
      </c>
      <c r="B67" t="s">
        <v>1894</v>
      </c>
      <c r="C67" t="s">
        <v>1895</v>
      </c>
      <c r="E67" s="7">
        <v>45923</v>
      </c>
      <c r="F67"/>
      <c r="G67">
        <f t="shared" ref="G67:G130" si="1">F67*0.0254</f>
        <v>0</v>
      </c>
      <c r="J67" t="s">
        <v>1896</v>
      </c>
      <c r="K67" t="s">
        <v>1940</v>
      </c>
      <c r="M67" t="b">
        <v>0</v>
      </c>
      <c r="N67" s="7">
        <v>45923</v>
      </c>
      <c r="O67" t="s">
        <v>1898</v>
      </c>
      <c r="P67">
        <v>35.310609919999997</v>
      </c>
      <c r="Q67">
        <v>-120.6634754</v>
      </c>
      <c r="R67" t="s">
        <v>1808</v>
      </c>
      <c r="S67">
        <v>27480</v>
      </c>
      <c r="T67" t="s">
        <v>1809</v>
      </c>
      <c r="V67">
        <v>798</v>
      </c>
      <c r="W67" t="s">
        <v>1899</v>
      </c>
      <c r="X67" t="b">
        <v>0</v>
      </c>
      <c r="Y67" t="s">
        <v>1811</v>
      </c>
    </row>
    <row r="68" spans="1:26" ht="14.45" customHeight="1">
      <c r="A68">
        <v>82</v>
      </c>
      <c r="B68" t="s">
        <v>1894</v>
      </c>
      <c r="C68" t="s">
        <v>1895</v>
      </c>
      <c r="E68" s="7">
        <v>45923</v>
      </c>
      <c r="F68"/>
      <c r="G68">
        <f t="shared" si="1"/>
        <v>0</v>
      </c>
      <c r="J68" t="s">
        <v>1896</v>
      </c>
      <c r="K68" t="s">
        <v>1941</v>
      </c>
      <c r="M68" t="b">
        <v>0</v>
      </c>
      <c r="N68" s="7">
        <v>45923</v>
      </c>
      <c r="O68" t="s">
        <v>1898</v>
      </c>
      <c r="P68">
        <v>35.310560899999999</v>
      </c>
      <c r="Q68">
        <v>-120.6635354</v>
      </c>
      <c r="R68" t="s">
        <v>1808</v>
      </c>
      <c r="S68">
        <v>27478</v>
      </c>
      <c r="T68" t="s">
        <v>1809</v>
      </c>
      <c r="V68">
        <v>796</v>
      </c>
      <c r="W68" t="s">
        <v>1899</v>
      </c>
      <c r="X68" t="b">
        <v>0</v>
      </c>
      <c r="Y68" t="s">
        <v>1811</v>
      </c>
    </row>
    <row r="69" spans="1:26" ht="14.45" customHeight="1">
      <c r="A69">
        <v>83</v>
      </c>
      <c r="B69" t="s">
        <v>1894</v>
      </c>
      <c r="C69" t="s">
        <v>1895</v>
      </c>
      <c r="E69" s="7">
        <v>45923</v>
      </c>
      <c r="F69"/>
      <c r="G69">
        <f t="shared" si="1"/>
        <v>0</v>
      </c>
      <c r="J69" t="s">
        <v>1896</v>
      </c>
      <c r="K69" t="s">
        <v>1942</v>
      </c>
      <c r="M69" t="b">
        <v>0</v>
      </c>
      <c r="N69" s="7">
        <v>45923</v>
      </c>
      <c r="O69" t="s">
        <v>1898</v>
      </c>
      <c r="P69">
        <v>35.310507629999996</v>
      </c>
      <c r="Q69">
        <v>-120.6635775</v>
      </c>
      <c r="R69" t="s">
        <v>1808</v>
      </c>
      <c r="S69">
        <v>27476</v>
      </c>
      <c r="T69" t="s">
        <v>1809</v>
      </c>
      <c r="V69">
        <v>794</v>
      </c>
      <c r="W69" t="s">
        <v>1899</v>
      </c>
      <c r="X69" t="b">
        <v>0</v>
      </c>
      <c r="Y69" t="s">
        <v>1811</v>
      </c>
    </row>
    <row r="70" spans="1:26" ht="14.45" customHeight="1">
      <c r="A70">
        <v>84</v>
      </c>
      <c r="B70" t="s">
        <v>1894</v>
      </c>
      <c r="C70" t="s">
        <v>1895</v>
      </c>
      <c r="E70" s="7">
        <v>45923</v>
      </c>
      <c r="F70"/>
      <c r="G70">
        <f t="shared" si="1"/>
        <v>0</v>
      </c>
      <c r="J70" t="s">
        <v>1896</v>
      </c>
      <c r="K70" t="s">
        <v>1943</v>
      </c>
      <c r="M70" t="b">
        <v>0</v>
      </c>
      <c r="N70" s="7">
        <v>45923</v>
      </c>
      <c r="O70" t="s">
        <v>1898</v>
      </c>
      <c r="P70">
        <v>35.31047264</v>
      </c>
      <c r="Q70">
        <v>-120.663595</v>
      </c>
      <c r="R70" t="s">
        <v>1808</v>
      </c>
      <c r="S70">
        <v>27474</v>
      </c>
      <c r="T70" t="s">
        <v>1809</v>
      </c>
      <c r="V70">
        <v>793</v>
      </c>
      <c r="W70" t="s">
        <v>1899</v>
      </c>
      <c r="X70" t="b">
        <v>0</v>
      </c>
      <c r="Y70" t="s">
        <v>1811</v>
      </c>
    </row>
    <row r="71" spans="1:26" ht="14.45" customHeight="1">
      <c r="A71">
        <v>85</v>
      </c>
      <c r="B71" t="s">
        <v>1894</v>
      </c>
      <c r="C71" t="s">
        <v>1895</v>
      </c>
      <c r="E71" s="7">
        <v>45923</v>
      </c>
      <c r="F71"/>
      <c r="G71">
        <f t="shared" si="1"/>
        <v>0</v>
      </c>
      <c r="J71" t="s">
        <v>1896</v>
      </c>
      <c r="K71" t="s">
        <v>1944</v>
      </c>
      <c r="M71" t="b">
        <v>0</v>
      </c>
      <c r="N71" s="7">
        <v>45923</v>
      </c>
      <c r="O71" t="s">
        <v>1898</v>
      </c>
      <c r="P71">
        <v>35.31093396</v>
      </c>
      <c r="Q71">
        <v>-120.6632194</v>
      </c>
      <c r="R71" t="s">
        <v>1808</v>
      </c>
      <c r="S71">
        <v>27472</v>
      </c>
      <c r="T71" t="s">
        <v>1809</v>
      </c>
      <c r="V71">
        <v>791</v>
      </c>
      <c r="W71" t="s">
        <v>1899</v>
      </c>
      <c r="X71" t="b">
        <v>0</v>
      </c>
      <c r="Y71" t="s">
        <v>1811</v>
      </c>
    </row>
    <row r="72" spans="1:26" ht="14.45" customHeight="1">
      <c r="A72">
        <v>86</v>
      </c>
      <c r="B72" t="s">
        <v>1894</v>
      </c>
      <c r="C72" t="s">
        <v>1895</v>
      </c>
      <c r="E72" s="7">
        <v>45923</v>
      </c>
      <c r="F72"/>
      <c r="G72">
        <f t="shared" si="1"/>
        <v>0</v>
      </c>
      <c r="J72" t="s">
        <v>1896</v>
      </c>
      <c r="K72" t="s">
        <v>1945</v>
      </c>
      <c r="M72" t="b">
        <v>0</v>
      </c>
      <c r="N72" s="7">
        <v>45923</v>
      </c>
      <c r="O72" t="s">
        <v>1898</v>
      </c>
      <c r="P72">
        <v>35.310962410000002</v>
      </c>
      <c r="Q72">
        <v>-120.6631952</v>
      </c>
      <c r="R72" t="s">
        <v>1808</v>
      </c>
      <c r="S72">
        <v>27471</v>
      </c>
      <c r="T72" t="s">
        <v>1809</v>
      </c>
      <c r="V72">
        <v>790</v>
      </c>
      <c r="W72" t="s">
        <v>1899</v>
      </c>
      <c r="X72" t="b">
        <v>0</v>
      </c>
      <c r="Y72" t="s">
        <v>1811</v>
      </c>
    </row>
    <row r="73" spans="1:26" ht="14.45" customHeight="1">
      <c r="A73">
        <v>87</v>
      </c>
      <c r="B73" t="s">
        <v>1894</v>
      </c>
      <c r="C73" t="s">
        <v>1895</v>
      </c>
      <c r="D73" t="s">
        <v>1946</v>
      </c>
      <c r="E73" s="7">
        <v>45923</v>
      </c>
      <c r="F73"/>
      <c r="G73">
        <f t="shared" si="1"/>
        <v>0</v>
      </c>
      <c r="J73" t="s">
        <v>1896</v>
      </c>
      <c r="K73" t="s">
        <v>1947</v>
      </c>
      <c r="M73" t="b">
        <v>0</v>
      </c>
      <c r="N73" s="7">
        <v>45923</v>
      </c>
      <c r="O73" t="s">
        <v>1898</v>
      </c>
      <c r="P73">
        <v>35.311000069999999</v>
      </c>
      <c r="Q73">
        <v>-120.6631666</v>
      </c>
      <c r="R73" t="s">
        <v>1808</v>
      </c>
      <c r="S73">
        <v>27468</v>
      </c>
      <c r="T73" t="s">
        <v>1809</v>
      </c>
      <c r="V73">
        <v>787</v>
      </c>
      <c r="W73" t="s">
        <v>1899</v>
      </c>
      <c r="X73" t="b">
        <v>0</v>
      </c>
      <c r="Y73" t="s">
        <v>1811</v>
      </c>
    </row>
    <row r="74" spans="1:26" ht="14.45" customHeight="1">
      <c r="A74">
        <v>88</v>
      </c>
      <c r="B74" t="s">
        <v>1894</v>
      </c>
      <c r="C74" t="s">
        <v>1895</v>
      </c>
      <c r="D74" t="s">
        <v>1946</v>
      </c>
      <c r="E74" s="7">
        <v>45923</v>
      </c>
      <c r="F74"/>
      <c r="G74">
        <f t="shared" si="1"/>
        <v>0</v>
      </c>
      <c r="J74" t="s">
        <v>1896</v>
      </c>
      <c r="K74" t="s">
        <v>1948</v>
      </c>
      <c r="M74" t="b">
        <v>0</v>
      </c>
      <c r="N74" s="7">
        <v>45923</v>
      </c>
      <c r="O74" t="s">
        <v>1898</v>
      </c>
      <c r="P74">
        <v>35.311037020000001</v>
      </c>
      <c r="Q74">
        <v>-120.6631398</v>
      </c>
      <c r="R74" t="s">
        <v>1808</v>
      </c>
      <c r="S74">
        <v>27467</v>
      </c>
      <c r="T74" t="s">
        <v>1809</v>
      </c>
      <c r="V74">
        <v>786</v>
      </c>
      <c r="W74" t="s">
        <v>1899</v>
      </c>
      <c r="X74" t="b">
        <v>0</v>
      </c>
      <c r="Y74" t="s">
        <v>1811</v>
      </c>
      <c r="Z74" s="6"/>
    </row>
    <row r="75" spans="1:26" ht="14.45" customHeight="1">
      <c r="A75">
        <v>89</v>
      </c>
      <c r="B75" t="s">
        <v>1894</v>
      </c>
      <c r="C75" t="s">
        <v>1895</v>
      </c>
      <c r="D75" t="s">
        <v>1946</v>
      </c>
      <c r="E75" s="7">
        <v>45923</v>
      </c>
      <c r="F75"/>
      <c r="G75">
        <f t="shared" si="1"/>
        <v>0</v>
      </c>
      <c r="J75" t="s">
        <v>1896</v>
      </c>
      <c r="K75" t="s">
        <v>1949</v>
      </c>
      <c r="M75" t="b">
        <v>0</v>
      </c>
      <c r="N75" s="7">
        <v>45923</v>
      </c>
      <c r="O75" t="s">
        <v>1898</v>
      </c>
      <c r="P75">
        <v>35.310902630000001</v>
      </c>
      <c r="Q75">
        <v>-120.66324179999999</v>
      </c>
      <c r="R75" t="s">
        <v>1808</v>
      </c>
      <c r="S75">
        <v>27466</v>
      </c>
      <c r="T75" t="s">
        <v>1809</v>
      </c>
      <c r="V75">
        <v>785</v>
      </c>
      <c r="W75" t="s">
        <v>1899</v>
      </c>
      <c r="X75" t="b">
        <v>0</v>
      </c>
      <c r="Y75" t="s">
        <v>1811</v>
      </c>
      <c r="Z75" s="6"/>
    </row>
    <row r="76" spans="1:26" ht="14.45" customHeight="1">
      <c r="A76">
        <v>90</v>
      </c>
      <c r="B76" t="s">
        <v>1894</v>
      </c>
      <c r="C76" t="s">
        <v>1895</v>
      </c>
      <c r="D76" t="s">
        <v>1946</v>
      </c>
      <c r="E76" s="7">
        <v>45923</v>
      </c>
      <c r="F76"/>
      <c r="G76">
        <f t="shared" si="1"/>
        <v>0</v>
      </c>
      <c r="J76" t="s">
        <v>1896</v>
      </c>
      <c r="K76" t="s">
        <v>1950</v>
      </c>
      <c r="M76" t="b">
        <v>0</v>
      </c>
      <c r="N76" s="7">
        <v>45923</v>
      </c>
      <c r="O76" t="s">
        <v>1898</v>
      </c>
      <c r="P76">
        <v>35.31077114</v>
      </c>
      <c r="Q76">
        <v>-120.6633396</v>
      </c>
      <c r="R76" t="s">
        <v>1808</v>
      </c>
      <c r="S76">
        <v>27465</v>
      </c>
      <c r="T76" t="s">
        <v>1809</v>
      </c>
      <c r="V76">
        <v>784</v>
      </c>
      <c r="W76" t="s">
        <v>1899</v>
      </c>
      <c r="X76" t="b">
        <v>0</v>
      </c>
      <c r="Y76" t="s">
        <v>1811</v>
      </c>
      <c r="Z76" s="6"/>
    </row>
    <row r="77" spans="1:26" ht="14.45" customHeight="1">
      <c r="A77">
        <v>91</v>
      </c>
      <c r="B77" t="s">
        <v>1894</v>
      </c>
      <c r="C77" t="s">
        <v>1895</v>
      </c>
      <c r="D77" t="s">
        <v>1946</v>
      </c>
      <c r="E77" s="7">
        <v>45923</v>
      </c>
      <c r="F77"/>
      <c r="G77">
        <f t="shared" si="1"/>
        <v>0</v>
      </c>
      <c r="J77" t="s">
        <v>1896</v>
      </c>
      <c r="K77" t="s">
        <v>1951</v>
      </c>
      <c r="M77" t="b">
        <v>0</v>
      </c>
      <c r="N77" s="7">
        <v>45923</v>
      </c>
      <c r="O77" t="s">
        <v>1898</v>
      </c>
      <c r="P77">
        <v>35.3108796</v>
      </c>
      <c r="Q77">
        <v>-120.66325430000001</v>
      </c>
      <c r="R77" t="s">
        <v>1808</v>
      </c>
      <c r="S77">
        <v>27464</v>
      </c>
      <c r="T77" t="s">
        <v>1809</v>
      </c>
      <c r="V77">
        <v>783</v>
      </c>
      <c r="W77" t="s">
        <v>1899</v>
      </c>
      <c r="X77" t="b">
        <v>0</v>
      </c>
      <c r="Y77" t="s">
        <v>1811</v>
      </c>
      <c r="Z77" s="6"/>
    </row>
    <row r="78" spans="1:26" ht="14.45" customHeight="1">
      <c r="A78">
        <v>92</v>
      </c>
      <c r="B78" t="s">
        <v>1894</v>
      </c>
      <c r="C78" t="s">
        <v>1895</v>
      </c>
      <c r="D78" t="s">
        <v>1946</v>
      </c>
      <c r="E78" s="7">
        <v>45923</v>
      </c>
      <c r="F78"/>
      <c r="G78">
        <f t="shared" si="1"/>
        <v>0</v>
      </c>
      <c r="J78" t="s">
        <v>1896</v>
      </c>
      <c r="K78" t="s">
        <v>1952</v>
      </c>
      <c r="M78" t="b">
        <v>0</v>
      </c>
      <c r="N78" s="7">
        <v>45923</v>
      </c>
      <c r="O78" t="s">
        <v>1898</v>
      </c>
      <c r="P78">
        <v>35.310840249999998</v>
      </c>
      <c r="Q78">
        <v>-120.6632931</v>
      </c>
      <c r="R78" t="s">
        <v>1808</v>
      </c>
      <c r="S78">
        <v>27463</v>
      </c>
      <c r="T78" t="s">
        <v>1809</v>
      </c>
      <c r="V78">
        <v>782</v>
      </c>
      <c r="W78" t="s">
        <v>1899</v>
      </c>
      <c r="X78" t="b">
        <v>0</v>
      </c>
      <c r="Y78" t="s">
        <v>1811</v>
      </c>
      <c r="Z78" s="6"/>
    </row>
    <row r="79" spans="1:26" ht="14.45" customHeight="1">
      <c r="A79">
        <v>93</v>
      </c>
      <c r="B79" t="s">
        <v>1894</v>
      </c>
      <c r="C79" t="s">
        <v>1895</v>
      </c>
      <c r="D79" t="s">
        <v>1946</v>
      </c>
      <c r="E79" s="7">
        <v>45923</v>
      </c>
      <c r="F79"/>
      <c r="G79">
        <f t="shared" si="1"/>
        <v>0</v>
      </c>
      <c r="J79" t="s">
        <v>1896</v>
      </c>
      <c r="K79" t="s">
        <v>1953</v>
      </c>
      <c r="M79" t="b">
        <v>0</v>
      </c>
      <c r="N79" s="7">
        <v>45923</v>
      </c>
      <c r="O79" t="s">
        <v>1898</v>
      </c>
      <c r="P79">
        <v>35.31086054</v>
      </c>
      <c r="Q79">
        <v>-120.6632798</v>
      </c>
      <c r="R79" t="s">
        <v>1808</v>
      </c>
      <c r="S79">
        <v>27462</v>
      </c>
      <c r="T79" t="s">
        <v>1809</v>
      </c>
      <c r="V79">
        <v>781</v>
      </c>
      <c r="W79" t="s">
        <v>1899</v>
      </c>
      <c r="X79" t="b">
        <v>0</v>
      </c>
      <c r="Y79" t="s">
        <v>1811</v>
      </c>
      <c r="Z79" s="6"/>
    </row>
    <row r="80" spans="1:26" ht="14.45" customHeight="1">
      <c r="A80">
        <v>94</v>
      </c>
      <c r="B80" t="s">
        <v>1894</v>
      </c>
      <c r="C80" t="s">
        <v>1895</v>
      </c>
      <c r="D80" t="s">
        <v>1946</v>
      </c>
      <c r="E80" s="7">
        <v>45923</v>
      </c>
      <c r="F80"/>
      <c r="G80">
        <f t="shared" si="1"/>
        <v>0</v>
      </c>
      <c r="J80" t="s">
        <v>1896</v>
      </c>
      <c r="K80" t="s">
        <v>1954</v>
      </c>
      <c r="M80" t="b">
        <v>0</v>
      </c>
      <c r="N80" s="7">
        <v>45923</v>
      </c>
      <c r="O80" t="s">
        <v>1898</v>
      </c>
      <c r="P80">
        <v>35.310819080000002</v>
      </c>
      <c r="Q80">
        <v>-120.663302</v>
      </c>
      <c r="R80" t="s">
        <v>1808</v>
      </c>
      <c r="S80">
        <v>27461</v>
      </c>
      <c r="T80" t="s">
        <v>1809</v>
      </c>
      <c r="V80">
        <v>780</v>
      </c>
      <c r="W80" t="s">
        <v>1899</v>
      </c>
      <c r="X80" t="b">
        <v>0</v>
      </c>
      <c r="Y80" t="s">
        <v>1811</v>
      </c>
      <c r="Z80" s="6"/>
    </row>
    <row r="81" spans="1:26" ht="14.45" customHeight="1">
      <c r="A81">
        <v>95</v>
      </c>
      <c r="B81" t="s">
        <v>1894</v>
      </c>
      <c r="C81" t="s">
        <v>1895</v>
      </c>
      <c r="D81" t="s">
        <v>1946</v>
      </c>
      <c r="E81" s="7">
        <v>45923</v>
      </c>
      <c r="F81"/>
      <c r="G81">
        <f t="shared" si="1"/>
        <v>0</v>
      </c>
      <c r="J81" t="s">
        <v>1896</v>
      </c>
      <c r="K81" t="s">
        <v>1955</v>
      </c>
      <c r="M81" t="b">
        <v>0</v>
      </c>
      <c r="N81" s="7">
        <v>45923</v>
      </c>
      <c r="O81" t="s">
        <v>1898</v>
      </c>
      <c r="P81">
        <v>35.310791279999997</v>
      </c>
      <c r="Q81">
        <v>-120.66332199999999</v>
      </c>
      <c r="R81" t="s">
        <v>1808</v>
      </c>
      <c r="S81">
        <v>27458</v>
      </c>
      <c r="T81" t="s">
        <v>1809</v>
      </c>
      <c r="V81">
        <v>777</v>
      </c>
      <c r="W81" t="s">
        <v>1899</v>
      </c>
      <c r="X81" t="b">
        <v>0</v>
      </c>
      <c r="Y81" t="s">
        <v>1811</v>
      </c>
      <c r="Z81" s="667"/>
    </row>
    <row r="82" spans="1:26" ht="14.45" customHeight="1">
      <c r="A82">
        <v>96</v>
      </c>
      <c r="B82" t="s">
        <v>1894</v>
      </c>
      <c r="C82" t="s">
        <v>1895</v>
      </c>
      <c r="D82" t="s">
        <v>1946</v>
      </c>
      <c r="E82" s="7">
        <v>45923</v>
      </c>
      <c r="F82"/>
      <c r="G82">
        <f t="shared" si="1"/>
        <v>0</v>
      </c>
      <c r="J82" t="s">
        <v>1896</v>
      </c>
      <c r="K82" t="s">
        <v>1956</v>
      </c>
      <c r="M82" t="b">
        <v>0</v>
      </c>
      <c r="N82" s="7">
        <v>45923</v>
      </c>
      <c r="O82" t="s">
        <v>1898</v>
      </c>
      <c r="P82">
        <v>35.310753839999997</v>
      </c>
      <c r="Q82">
        <v>-120.6633527</v>
      </c>
      <c r="R82" t="s">
        <v>1808</v>
      </c>
      <c r="S82">
        <v>27457</v>
      </c>
      <c r="T82" t="s">
        <v>1809</v>
      </c>
      <c r="V82">
        <v>776</v>
      </c>
      <c r="W82" t="s">
        <v>1899</v>
      </c>
      <c r="X82" t="b">
        <v>0</v>
      </c>
      <c r="Y82" t="s">
        <v>1811</v>
      </c>
      <c r="Z82" s="667"/>
    </row>
    <row r="83" spans="1:26" ht="14.45" customHeight="1">
      <c r="A83">
        <v>103</v>
      </c>
      <c r="B83" t="s">
        <v>1957</v>
      </c>
      <c r="C83" t="s">
        <v>1958</v>
      </c>
      <c r="D83" t="s">
        <v>1826</v>
      </c>
      <c r="E83" s="7">
        <v>45923</v>
      </c>
      <c r="F83">
        <v>29</v>
      </c>
      <c r="G83">
        <f t="shared" si="1"/>
        <v>0.73659999999999992</v>
      </c>
      <c r="H83" t="s">
        <v>1866</v>
      </c>
      <c r="J83" t="s">
        <v>1825</v>
      </c>
      <c r="K83" t="s">
        <v>1959</v>
      </c>
      <c r="M83" t="b">
        <v>0</v>
      </c>
      <c r="N83" s="7">
        <v>45923</v>
      </c>
      <c r="O83" t="s">
        <v>1960</v>
      </c>
      <c r="P83">
        <v>35.310759189999999</v>
      </c>
      <c r="Q83">
        <v>-120.6629326</v>
      </c>
      <c r="R83" t="s">
        <v>1808</v>
      </c>
      <c r="S83">
        <v>27537</v>
      </c>
      <c r="T83" t="s">
        <v>1809</v>
      </c>
      <c r="V83">
        <v>851</v>
      </c>
      <c r="W83" t="s">
        <v>1848</v>
      </c>
      <c r="X83" t="b">
        <v>0</v>
      </c>
      <c r="Y83" t="s">
        <v>1811</v>
      </c>
      <c r="Z83" s="6"/>
    </row>
    <row r="84" spans="1:26" ht="14.45" customHeight="1">
      <c r="A84">
        <v>580</v>
      </c>
      <c r="E84" s="7">
        <v>45923</v>
      </c>
      <c r="F84"/>
      <c r="G84">
        <f t="shared" si="1"/>
        <v>0</v>
      </c>
      <c r="K84" t="s">
        <v>1961</v>
      </c>
      <c r="M84" t="b">
        <v>0</v>
      </c>
      <c r="N84" s="7">
        <v>45923</v>
      </c>
      <c r="P84">
        <v>35.31073138</v>
      </c>
      <c r="Q84">
        <v>-120.66324229999999</v>
      </c>
      <c r="R84" t="s">
        <v>1808</v>
      </c>
      <c r="S84">
        <v>27469</v>
      </c>
      <c r="T84" t="s">
        <v>1809</v>
      </c>
      <c r="V84">
        <v>788</v>
      </c>
      <c r="W84" t="s">
        <v>1845</v>
      </c>
      <c r="X84" t="b">
        <v>0</v>
      </c>
      <c r="Y84" t="s">
        <v>1811</v>
      </c>
      <c r="Z84" s="6"/>
    </row>
    <row r="85" spans="1:26" ht="14.45" customHeight="1">
      <c r="A85">
        <v>145</v>
      </c>
      <c r="B85" t="s">
        <v>1962</v>
      </c>
      <c r="C85" t="s">
        <v>1963</v>
      </c>
      <c r="E85" s="7">
        <v>45923</v>
      </c>
      <c r="F85">
        <v>6</v>
      </c>
      <c r="G85">
        <f t="shared" si="1"/>
        <v>0.15239999999999998</v>
      </c>
      <c r="H85" t="s">
        <v>1804</v>
      </c>
      <c r="I85" t="s">
        <v>1964</v>
      </c>
      <c r="J85" t="s">
        <v>1965</v>
      </c>
      <c r="K85" t="s">
        <v>1966</v>
      </c>
      <c r="M85" t="b">
        <v>1</v>
      </c>
      <c r="N85" s="7">
        <v>45923</v>
      </c>
      <c r="O85" t="s">
        <v>1967</v>
      </c>
      <c r="P85">
        <v>35.310321729999998</v>
      </c>
      <c r="Q85">
        <v>-120.6631253</v>
      </c>
      <c r="R85" t="s">
        <v>1808</v>
      </c>
      <c r="S85">
        <v>27444</v>
      </c>
      <c r="T85" t="s">
        <v>1809</v>
      </c>
      <c r="V85">
        <v>766</v>
      </c>
      <c r="W85" t="s">
        <v>1830</v>
      </c>
      <c r="X85" t="b">
        <v>0</v>
      </c>
      <c r="Y85" t="s">
        <v>1968</v>
      </c>
      <c r="Z85" s="6"/>
    </row>
    <row r="86" spans="1:26" ht="14.45" customHeight="1">
      <c r="A86">
        <v>152</v>
      </c>
      <c r="B86" t="s">
        <v>1969</v>
      </c>
      <c r="C86" t="s">
        <v>1970</v>
      </c>
      <c r="D86" t="s">
        <v>1826</v>
      </c>
      <c r="E86" s="7">
        <v>45923</v>
      </c>
      <c r="F86">
        <v>5</v>
      </c>
      <c r="G86">
        <f t="shared" si="1"/>
        <v>0.127</v>
      </c>
      <c r="H86" t="s">
        <v>1814</v>
      </c>
      <c r="I86" t="s">
        <v>1971</v>
      </c>
      <c r="J86" t="s">
        <v>1972</v>
      </c>
      <c r="K86" t="s">
        <v>1973</v>
      </c>
      <c r="M86" t="b">
        <v>1</v>
      </c>
      <c r="N86" s="7">
        <v>45923</v>
      </c>
      <c r="O86" t="s">
        <v>1187</v>
      </c>
      <c r="P86">
        <v>35.31031359</v>
      </c>
      <c r="Q86">
        <v>-120.6631782</v>
      </c>
      <c r="R86" t="s">
        <v>1808</v>
      </c>
      <c r="S86">
        <v>27448</v>
      </c>
      <c r="T86" t="s">
        <v>1809</v>
      </c>
      <c r="U86" t="s">
        <v>1974</v>
      </c>
      <c r="V86">
        <v>769</v>
      </c>
      <c r="W86" t="s">
        <v>1830</v>
      </c>
      <c r="X86" t="b">
        <v>0</v>
      </c>
      <c r="Y86" t="s">
        <v>1968</v>
      </c>
      <c r="Z86" s="6"/>
    </row>
    <row r="87" spans="1:26" ht="14.45" customHeight="1">
      <c r="A87">
        <v>410</v>
      </c>
      <c r="B87" t="s">
        <v>1975</v>
      </c>
      <c r="C87" t="s">
        <v>1976</v>
      </c>
      <c r="D87" t="s">
        <v>1826</v>
      </c>
      <c r="E87" s="7">
        <v>45923</v>
      </c>
      <c r="F87">
        <v>2</v>
      </c>
      <c r="G87">
        <f t="shared" si="1"/>
        <v>5.0799999999999998E-2</v>
      </c>
      <c r="H87" t="s">
        <v>1838</v>
      </c>
      <c r="I87" t="s">
        <v>1971</v>
      </c>
      <c r="J87" t="s">
        <v>1977</v>
      </c>
      <c r="K87" t="s">
        <v>1978</v>
      </c>
      <c r="M87" t="b">
        <v>1</v>
      </c>
      <c r="N87" s="7">
        <v>45923</v>
      </c>
      <c r="O87" t="s">
        <v>1979</v>
      </c>
      <c r="P87">
        <v>35.310295170000003</v>
      </c>
      <c r="Q87">
        <v>-120.6632283</v>
      </c>
      <c r="R87" t="s">
        <v>1808</v>
      </c>
      <c r="S87">
        <v>27455</v>
      </c>
      <c r="T87" t="s">
        <v>1809</v>
      </c>
      <c r="V87">
        <v>775</v>
      </c>
      <c r="W87" t="s">
        <v>1830</v>
      </c>
      <c r="X87" t="b">
        <v>0</v>
      </c>
      <c r="Y87" t="s">
        <v>1968</v>
      </c>
      <c r="Z87" s="6"/>
    </row>
    <row r="88" spans="1:26" ht="14.45" customHeight="1">
      <c r="A88">
        <v>275</v>
      </c>
      <c r="B88" t="s">
        <v>1980</v>
      </c>
      <c r="C88" t="s">
        <v>1981</v>
      </c>
      <c r="D88" t="s">
        <v>1826</v>
      </c>
      <c r="E88" s="7">
        <v>45923</v>
      </c>
      <c r="F88">
        <v>5</v>
      </c>
      <c r="G88">
        <f t="shared" si="1"/>
        <v>0.127</v>
      </c>
      <c r="H88" t="s">
        <v>1814</v>
      </c>
      <c r="I88" t="s">
        <v>1982</v>
      </c>
      <c r="J88" t="s">
        <v>1983</v>
      </c>
      <c r="K88" t="s">
        <v>1984</v>
      </c>
      <c r="M88" t="b">
        <v>1</v>
      </c>
      <c r="N88" s="7">
        <v>45923</v>
      </c>
      <c r="O88" t="s">
        <v>1985</v>
      </c>
      <c r="P88">
        <v>35.310235929999997</v>
      </c>
      <c r="Q88">
        <v>-120.66343310000001</v>
      </c>
      <c r="R88" t="s">
        <v>1808</v>
      </c>
      <c r="S88">
        <v>27446</v>
      </c>
      <c r="T88" t="s">
        <v>1809</v>
      </c>
      <c r="V88">
        <v>768</v>
      </c>
      <c r="W88" t="s">
        <v>1899</v>
      </c>
      <c r="X88" t="b">
        <v>0</v>
      </c>
      <c r="Y88" t="s">
        <v>1968</v>
      </c>
      <c r="Z88" s="667"/>
    </row>
    <row r="89" spans="1:26" ht="14.45" customHeight="1">
      <c r="A89">
        <v>238</v>
      </c>
      <c r="B89" t="s">
        <v>1879</v>
      </c>
      <c r="C89" t="s">
        <v>1880</v>
      </c>
      <c r="E89" s="7">
        <v>45923</v>
      </c>
      <c r="F89">
        <v>9</v>
      </c>
      <c r="G89">
        <f t="shared" si="1"/>
        <v>0.2286</v>
      </c>
      <c r="H89" t="s">
        <v>1804</v>
      </c>
      <c r="I89" t="s">
        <v>1882</v>
      </c>
      <c r="J89" t="s">
        <v>1883</v>
      </c>
      <c r="K89" t="s">
        <v>1986</v>
      </c>
      <c r="M89" t="b">
        <v>1</v>
      </c>
      <c r="N89" s="7">
        <v>45923</v>
      </c>
      <c r="O89" t="s">
        <v>1399</v>
      </c>
      <c r="P89">
        <v>35.310405780000004</v>
      </c>
      <c r="Q89">
        <v>-120.6632719</v>
      </c>
      <c r="R89" t="s">
        <v>1808</v>
      </c>
      <c r="S89">
        <v>27470</v>
      </c>
      <c r="T89" t="s">
        <v>1809</v>
      </c>
      <c r="V89">
        <v>789</v>
      </c>
      <c r="W89" t="s">
        <v>1848</v>
      </c>
      <c r="X89" t="b">
        <v>0</v>
      </c>
      <c r="Y89" t="s">
        <v>1968</v>
      </c>
      <c r="Z89" s="667"/>
    </row>
    <row r="90" spans="1:26" ht="14.45" customHeight="1">
      <c r="A90">
        <v>342</v>
      </c>
      <c r="B90" t="s">
        <v>1987</v>
      </c>
      <c r="C90" t="s">
        <v>1988</v>
      </c>
      <c r="D90" t="s">
        <v>1989</v>
      </c>
      <c r="E90" s="7">
        <v>45923</v>
      </c>
      <c r="F90">
        <v>1</v>
      </c>
      <c r="G90">
        <f t="shared" si="1"/>
        <v>2.5399999999999999E-2</v>
      </c>
      <c r="H90" t="s">
        <v>1838</v>
      </c>
      <c r="I90" t="s">
        <v>1990</v>
      </c>
      <c r="J90" t="s">
        <v>1991</v>
      </c>
      <c r="K90" t="s">
        <v>1992</v>
      </c>
      <c r="M90" t="b">
        <v>1</v>
      </c>
      <c r="N90" s="7">
        <v>45923</v>
      </c>
      <c r="O90" t="s">
        <v>1993</v>
      </c>
      <c r="P90">
        <v>35.310323439999998</v>
      </c>
      <c r="Q90">
        <v>-120.6633302</v>
      </c>
      <c r="R90" t="s">
        <v>1808</v>
      </c>
      <c r="S90">
        <v>27460</v>
      </c>
      <c r="T90" t="s">
        <v>1809</v>
      </c>
      <c r="U90" t="s">
        <v>1994</v>
      </c>
      <c r="V90">
        <v>779</v>
      </c>
      <c r="W90" t="s">
        <v>1830</v>
      </c>
      <c r="X90" t="b">
        <v>0</v>
      </c>
      <c r="Y90" t="s">
        <v>1968</v>
      </c>
      <c r="Z90" s="6"/>
    </row>
    <row r="91" spans="1:26" ht="14.45" customHeight="1">
      <c r="A91">
        <v>503</v>
      </c>
      <c r="B91" t="s">
        <v>1995</v>
      </c>
      <c r="C91" t="s">
        <v>1996</v>
      </c>
      <c r="D91" t="s">
        <v>1826</v>
      </c>
      <c r="E91" s="7">
        <v>45923</v>
      </c>
      <c r="F91">
        <v>0</v>
      </c>
      <c r="G91">
        <f t="shared" si="1"/>
        <v>0</v>
      </c>
      <c r="H91" t="s">
        <v>1838</v>
      </c>
      <c r="J91" t="s">
        <v>1997</v>
      </c>
      <c r="K91" t="s">
        <v>1998</v>
      </c>
      <c r="M91" t="b">
        <v>0</v>
      </c>
      <c r="N91" s="7">
        <v>45923</v>
      </c>
      <c r="O91" t="s">
        <v>1999</v>
      </c>
      <c r="P91">
        <v>35.310345839999997</v>
      </c>
      <c r="Q91">
        <v>-120.66318579999999</v>
      </c>
      <c r="R91" t="s">
        <v>1808</v>
      </c>
      <c r="S91">
        <v>27510</v>
      </c>
      <c r="T91" t="s">
        <v>1809</v>
      </c>
      <c r="V91">
        <v>828</v>
      </c>
      <c r="W91" t="s">
        <v>1830</v>
      </c>
      <c r="X91" t="b">
        <v>0</v>
      </c>
      <c r="Y91" t="s">
        <v>1968</v>
      </c>
      <c r="Z91" s="6"/>
    </row>
    <row r="92" spans="1:26" ht="14.45" customHeight="1">
      <c r="A92">
        <v>576</v>
      </c>
      <c r="E92" s="7">
        <v>45923</v>
      </c>
      <c r="F92">
        <v>17</v>
      </c>
      <c r="G92">
        <f t="shared" si="1"/>
        <v>0.43179999999999996</v>
      </c>
      <c r="H92" t="s">
        <v>1855</v>
      </c>
      <c r="K92" t="s">
        <v>2000</v>
      </c>
      <c r="M92" t="b">
        <v>0</v>
      </c>
      <c r="N92" s="7">
        <v>45923</v>
      </c>
      <c r="P92">
        <v>35.310404679999998</v>
      </c>
      <c r="Q92">
        <v>-120.6632706</v>
      </c>
      <c r="R92" t="s">
        <v>1808</v>
      </c>
      <c r="S92">
        <v>27473</v>
      </c>
      <c r="T92" t="s">
        <v>1809</v>
      </c>
      <c r="V92">
        <v>792</v>
      </c>
      <c r="W92" t="s">
        <v>1848</v>
      </c>
      <c r="X92" t="b">
        <v>0</v>
      </c>
      <c r="Y92" t="s">
        <v>1968</v>
      </c>
      <c r="Z92" s="667"/>
    </row>
    <row r="93" spans="1:26" ht="14.45" customHeight="1">
      <c r="A93">
        <v>300</v>
      </c>
      <c r="B93" t="s">
        <v>2001</v>
      </c>
      <c r="C93" t="s">
        <v>2002</v>
      </c>
      <c r="D93" t="s">
        <v>2003</v>
      </c>
      <c r="E93" s="7">
        <v>45923</v>
      </c>
      <c r="F93">
        <v>7</v>
      </c>
      <c r="G93">
        <f t="shared" si="1"/>
        <v>0.17779999999999999</v>
      </c>
      <c r="H93" t="s">
        <v>1804</v>
      </c>
      <c r="I93" t="s">
        <v>2004</v>
      </c>
      <c r="J93" t="s">
        <v>2005</v>
      </c>
      <c r="K93" t="s">
        <v>2006</v>
      </c>
      <c r="M93" t="b">
        <v>1</v>
      </c>
      <c r="N93" s="7">
        <v>45923</v>
      </c>
      <c r="O93" t="s">
        <v>2007</v>
      </c>
      <c r="P93">
        <v>35.310054890000004</v>
      </c>
      <c r="Q93">
        <v>-120.6631967</v>
      </c>
      <c r="R93" t="s">
        <v>1808</v>
      </c>
      <c r="S93">
        <v>27442</v>
      </c>
      <c r="T93" t="s">
        <v>1809</v>
      </c>
      <c r="V93">
        <v>764</v>
      </c>
      <c r="W93" t="s">
        <v>1870</v>
      </c>
      <c r="X93" t="b">
        <v>0</v>
      </c>
      <c r="Y93" t="s">
        <v>2008</v>
      </c>
      <c r="Z93" s="667"/>
    </row>
    <row r="94" spans="1:26" ht="14.45" customHeight="1">
      <c r="A94">
        <v>228</v>
      </c>
      <c r="B94" t="s">
        <v>2009</v>
      </c>
      <c r="C94" t="s">
        <v>2010</v>
      </c>
      <c r="D94" t="s">
        <v>1946</v>
      </c>
      <c r="E94" s="7">
        <v>45923</v>
      </c>
      <c r="F94">
        <v>25</v>
      </c>
      <c r="G94">
        <f t="shared" si="1"/>
        <v>0.63500000000000001</v>
      </c>
      <c r="H94" t="s">
        <v>1866</v>
      </c>
      <c r="I94" t="s">
        <v>1805</v>
      </c>
      <c r="J94" t="s">
        <v>2011</v>
      </c>
      <c r="K94" t="s">
        <v>2012</v>
      </c>
      <c r="M94" t="b">
        <v>1</v>
      </c>
      <c r="N94" s="7">
        <v>45923</v>
      </c>
      <c r="O94" t="s">
        <v>2013</v>
      </c>
      <c r="P94">
        <v>35.309864529999999</v>
      </c>
      <c r="Q94">
        <v>-120.66330979999999</v>
      </c>
      <c r="R94" t="s">
        <v>1808</v>
      </c>
      <c r="S94">
        <v>27445</v>
      </c>
      <c r="T94" t="s">
        <v>1809</v>
      </c>
      <c r="V94">
        <v>767</v>
      </c>
      <c r="W94" t="s">
        <v>1848</v>
      </c>
      <c r="X94" t="b">
        <v>0</v>
      </c>
      <c r="Y94" t="s">
        <v>2008</v>
      </c>
      <c r="Z94" s="667"/>
    </row>
    <row r="95" spans="1:26" ht="14.45" customHeight="1">
      <c r="A95">
        <v>347</v>
      </c>
      <c r="B95" t="s">
        <v>1987</v>
      </c>
      <c r="C95" t="s">
        <v>1988</v>
      </c>
      <c r="D95" t="s">
        <v>2014</v>
      </c>
      <c r="E95" s="7">
        <v>45923</v>
      </c>
      <c r="F95"/>
      <c r="G95">
        <f t="shared" si="1"/>
        <v>0</v>
      </c>
      <c r="I95" t="s">
        <v>1990</v>
      </c>
      <c r="J95" t="s">
        <v>1991</v>
      </c>
      <c r="K95" t="s">
        <v>2015</v>
      </c>
      <c r="M95" t="b">
        <v>0</v>
      </c>
      <c r="N95" s="7">
        <v>45923</v>
      </c>
      <c r="O95" t="s">
        <v>1993</v>
      </c>
      <c r="P95">
        <v>35.30987219</v>
      </c>
      <c r="Q95">
        <v>-120.663236</v>
      </c>
      <c r="R95" t="s">
        <v>1808</v>
      </c>
      <c r="S95">
        <v>27430</v>
      </c>
      <c r="T95" t="s">
        <v>1809</v>
      </c>
      <c r="V95">
        <v>752</v>
      </c>
      <c r="W95" t="s">
        <v>1848</v>
      </c>
      <c r="X95" t="b">
        <v>0</v>
      </c>
      <c r="Y95" t="s">
        <v>2008</v>
      </c>
      <c r="Z95" s="6"/>
    </row>
    <row r="96" spans="1:26" ht="14.45" customHeight="1">
      <c r="A96">
        <v>567</v>
      </c>
      <c r="B96" t="s">
        <v>2016</v>
      </c>
      <c r="C96" t="s">
        <v>2017</v>
      </c>
      <c r="D96" t="s">
        <v>1826</v>
      </c>
      <c r="E96" s="7">
        <v>45923</v>
      </c>
      <c r="F96">
        <v>2</v>
      </c>
      <c r="G96">
        <f t="shared" si="1"/>
        <v>5.0799999999999998E-2</v>
      </c>
      <c r="H96" t="s">
        <v>1838</v>
      </c>
      <c r="J96" t="s">
        <v>2018</v>
      </c>
      <c r="K96" t="s">
        <v>2019</v>
      </c>
      <c r="M96" t="b">
        <v>1</v>
      </c>
      <c r="N96" s="7">
        <v>45923</v>
      </c>
      <c r="O96" t="s">
        <v>2020</v>
      </c>
      <c r="P96">
        <v>35.30992475</v>
      </c>
      <c r="Q96">
        <v>-120.6631015</v>
      </c>
      <c r="R96" t="s">
        <v>1808</v>
      </c>
      <c r="S96">
        <v>27428</v>
      </c>
      <c r="T96" t="s">
        <v>1809</v>
      </c>
      <c r="V96">
        <v>750</v>
      </c>
      <c r="W96" t="s">
        <v>1830</v>
      </c>
      <c r="X96" t="b">
        <v>0</v>
      </c>
      <c r="Y96" t="s">
        <v>2008</v>
      </c>
      <c r="Z96" s="667"/>
    </row>
    <row r="97" spans="1:26" ht="14.45" customHeight="1">
      <c r="A97">
        <v>568</v>
      </c>
      <c r="B97" t="s">
        <v>2016</v>
      </c>
      <c r="C97" t="s">
        <v>2017</v>
      </c>
      <c r="D97" t="s">
        <v>1826</v>
      </c>
      <c r="E97" s="7">
        <v>45923</v>
      </c>
      <c r="F97">
        <v>3</v>
      </c>
      <c r="G97">
        <f t="shared" si="1"/>
        <v>7.619999999999999E-2</v>
      </c>
      <c r="H97" t="s">
        <v>1814</v>
      </c>
      <c r="J97" t="s">
        <v>2018</v>
      </c>
      <c r="K97" t="s">
        <v>2021</v>
      </c>
      <c r="M97" t="b">
        <v>1</v>
      </c>
      <c r="N97" s="7">
        <v>45923</v>
      </c>
      <c r="O97" t="s">
        <v>2020</v>
      </c>
      <c r="P97">
        <v>35.309916399999999</v>
      </c>
      <c r="Q97">
        <v>-120.6631342</v>
      </c>
      <c r="R97" t="s">
        <v>1808</v>
      </c>
      <c r="S97">
        <v>27429</v>
      </c>
      <c r="T97" t="s">
        <v>1809</v>
      </c>
      <c r="V97">
        <v>751</v>
      </c>
      <c r="W97" t="s">
        <v>1830</v>
      </c>
      <c r="X97" t="b">
        <v>0</v>
      </c>
      <c r="Y97" t="s">
        <v>2008</v>
      </c>
      <c r="Z97" s="667"/>
    </row>
    <row r="98" spans="1:26" ht="14.45" customHeight="1">
      <c r="A98">
        <v>569</v>
      </c>
      <c r="B98" t="s">
        <v>2016</v>
      </c>
      <c r="C98" t="s">
        <v>2017</v>
      </c>
      <c r="D98" t="s">
        <v>1826</v>
      </c>
      <c r="E98" s="7">
        <v>45923</v>
      </c>
      <c r="F98">
        <v>3</v>
      </c>
      <c r="G98">
        <f t="shared" si="1"/>
        <v>7.619999999999999E-2</v>
      </c>
      <c r="H98" t="s">
        <v>1814</v>
      </c>
      <c r="J98" t="s">
        <v>2018</v>
      </c>
      <c r="K98" t="s">
        <v>2022</v>
      </c>
      <c r="M98" t="b">
        <v>1</v>
      </c>
      <c r="N98" s="7">
        <v>45923</v>
      </c>
      <c r="O98" t="s">
        <v>2020</v>
      </c>
      <c r="P98">
        <v>35.309918979999999</v>
      </c>
      <c r="Q98">
        <v>-120.66306609999999</v>
      </c>
      <c r="R98" t="s">
        <v>1808</v>
      </c>
      <c r="S98">
        <v>27426</v>
      </c>
      <c r="T98" t="s">
        <v>1809</v>
      </c>
      <c r="V98">
        <v>748</v>
      </c>
      <c r="W98" t="s">
        <v>1830</v>
      </c>
      <c r="X98" t="b">
        <v>0</v>
      </c>
      <c r="Y98" t="s">
        <v>2008</v>
      </c>
      <c r="Z98" s="667"/>
    </row>
    <row r="99" spans="1:26" ht="14.45" customHeight="1">
      <c r="A99">
        <v>570</v>
      </c>
      <c r="B99" t="s">
        <v>2016</v>
      </c>
      <c r="C99" t="s">
        <v>2017</v>
      </c>
      <c r="D99" t="s">
        <v>1826</v>
      </c>
      <c r="E99" s="7">
        <v>45923</v>
      </c>
      <c r="F99">
        <v>3</v>
      </c>
      <c r="G99">
        <f t="shared" si="1"/>
        <v>7.619999999999999E-2</v>
      </c>
      <c r="H99" t="s">
        <v>1814</v>
      </c>
      <c r="J99" t="s">
        <v>2018</v>
      </c>
      <c r="K99" t="s">
        <v>2023</v>
      </c>
      <c r="M99" t="b">
        <v>1</v>
      </c>
      <c r="N99" s="7">
        <v>45923</v>
      </c>
      <c r="O99" t="s">
        <v>2020</v>
      </c>
      <c r="P99">
        <v>35.309915070000002</v>
      </c>
      <c r="Q99">
        <v>-120.663017</v>
      </c>
      <c r="R99" t="s">
        <v>1808</v>
      </c>
      <c r="S99">
        <v>27425</v>
      </c>
      <c r="T99" t="s">
        <v>1809</v>
      </c>
      <c r="V99">
        <v>747</v>
      </c>
      <c r="W99" t="s">
        <v>1830</v>
      </c>
      <c r="X99" t="b">
        <v>0</v>
      </c>
      <c r="Y99" t="s">
        <v>2008</v>
      </c>
      <c r="Z99" s="667"/>
    </row>
    <row r="100" spans="1:26" ht="14.45" customHeight="1">
      <c r="A100">
        <v>581</v>
      </c>
      <c r="E100" s="7">
        <v>45923</v>
      </c>
      <c r="F100"/>
      <c r="G100">
        <f t="shared" si="1"/>
        <v>0</v>
      </c>
      <c r="K100" t="s">
        <v>2024</v>
      </c>
      <c r="M100" t="b">
        <v>0</v>
      </c>
      <c r="N100" s="7">
        <v>45923</v>
      </c>
      <c r="P100">
        <v>35.310051350000002</v>
      </c>
      <c r="Q100">
        <v>-120.6632587</v>
      </c>
      <c r="R100" t="s">
        <v>1808</v>
      </c>
      <c r="S100">
        <v>27443</v>
      </c>
      <c r="T100" t="s">
        <v>1809</v>
      </c>
      <c r="V100">
        <v>765</v>
      </c>
      <c r="W100" t="s">
        <v>1845</v>
      </c>
      <c r="X100" t="b">
        <v>0</v>
      </c>
      <c r="Y100" t="s">
        <v>2008</v>
      </c>
      <c r="Z100" s="667"/>
    </row>
    <row r="101" spans="1:26" ht="14.45" customHeight="1">
      <c r="A101">
        <v>582</v>
      </c>
      <c r="E101" s="7">
        <v>45923</v>
      </c>
      <c r="F101"/>
      <c r="G101">
        <f t="shared" si="1"/>
        <v>0</v>
      </c>
      <c r="K101" t="s">
        <v>2025</v>
      </c>
      <c r="M101" t="b">
        <v>0</v>
      </c>
      <c r="N101" s="7">
        <v>45923</v>
      </c>
      <c r="P101">
        <v>35.310185060000002</v>
      </c>
      <c r="Q101">
        <v>-120.66332939999999</v>
      </c>
      <c r="R101" t="s">
        <v>1808</v>
      </c>
      <c r="S101">
        <v>27440</v>
      </c>
      <c r="T101" t="s">
        <v>1809</v>
      </c>
      <c r="V101">
        <v>762</v>
      </c>
      <c r="W101" t="s">
        <v>1845</v>
      </c>
      <c r="X101" t="b">
        <v>0</v>
      </c>
      <c r="Y101" t="s">
        <v>2008</v>
      </c>
      <c r="Z101" s="667"/>
    </row>
    <row r="102" spans="1:26" ht="14.45" customHeight="1">
      <c r="A102">
        <v>583</v>
      </c>
      <c r="E102" s="7">
        <v>45923</v>
      </c>
      <c r="F102"/>
      <c r="G102">
        <f t="shared" si="1"/>
        <v>0</v>
      </c>
      <c r="K102" t="s">
        <v>2026</v>
      </c>
      <c r="M102" t="b">
        <v>0</v>
      </c>
      <c r="N102" s="7">
        <v>45923</v>
      </c>
      <c r="P102">
        <v>35.310203309999999</v>
      </c>
      <c r="Q102">
        <v>-120.6632382</v>
      </c>
      <c r="R102" t="s">
        <v>1808</v>
      </c>
      <c r="S102">
        <v>27436</v>
      </c>
      <c r="T102" t="s">
        <v>1809</v>
      </c>
      <c r="V102">
        <v>758</v>
      </c>
      <c r="W102" t="s">
        <v>1845</v>
      </c>
      <c r="X102" t="b">
        <v>0</v>
      </c>
      <c r="Y102" t="s">
        <v>2008</v>
      </c>
      <c r="Z102" s="667"/>
    </row>
    <row r="103" spans="1:26" ht="14.45" customHeight="1">
      <c r="A103">
        <v>419</v>
      </c>
      <c r="B103" t="s">
        <v>2027</v>
      </c>
      <c r="C103" t="s">
        <v>2028</v>
      </c>
      <c r="D103" t="s">
        <v>1946</v>
      </c>
      <c r="E103" s="7">
        <v>45923</v>
      </c>
      <c r="F103">
        <v>0</v>
      </c>
      <c r="G103">
        <f t="shared" si="1"/>
        <v>0</v>
      </c>
      <c r="H103" t="s">
        <v>1838</v>
      </c>
      <c r="J103" t="s">
        <v>1983</v>
      </c>
      <c r="K103" t="s">
        <v>2029</v>
      </c>
      <c r="M103" t="b">
        <v>0</v>
      </c>
      <c r="N103" s="7">
        <v>45923</v>
      </c>
      <c r="O103" t="s">
        <v>2030</v>
      </c>
      <c r="P103">
        <v>35.309575770000002</v>
      </c>
      <c r="Q103">
        <v>-120.66246649999999</v>
      </c>
      <c r="R103" t="s">
        <v>1808</v>
      </c>
      <c r="S103">
        <v>27420</v>
      </c>
      <c r="T103" t="s">
        <v>1809</v>
      </c>
      <c r="U103" t="s">
        <v>2031</v>
      </c>
      <c r="V103">
        <v>745</v>
      </c>
      <c r="W103" t="s">
        <v>1830</v>
      </c>
      <c r="X103" t="b">
        <v>0</v>
      </c>
      <c r="Y103" t="s">
        <v>2032</v>
      </c>
      <c r="Z103" s="667"/>
    </row>
    <row r="104" spans="1:26" ht="14.45" customHeight="1">
      <c r="A104">
        <v>487</v>
      </c>
      <c r="B104" t="s">
        <v>2033</v>
      </c>
      <c r="C104" t="s">
        <v>2034</v>
      </c>
      <c r="D104" t="s">
        <v>2003</v>
      </c>
      <c r="E104" s="7">
        <v>45610</v>
      </c>
      <c r="F104">
        <v>2</v>
      </c>
      <c r="G104">
        <f t="shared" si="1"/>
        <v>5.0799999999999998E-2</v>
      </c>
      <c r="H104" t="s">
        <v>1838</v>
      </c>
      <c r="I104" t="s">
        <v>2035</v>
      </c>
      <c r="J104" t="s">
        <v>2036</v>
      </c>
      <c r="K104" t="s">
        <v>2037</v>
      </c>
      <c r="M104" t="b">
        <v>1</v>
      </c>
      <c r="N104" s="7">
        <v>45614</v>
      </c>
      <c r="O104" t="s">
        <v>2038</v>
      </c>
      <c r="P104">
        <v>35.310384720000002</v>
      </c>
      <c r="Q104">
        <v>-120.6610014</v>
      </c>
      <c r="R104" t="s">
        <v>1808</v>
      </c>
      <c r="S104">
        <v>20014</v>
      </c>
      <c r="T104" t="s">
        <v>1809</v>
      </c>
      <c r="U104" t="s">
        <v>2039</v>
      </c>
      <c r="V104">
        <v>732</v>
      </c>
      <c r="W104" t="s">
        <v>2040</v>
      </c>
      <c r="X104" t="b">
        <v>0</v>
      </c>
      <c r="Y104" t="s">
        <v>2041</v>
      </c>
      <c r="Z104" s="667"/>
    </row>
    <row r="105" spans="1:26" ht="14.45" customHeight="1">
      <c r="A105">
        <v>489</v>
      </c>
      <c r="B105" t="s">
        <v>2033</v>
      </c>
      <c r="C105" t="s">
        <v>2034</v>
      </c>
      <c r="D105" t="s">
        <v>2003</v>
      </c>
      <c r="E105" s="7">
        <v>45610</v>
      </c>
      <c r="F105">
        <v>6</v>
      </c>
      <c r="G105">
        <f t="shared" si="1"/>
        <v>0.15239999999999998</v>
      </c>
      <c r="H105" t="s">
        <v>1804</v>
      </c>
      <c r="I105" t="s">
        <v>2035</v>
      </c>
      <c r="J105" t="s">
        <v>2036</v>
      </c>
      <c r="K105" t="s">
        <v>2042</v>
      </c>
      <c r="M105" t="b">
        <v>1</v>
      </c>
      <c r="N105" s="7">
        <v>45614</v>
      </c>
      <c r="O105" t="s">
        <v>2038</v>
      </c>
      <c r="P105">
        <v>35.310398339999999</v>
      </c>
      <c r="Q105">
        <v>-120.66105210000001</v>
      </c>
      <c r="R105" t="s">
        <v>1808</v>
      </c>
      <c r="S105">
        <v>20015</v>
      </c>
      <c r="T105" t="s">
        <v>1809</v>
      </c>
      <c r="U105" t="s">
        <v>2039</v>
      </c>
      <c r="V105">
        <v>733</v>
      </c>
      <c r="W105" t="s">
        <v>2040</v>
      </c>
      <c r="X105" t="b">
        <v>0</v>
      </c>
      <c r="Y105" t="s">
        <v>2041</v>
      </c>
      <c r="Z105" s="6"/>
    </row>
    <row r="106" spans="1:26" ht="14.45" customHeight="1">
      <c r="A106">
        <v>490</v>
      </c>
      <c r="B106" t="s">
        <v>2033</v>
      </c>
      <c r="C106" t="s">
        <v>2034</v>
      </c>
      <c r="D106" t="s">
        <v>1946</v>
      </c>
      <c r="E106" s="7">
        <v>45610</v>
      </c>
      <c r="F106">
        <v>6</v>
      </c>
      <c r="G106">
        <f t="shared" si="1"/>
        <v>0.15239999999999998</v>
      </c>
      <c r="H106" t="s">
        <v>1804</v>
      </c>
      <c r="I106" t="s">
        <v>2035</v>
      </c>
      <c r="J106" t="s">
        <v>2036</v>
      </c>
      <c r="K106" t="s">
        <v>2043</v>
      </c>
      <c r="M106" t="b">
        <v>1</v>
      </c>
      <c r="N106" s="7">
        <v>45614</v>
      </c>
      <c r="O106" t="s">
        <v>2038</v>
      </c>
      <c r="P106">
        <v>35.310389829999998</v>
      </c>
      <c r="Q106">
        <v>-120.6610234</v>
      </c>
      <c r="R106" t="s">
        <v>1808</v>
      </c>
      <c r="S106">
        <v>20013</v>
      </c>
      <c r="T106" t="s">
        <v>1809</v>
      </c>
      <c r="U106" t="s">
        <v>2039</v>
      </c>
      <c r="V106">
        <v>731</v>
      </c>
      <c r="W106" t="s">
        <v>2040</v>
      </c>
      <c r="X106" t="b">
        <v>0</v>
      </c>
      <c r="Y106" t="s">
        <v>2041</v>
      </c>
      <c r="Z106" s="6"/>
    </row>
    <row r="107" spans="1:26" ht="14.45" customHeight="1">
      <c r="A107">
        <v>457</v>
      </c>
      <c r="B107" t="s">
        <v>2044</v>
      </c>
      <c r="C107" t="s">
        <v>2045</v>
      </c>
      <c r="D107" t="s">
        <v>2003</v>
      </c>
      <c r="E107" s="7">
        <v>45610</v>
      </c>
      <c r="F107">
        <v>5</v>
      </c>
      <c r="G107">
        <f t="shared" si="1"/>
        <v>0.127</v>
      </c>
      <c r="H107" t="s">
        <v>1814</v>
      </c>
      <c r="J107" t="s">
        <v>2045</v>
      </c>
      <c r="K107" t="s">
        <v>2046</v>
      </c>
      <c r="M107" t="b">
        <v>1</v>
      </c>
      <c r="N107" s="7">
        <v>45637</v>
      </c>
      <c r="O107" t="s">
        <v>2047</v>
      </c>
      <c r="P107">
        <v>35.310141940000001</v>
      </c>
      <c r="Q107">
        <v>-120.660596</v>
      </c>
      <c r="R107" t="s">
        <v>1808</v>
      </c>
      <c r="S107">
        <v>20011</v>
      </c>
      <c r="T107" t="s">
        <v>1809</v>
      </c>
      <c r="U107" t="s">
        <v>2048</v>
      </c>
      <c r="V107">
        <v>729</v>
      </c>
      <c r="W107" t="s">
        <v>2040</v>
      </c>
      <c r="X107" t="b">
        <v>0</v>
      </c>
      <c r="Y107" t="s">
        <v>2041</v>
      </c>
      <c r="Z107" s="6"/>
    </row>
    <row r="108" spans="1:26" ht="14.45" customHeight="1">
      <c r="A108">
        <v>463</v>
      </c>
      <c r="B108" t="s">
        <v>2044</v>
      </c>
      <c r="C108" t="s">
        <v>2045</v>
      </c>
      <c r="D108" t="s">
        <v>2003</v>
      </c>
      <c r="E108" s="7">
        <v>45610</v>
      </c>
      <c r="F108">
        <v>27</v>
      </c>
      <c r="G108">
        <f t="shared" si="1"/>
        <v>0.68579999999999997</v>
      </c>
      <c r="H108" t="s">
        <v>1866</v>
      </c>
      <c r="J108" t="s">
        <v>2045</v>
      </c>
      <c r="K108" t="s">
        <v>2049</v>
      </c>
      <c r="M108" t="b">
        <v>1</v>
      </c>
      <c r="N108" s="7">
        <v>45637</v>
      </c>
      <c r="O108" t="s">
        <v>2047</v>
      </c>
      <c r="P108">
        <v>35.310357330000002</v>
      </c>
      <c r="Q108">
        <v>-120.6609261</v>
      </c>
      <c r="R108" t="s">
        <v>1808</v>
      </c>
      <c r="S108">
        <v>20012</v>
      </c>
      <c r="T108" t="s">
        <v>1809</v>
      </c>
      <c r="U108" t="s">
        <v>2048</v>
      </c>
      <c r="V108">
        <v>730</v>
      </c>
      <c r="W108" t="s">
        <v>2040</v>
      </c>
      <c r="X108" t="b">
        <v>0</v>
      </c>
      <c r="Y108" t="s">
        <v>2041</v>
      </c>
      <c r="Z108" s="6"/>
    </row>
    <row r="109" spans="1:26" ht="14.45" customHeight="1">
      <c r="A109">
        <v>527</v>
      </c>
      <c r="B109" t="s">
        <v>1657</v>
      </c>
      <c r="C109" t="s">
        <v>2050</v>
      </c>
      <c r="D109" t="s">
        <v>2003</v>
      </c>
      <c r="E109" s="7">
        <v>45610</v>
      </c>
      <c r="F109">
        <v>2</v>
      </c>
      <c r="G109">
        <f t="shared" si="1"/>
        <v>5.0799999999999998E-2</v>
      </c>
      <c r="H109" t="s">
        <v>1838</v>
      </c>
      <c r="I109" t="s">
        <v>2051</v>
      </c>
      <c r="J109" t="s">
        <v>2052</v>
      </c>
      <c r="K109" t="s">
        <v>2053</v>
      </c>
      <c r="M109" t="b">
        <v>1</v>
      </c>
      <c r="N109" s="7">
        <v>45614</v>
      </c>
      <c r="O109" t="s">
        <v>1435</v>
      </c>
      <c r="P109">
        <v>35.31038264</v>
      </c>
      <c r="Q109">
        <v>-120.6615774</v>
      </c>
      <c r="R109" t="s">
        <v>1808</v>
      </c>
      <c r="S109">
        <v>20024</v>
      </c>
      <c r="T109" t="s">
        <v>1809</v>
      </c>
      <c r="U109" t="s">
        <v>2054</v>
      </c>
      <c r="V109">
        <v>742</v>
      </c>
      <c r="W109" t="s">
        <v>2040</v>
      </c>
      <c r="X109" t="b">
        <v>0</v>
      </c>
      <c r="Y109" t="s">
        <v>2055</v>
      </c>
      <c r="Z109" s="6"/>
    </row>
    <row r="110" spans="1:26" ht="14.45" customHeight="1">
      <c r="A110">
        <v>528</v>
      </c>
      <c r="B110" t="s">
        <v>1657</v>
      </c>
      <c r="C110" t="s">
        <v>2050</v>
      </c>
      <c r="D110" t="s">
        <v>2003</v>
      </c>
      <c r="E110" s="7">
        <v>45610</v>
      </c>
      <c r="F110">
        <v>4</v>
      </c>
      <c r="G110">
        <f t="shared" si="1"/>
        <v>0.1016</v>
      </c>
      <c r="H110" t="s">
        <v>1814</v>
      </c>
      <c r="I110" t="s">
        <v>2051</v>
      </c>
      <c r="J110" t="s">
        <v>2052</v>
      </c>
      <c r="K110" t="s">
        <v>2056</v>
      </c>
      <c r="M110" t="b">
        <v>1</v>
      </c>
      <c r="N110" s="7">
        <v>45614</v>
      </c>
      <c r="O110" t="s">
        <v>1435</v>
      </c>
      <c r="P110">
        <v>35.310425619999997</v>
      </c>
      <c r="Q110">
        <v>-120.6616504</v>
      </c>
      <c r="R110" t="s">
        <v>1808</v>
      </c>
      <c r="S110">
        <v>20022</v>
      </c>
      <c r="T110" t="s">
        <v>1809</v>
      </c>
      <c r="U110" t="s">
        <v>2054</v>
      </c>
      <c r="V110">
        <v>740</v>
      </c>
      <c r="W110" t="s">
        <v>2040</v>
      </c>
      <c r="X110" t="b">
        <v>0</v>
      </c>
      <c r="Y110" t="s">
        <v>2055</v>
      </c>
      <c r="Z110" s="6"/>
    </row>
    <row r="111" spans="1:26" ht="14.45" customHeight="1">
      <c r="A111">
        <v>500</v>
      </c>
      <c r="B111" t="s">
        <v>1668</v>
      </c>
      <c r="C111" t="s">
        <v>2057</v>
      </c>
      <c r="D111" t="s">
        <v>2003</v>
      </c>
      <c r="E111" s="7">
        <v>45610</v>
      </c>
      <c r="F111">
        <v>5</v>
      </c>
      <c r="G111">
        <f t="shared" si="1"/>
        <v>0.127</v>
      </c>
      <c r="H111" t="s">
        <v>1814</v>
      </c>
      <c r="I111" t="s">
        <v>1982</v>
      </c>
      <c r="J111" t="s">
        <v>1983</v>
      </c>
      <c r="K111" t="s">
        <v>2058</v>
      </c>
      <c r="M111" t="b">
        <v>1</v>
      </c>
      <c r="N111" s="7">
        <v>45614</v>
      </c>
      <c r="O111" t="s">
        <v>1506</v>
      </c>
      <c r="P111">
        <v>35.310407619999999</v>
      </c>
      <c r="Q111">
        <v>-120.6617044</v>
      </c>
      <c r="R111" t="s">
        <v>1808</v>
      </c>
      <c r="S111">
        <v>20023</v>
      </c>
      <c r="T111" t="s">
        <v>1809</v>
      </c>
      <c r="U111" t="s">
        <v>2059</v>
      </c>
      <c r="V111">
        <v>741</v>
      </c>
      <c r="W111" t="s">
        <v>2040</v>
      </c>
      <c r="X111" t="b">
        <v>0</v>
      </c>
      <c r="Y111" t="s">
        <v>2055</v>
      </c>
      <c r="Z111" s="6"/>
    </row>
    <row r="112" spans="1:26" ht="14.45" customHeight="1">
      <c r="A112">
        <v>358</v>
      </c>
      <c r="B112" t="s">
        <v>2060</v>
      </c>
      <c r="C112" t="s">
        <v>2061</v>
      </c>
      <c r="D112" t="s">
        <v>2003</v>
      </c>
      <c r="E112" s="7">
        <v>45610</v>
      </c>
      <c r="F112">
        <v>2</v>
      </c>
      <c r="G112">
        <f t="shared" si="1"/>
        <v>5.0799999999999998E-2</v>
      </c>
      <c r="H112" t="s">
        <v>1838</v>
      </c>
      <c r="I112" t="s">
        <v>2062</v>
      </c>
      <c r="J112" t="s">
        <v>2063</v>
      </c>
      <c r="K112" t="s">
        <v>2064</v>
      </c>
      <c r="M112" t="b">
        <v>1</v>
      </c>
      <c r="N112" s="7">
        <v>45637</v>
      </c>
      <c r="O112" t="s">
        <v>1438</v>
      </c>
      <c r="P112">
        <v>35.310559529999999</v>
      </c>
      <c r="Q112">
        <v>-120.66153920000001</v>
      </c>
      <c r="R112" t="s">
        <v>1808</v>
      </c>
      <c r="S112">
        <v>20021</v>
      </c>
      <c r="T112" t="s">
        <v>1809</v>
      </c>
      <c r="U112" t="s">
        <v>2065</v>
      </c>
      <c r="V112">
        <v>739</v>
      </c>
      <c r="W112" t="s">
        <v>2040</v>
      </c>
      <c r="X112" t="b">
        <v>0</v>
      </c>
      <c r="Y112" t="s">
        <v>2055</v>
      </c>
      <c r="Z112" s="6"/>
    </row>
    <row r="113" spans="1:26" ht="14.45" customHeight="1">
      <c r="A113">
        <v>411</v>
      </c>
      <c r="B113" t="s">
        <v>2066</v>
      </c>
      <c r="C113" t="s">
        <v>2067</v>
      </c>
      <c r="D113" t="s">
        <v>1826</v>
      </c>
      <c r="E113" s="7">
        <v>45610</v>
      </c>
      <c r="F113">
        <v>3</v>
      </c>
      <c r="G113">
        <f t="shared" si="1"/>
        <v>7.619999999999999E-2</v>
      </c>
      <c r="H113" t="s">
        <v>1814</v>
      </c>
      <c r="J113" t="s">
        <v>2068</v>
      </c>
      <c r="K113" t="s">
        <v>2069</v>
      </c>
      <c r="M113" t="b">
        <v>0</v>
      </c>
      <c r="N113" s="7">
        <v>45637</v>
      </c>
      <c r="O113" t="s">
        <v>2070</v>
      </c>
      <c r="P113">
        <v>35.31048492</v>
      </c>
      <c r="Q113">
        <v>-120.66131179999999</v>
      </c>
      <c r="R113" t="s">
        <v>1808</v>
      </c>
      <c r="S113">
        <v>20020</v>
      </c>
      <c r="T113" t="s">
        <v>1809</v>
      </c>
      <c r="U113" t="s">
        <v>2071</v>
      </c>
      <c r="V113">
        <v>738</v>
      </c>
      <c r="W113" t="s">
        <v>2040</v>
      </c>
      <c r="X113" t="b">
        <v>0</v>
      </c>
      <c r="Y113" t="s">
        <v>2055</v>
      </c>
      <c r="Z113" s="6"/>
    </row>
    <row r="114" spans="1:26" ht="14.45" customHeight="1">
      <c r="A114">
        <v>189</v>
      </c>
      <c r="B114" t="s">
        <v>1624</v>
      </c>
      <c r="C114" t="s">
        <v>2072</v>
      </c>
      <c r="D114" t="s">
        <v>2003</v>
      </c>
      <c r="E114" s="7">
        <v>45610</v>
      </c>
      <c r="F114">
        <v>8</v>
      </c>
      <c r="G114">
        <f t="shared" si="1"/>
        <v>0.20319999999999999</v>
      </c>
      <c r="H114" t="s">
        <v>1804</v>
      </c>
      <c r="I114" t="s">
        <v>1982</v>
      </c>
      <c r="J114" t="s">
        <v>1983</v>
      </c>
      <c r="K114" t="s">
        <v>2073</v>
      </c>
      <c r="M114" t="b">
        <v>1</v>
      </c>
      <c r="N114" s="7">
        <v>45610</v>
      </c>
      <c r="O114" t="s">
        <v>2074</v>
      </c>
      <c r="P114">
        <v>35.310293059999999</v>
      </c>
      <c r="Q114">
        <v>-120.662419</v>
      </c>
      <c r="R114" t="s">
        <v>1808</v>
      </c>
      <c r="S114">
        <v>20027</v>
      </c>
      <c r="T114" t="s">
        <v>1809</v>
      </c>
      <c r="V114">
        <v>744</v>
      </c>
      <c r="W114" t="s">
        <v>2040</v>
      </c>
      <c r="X114" t="b">
        <v>0</v>
      </c>
      <c r="Y114" t="s">
        <v>2075</v>
      </c>
      <c r="Z114" s="6"/>
    </row>
    <row r="115" spans="1:26" ht="14.45" customHeight="1">
      <c r="A115">
        <v>5</v>
      </c>
      <c r="B115" t="s">
        <v>1802</v>
      </c>
      <c r="C115" t="s">
        <v>1803</v>
      </c>
      <c r="D115" t="s">
        <v>1946</v>
      </c>
      <c r="E115" s="7">
        <v>45608</v>
      </c>
      <c r="F115">
        <v>5</v>
      </c>
      <c r="G115">
        <f t="shared" si="1"/>
        <v>0.127</v>
      </c>
      <c r="H115" t="s">
        <v>1814</v>
      </c>
      <c r="I115" t="s">
        <v>1805</v>
      </c>
      <c r="J115" t="s">
        <v>1803</v>
      </c>
      <c r="K115" t="s">
        <v>2076</v>
      </c>
      <c r="M115" t="b">
        <v>1</v>
      </c>
      <c r="N115" s="7">
        <v>45608</v>
      </c>
      <c r="O115" t="s">
        <v>1807</v>
      </c>
      <c r="P115">
        <v>35.310637319999998</v>
      </c>
      <c r="Q115">
        <v>-120.6632252</v>
      </c>
      <c r="R115" t="s">
        <v>1808</v>
      </c>
      <c r="S115">
        <v>19990</v>
      </c>
      <c r="T115" t="s">
        <v>1809</v>
      </c>
      <c r="V115">
        <v>721</v>
      </c>
      <c r="W115" t="s">
        <v>2040</v>
      </c>
      <c r="X115" t="b">
        <v>0</v>
      </c>
      <c r="Y115" t="s">
        <v>1811</v>
      </c>
      <c r="Z115" s="6"/>
    </row>
    <row r="116" spans="1:26" ht="14.45" customHeight="1">
      <c r="A116">
        <v>310</v>
      </c>
      <c r="B116" t="s">
        <v>1831</v>
      </c>
      <c r="C116" t="s">
        <v>1832</v>
      </c>
      <c r="D116" t="s">
        <v>2003</v>
      </c>
      <c r="E116" s="7">
        <v>45608</v>
      </c>
      <c r="F116">
        <v>5</v>
      </c>
      <c r="G116">
        <f t="shared" si="1"/>
        <v>0.127</v>
      </c>
      <c r="H116" t="s">
        <v>1814</v>
      </c>
      <c r="J116" t="s">
        <v>1816</v>
      </c>
      <c r="K116" t="s">
        <v>2077</v>
      </c>
      <c r="M116" t="b">
        <v>1</v>
      </c>
      <c r="N116" s="7">
        <v>45637</v>
      </c>
      <c r="O116" t="s">
        <v>1834</v>
      </c>
      <c r="P116">
        <v>35.310738229999998</v>
      </c>
      <c r="Q116">
        <v>-120.6631891</v>
      </c>
      <c r="R116" t="s">
        <v>1808</v>
      </c>
      <c r="S116">
        <v>19988</v>
      </c>
      <c r="T116" t="s">
        <v>1809</v>
      </c>
      <c r="U116" t="s">
        <v>2078</v>
      </c>
      <c r="V116">
        <v>720</v>
      </c>
      <c r="W116" t="s">
        <v>2040</v>
      </c>
      <c r="X116" t="b">
        <v>0</v>
      </c>
      <c r="Y116" t="s">
        <v>1811</v>
      </c>
      <c r="Z116" s="6"/>
    </row>
    <row r="117" spans="1:26" ht="14.45" customHeight="1">
      <c r="A117">
        <v>144</v>
      </c>
      <c r="B117" t="s">
        <v>1962</v>
      </c>
      <c r="C117" t="s">
        <v>1963</v>
      </c>
      <c r="D117" t="s">
        <v>2003</v>
      </c>
      <c r="E117" s="7">
        <v>45608</v>
      </c>
      <c r="F117">
        <v>5</v>
      </c>
      <c r="G117">
        <f t="shared" si="1"/>
        <v>0.127</v>
      </c>
      <c r="H117" t="s">
        <v>1814</v>
      </c>
      <c r="I117" t="s">
        <v>1964</v>
      </c>
      <c r="J117" t="s">
        <v>1965</v>
      </c>
      <c r="K117" t="s">
        <v>2079</v>
      </c>
      <c r="M117" t="b">
        <v>1</v>
      </c>
      <c r="N117" s="7">
        <v>45637</v>
      </c>
      <c r="O117" t="s">
        <v>1967</v>
      </c>
      <c r="P117">
        <v>35.310261320000002</v>
      </c>
      <c r="Q117">
        <v>-120.6632353</v>
      </c>
      <c r="R117" t="s">
        <v>1808</v>
      </c>
      <c r="S117">
        <v>19993</v>
      </c>
      <c r="T117" t="s">
        <v>1809</v>
      </c>
      <c r="U117" t="s">
        <v>2080</v>
      </c>
      <c r="V117">
        <v>723</v>
      </c>
      <c r="W117" t="s">
        <v>2040</v>
      </c>
      <c r="X117" t="b">
        <v>0</v>
      </c>
      <c r="Y117" t="s">
        <v>1968</v>
      </c>
      <c r="Z117" s="6"/>
    </row>
    <row r="118" spans="1:26" ht="14.45" customHeight="1">
      <c r="A118">
        <v>492</v>
      </c>
      <c r="B118" t="s">
        <v>2081</v>
      </c>
      <c r="C118" t="s">
        <v>2082</v>
      </c>
      <c r="D118" t="s">
        <v>1946</v>
      </c>
      <c r="E118" s="7">
        <v>45608</v>
      </c>
      <c r="F118">
        <v>4</v>
      </c>
      <c r="G118">
        <f t="shared" si="1"/>
        <v>0.1016</v>
      </c>
      <c r="H118" t="s">
        <v>1814</v>
      </c>
      <c r="J118" t="s">
        <v>2083</v>
      </c>
      <c r="K118" t="s">
        <v>2084</v>
      </c>
      <c r="M118" t="b">
        <v>1</v>
      </c>
      <c r="N118" s="7">
        <v>45637</v>
      </c>
      <c r="O118" t="s">
        <v>2085</v>
      </c>
      <c r="P118">
        <v>35.310341399999999</v>
      </c>
      <c r="Q118">
        <v>-120.6632008</v>
      </c>
      <c r="R118" t="s">
        <v>1808</v>
      </c>
      <c r="S118">
        <v>19991</v>
      </c>
      <c r="T118" t="s">
        <v>1809</v>
      </c>
      <c r="U118" t="s">
        <v>2086</v>
      </c>
      <c r="V118">
        <v>722</v>
      </c>
      <c r="W118" t="s">
        <v>2040</v>
      </c>
      <c r="X118" t="b">
        <v>0</v>
      </c>
      <c r="Y118" t="s">
        <v>1968</v>
      </c>
      <c r="Z118" s="6"/>
    </row>
    <row r="119" spans="1:26" ht="14.45" customHeight="1">
      <c r="A119">
        <v>276</v>
      </c>
      <c r="B119" t="s">
        <v>2087</v>
      </c>
      <c r="C119" t="s">
        <v>2088</v>
      </c>
      <c r="D119" t="s">
        <v>1989</v>
      </c>
      <c r="E119" s="7">
        <v>45608</v>
      </c>
      <c r="F119">
        <v>3</v>
      </c>
      <c r="G119">
        <f t="shared" si="1"/>
        <v>7.619999999999999E-2</v>
      </c>
      <c r="H119" t="s">
        <v>1814</v>
      </c>
      <c r="I119" t="s">
        <v>2089</v>
      </c>
      <c r="J119" t="s">
        <v>2090</v>
      </c>
      <c r="K119" t="s">
        <v>2091</v>
      </c>
      <c r="M119" t="b">
        <v>1</v>
      </c>
      <c r="N119" s="7">
        <v>45923</v>
      </c>
      <c r="O119" t="s">
        <v>2092</v>
      </c>
      <c r="P119">
        <v>35.309872800000001</v>
      </c>
      <c r="Q119">
        <v>-120.6631577</v>
      </c>
      <c r="R119" t="s">
        <v>1808</v>
      </c>
      <c r="S119">
        <v>19995</v>
      </c>
      <c r="T119" t="s">
        <v>1809</v>
      </c>
      <c r="V119">
        <v>725</v>
      </c>
      <c r="W119" t="s">
        <v>2040</v>
      </c>
      <c r="X119" t="b">
        <v>0</v>
      </c>
      <c r="Y119" t="s">
        <v>2008</v>
      </c>
      <c r="Z119" s="6"/>
    </row>
    <row r="120" spans="1:26" ht="14.45" customHeight="1">
      <c r="A120">
        <v>341</v>
      </c>
      <c r="B120" t="s">
        <v>1987</v>
      </c>
      <c r="C120" t="s">
        <v>1988</v>
      </c>
      <c r="D120" t="s">
        <v>2014</v>
      </c>
      <c r="E120" s="7">
        <v>45608</v>
      </c>
      <c r="F120">
        <v>0</v>
      </c>
      <c r="G120">
        <f t="shared" si="1"/>
        <v>0</v>
      </c>
      <c r="H120" t="s">
        <v>1838</v>
      </c>
      <c r="I120" t="s">
        <v>1990</v>
      </c>
      <c r="J120" t="s">
        <v>1991</v>
      </c>
      <c r="K120" t="s">
        <v>2093</v>
      </c>
      <c r="M120" t="b">
        <v>0</v>
      </c>
      <c r="N120" s="7">
        <v>45608</v>
      </c>
      <c r="O120" t="s">
        <v>1993</v>
      </c>
      <c r="P120">
        <v>35.309886579999997</v>
      </c>
      <c r="Q120">
        <v>-120.6631227</v>
      </c>
      <c r="R120" t="s">
        <v>1808</v>
      </c>
      <c r="S120">
        <v>19994</v>
      </c>
      <c r="T120" t="s">
        <v>1809</v>
      </c>
      <c r="V120">
        <v>724</v>
      </c>
      <c r="W120" t="s">
        <v>2040</v>
      </c>
      <c r="X120" t="b">
        <v>0</v>
      </c>
      <c r="Y120" t="s">
        <v>2008</v>
      </c>
      <c r="Z120" s="6"/>
    </row>
    <row r="121" spans="1:26" ht="14.45" customHeight="1">
      <c r="A121">
        <v>147</v>
      </c>
      <c r="B121" t="s">
        <v>2094</v>
      </c>
      <c r="C121" t="s">
        <v>2095</v>
      </c>
      <c r="D121" t="s">
        <v>2003</v>
      </c>
      <c r="E121" s="7">
        <v>45608</v>
      </c>
      <c r="F121">
        <v>6</v>
      </c>
      <c r="G121">
        <f t="shared" si="1"/>
        <v>0.15239999999999998</v>
      </c>
      <c r="H121" t="s">
        <v>1804</v>
      </c>
      <c r="J121" t="s">
        <v>2096</v>
      </c>
      <c r="K121" t="s">
        <v>2097</v>
      </c>
      <c r="M121" t="b">
        <v>1</v>
      </c>
      <c r="N121" s="7">
        <v>45923</v>
      </c>
      <c r="O121" t="s">
        <v>2098</v>
      </c>
      <c r="P121">
        <v>35.309878740000002</v>
      </c>
      <c r="Q121">
        <v>-120.66320140000001</v>
      </c>
      <c r="R121" t="s">
        <v>1808</v>
      </c>
      <c r="S121">
        <v>19998</v>
      </c>
      <c r="T121" t="s">
        <v>1809</v>
      </c>
      <c r="U121" t="s">
        <v>2099</v>
      </c>
      <c r="V121">
        <v>728</v>
      </c>
      <c r="W121" t="s">
        <v>2040</v>
      </c>
      <c r="X121" t="b">
        <v>0</v>
      </c>
      <c r="Y121" t="s">
        <v>2008</v>
      </c>
      <c r="Z121" s="6"/>
    </row>
    <row r="122" spans="1:26" ht="14.45" customHeight="1">
      <c r="A122">
        <v>195</v>
      </c>
      <c r="B122" t="s">
        <v>1624</v>
      </c>
      <c r="C122" t="s">
        <v>2072</v>
      </c>
      <c r="D122" t="s">
        <v>2003</v>
      </c>
      <c r="E122" s="7">
        <v>45604</v>
      </c>
      <c r="F122">
        <v>15</v>
      </c>
      <c r="G122">
        <f t="shared" si="1"/>
        <v>0.38100000000000001</v>
      </c>
      <c r="H122" t="s">
        <v>1855</v>
      </c>
      <c r="I122" t="s">
        <v>1982</v>
      </c>
      <c r="J122" t="s">
        <v>1983</v>
      </c>
      <c r="K122" t="s">
        <v>2100</v>
      </c>
      <c r="M122" t="b">
        <v>1</v>
      </c>
      <c r="N122" s="7">
        <v>45930</v>
      </c>
      <c r="O122" t="s">
        <v>2074</v>
      </c>
      <c r="P122">
        <v>35.310865139999997</v>
      </c>
      <c r="Q122">
        <v>-120.6624032</v>
      </c>
      <c r="R122" t="s">
        <v>1808</v>
      </c>
      <c r="S122">
        <v>19970</v>
      </c>
      <c r="T122" t="s">
        <v>1809</v>
      </c>
      <c r="V122">
        <v>717</v>
      </c>
      <c r="W122" t="s">
        <v>2040</v>
      </c>
      <c r="X122" t="b">
        <v>0</v>
      </c>
      <c r="Y122" t="s">
        <v>2101</v>
      </c>
      <c r="Z122" s="6"/>
    </row>
    <row r="123" spans="1:26" ht="14.45" customHeight="1">
      <c r="A123">
        <v>542</v>
      </c>
      <c r="B123" t="s">
        <v>2102</v>
      </c>
      <c r="C123" t="s">
        <v>2103</v>
      </c>
      <c r="D123" t="s">
        <v>1989</v>
      </c>
      <c r="E123" s="7">
        <v>45603</v>
      </c>
      <c r="F123">
        <v>7</v>
      </c>
      <c r="G123">
        <f t="shared" si="1"/>
        <v>0.17779999999999999</v>
      </c>
      <c r="H123" t="s">
        <v>1804</v>
      </c>
      <c r="I123" t="s">
        <v>2104</v>
      </c>
      <c r="J123" t="s">
        <v>2105</v>
      </c>
      <c r="K123" t="s">
        <v>2106</v>
      </c>
      <c r="M123" t="b">
        <v>1</v>
      </c>
      <c r="N123" s="7">
        <v>45614</v>
      </c>
      <c r="O123" t="s">
        <v>2107</v>
      </c>
      <c r="P123">
        <v>35.310719849999998</v>
      </c>
      <c r="Q123">
        <v>-120.6630895</v>
      </c>
      <c r="R123" t="s">
        <v>1808</v>
      </c>
      <c r="S123">
        <v>19967</v>
      </c>
      <c r="T123" t="s">
        <v>1809</v>
      </c>
      <c r="U123" t="s">
        <v>2108</v>
      </c>
      <c r="V123">
        <v>714</v>
      </c>
      <c r="W123" t="s">
        <v>2040</v>
      </c>
      <c r="X123" t="b">
        <v>0</v>
      </c>
      <c r="Y123" t="s">
        <v>1811</v>
      </c>
      <c r="Z123" s="6"/>
    </row>
    <row r="124" spans="1:26" ht="14.45" customHeight="1">
      <c r="A124">
        <v>305</v>
      </c>
      <c r="B124" t="s">
        <v>1831</v>
      </c>
      <c r="C124" t="s">
        <v>1832</v>
      </c>
      <c r="D124" t="s">
        <v>1826</v>
      </c>
      <c r="E124" s="7">
        <v>45603</v>
      </c>
      <c r="F124">
        <v>0</v>
      </c>
      <c r="G124">
        <f t="shared" si="1"/>
        <v>0</v>
      </c>
      <c r="H124" t="s">
        <v>1838</v>
      </c>
      <c r="J124" t="s">
        <v>1816</v>
      </c>
      <c r="K124" t="s">
        <v>2109</v>
      </c>
      <c r="M124" t="b">
        <v>0</v>
      </c>
      <c r="N124" s="7">
        <v>45603</v>
      </c>
      <c r="O124" t="s">
        <v>1834</v>
      </c>
      <c r="P124">
        <v>35.310648049999998</v>
      </c>
      <c r="Q124">
        <v>-120.6631209</v>
      </c>
      <c r="R124" t="s">
        <v>1808</v>
      </c>
      <c r="S124">
        <v>19969</v>
      </c>
      <c r="T124" t="s">
        <v>1809</v>
      </c>
      <c r="V124">
        <v>716</v>
      </c>
      <c r="W124" t="s">
        <v>2040</v>
      </c>
      <c r="X124" t="b">
        <v>0</v>
      </c>
      <c r="Y124" t="s">
        <v>1811</v>
      </c>
      <c r="Z124" s="6"/>
    </row>
    <row r="125" spans="1:26" ht="14.45" customHeight="1">
      <c r="A125">
        <v>176</v>
      </c>
      <c r="B125" t="s">
        <v>1624</v>
      </c>
      <c r="C125" t="s">
        <v>2072</v>
      </c>
      <c r="D125" t="s">
        <v>1946</v>
      </c>
      <c r="E125" s="7">
        <v>45603</v>
      </c>
      <c r="F125">
        <v>3</v>
      </c>
      <c r="G125">
        <f t="shared" si="1"/>
        <v>7.619999999999999E-2</v>
      </c>
      <c r="H125" t="s">
        <v>1814</v>
      </c>
      <c r="I125" t="s">
        <v>1982</v>
      </c>
      <c r="J125" t="s">
        <v>1983</v>
      </c>
      <c r="K125" t="s">
        <v>2110</v>
      </c>
      <c r="M125" t="b">
        <v>1</v>
      </c>
      <c r="N125" s="7">
        <v>45930</v>
      </c>
      <c r="O125" t="s">
        <v>2074</v>
      </c>
      <c r="P125">
        <v>35.310897410000003</v>
      </c>
      <c r="Q125">
        <v>-120.66252419999999</v>
      </c>
      <c r="R125" t="s">
        <v>1808</v>
      </c>
      <c r="S125">
        <v>19962</v>
      </c>
      <c r="T125" t="s">
        <v>1809</v>
      </c>
      <c r="U125" t="s">
        <v>2111</v>
      </c>
      <c r="V125">
        <v>709</v>
      </c>
      <c r="W125" t="s">
        <v>2040</v>
      </c>
      <c r="X125" t="b">
        <v>0</v>
      </c>
      <c r="Y125" t="s">
        <v>2101</v>
      </c>
      <c r="Z125" s="6"/>
    </row>
    <row r="126" spans="1:26" ht="14.45" customHeight="1">
      <c r="A126">
        <v>21</v>
      </c>
      <c r="B126" t="s">
        <v>2112</v>
      </c>
      <c r="C126" t="s">
        <v>2113</v>
      </c>
      <c r="D126" t="s">
        <v>2003</v>
      </c>
      <c r="E126" s="7">
        <v>45603</v>
      </c>
      <c r="F126">
        <v>3</v>
      </c>
      <c r="G126">
        <f t="shared" si="1"/>
        <v>7.619999999999999E-2</v>
      </c>
      <c r="H126" t="s">
        <v>1814</v>
      </c>
      <c r="I126" t="s">
        <v>1971</v>
      </c>
      <c r="J126" t="s">
        <v>1977</v>
      </c>
      <c r="K126" t="s">
        <v>2114</v>
      </c>
      <c r="M126" t="b">
        <v>1</v>
      </c>
      <c r="N126" s="7">
        <v>45930</v>
      </c>
      <c r="O126" t="s">
        <v>1273</v>
      </c>
      <c r="P126">
        <v>35.310844690000003</v>
      </c>
      <c r="Q126">
        <v>-120.66269440000001</v>
      </c>
      <c r="R126" t="s">
        <v>1808</v>
      </c>
      <c r="S126">
        <v>19960</v>
      </c>
      <c r="T126" t="s">
        <v>1809</v>
      </c>
      <c r="U126" t="s">
        <v>2115</v>
      </c>
      <c r="V126">
        <v>707</v>
      </c>
      <c r="W126" t="s">
        <v>2040</v>
      </c>
      <c r="X126" t="b">
        <v>0</v>
      </c>
      <c r="Y126" t="s">
        <v>2116</v>
      </c>
      <c r="Z126" s="6"/>
    </row>
    <row r="127" spans="1:26" ht="14.45" customHeight="1">
      <c r="A127">
        <v>170</v>
      </c>
      <c r="B127" t="s">
        <v>1624</v>
      </c>
      <c r="C127" t="s">
        <v>2072</v>
      </c>
      <c r="D127" t="s">
        <v>1946</v>
      </c>
      <c r="E127" s="7">
        <v>45603</v>
      </c>
      <c r="F127">
        <v>1</v>
      </c>
      <c r="G127">
        <f t="shared" si="1"/>
        <v>2.5399999999999999E-2</v>
      </c>
      <c r="H127" t="s">
        <v>1838</v>
      </c>
      <c r="I127" t="s">
        <v>1982</v>
      </c>
      <c r="J127" t="s">
        <v>1983</v>
      </c>
      <c r="K127" t="s">
        <v>2117</v>
      </c>
      <c r="M127" t="b">
        <v>1</v>
      </c>
      <c r="N127" s="7">
        <v>45637</v>
      </c>
      <c r="O127" t="s">
        <v>2074</v>
      </c>
      <c r="P127">
        <v>35.310913890000002</v>
      </c>
      <c r="Q127">
        <v>-120.6625784</v>
      </c>
      <c r="R127" t="s">
        <v>1808</v>
      </c>
      <c r="S127">
        <v>19963</v>
      </c>
      <c r="T127" t="s">
        <v>1809</v>
      </c>
      <c r="U127" t="s">
        <v>2111</v>
      </c>
      <c r="V127">
        <v>710</v>
      </c>
      <c r="W127" t="s">
        <v>2040</v>
      </c>
      <c r="X127" t="b">
        <v>0</v>
      </c>
      <c r="Y127" t="s">
        <v>2116</v>
      </c>
      <c r="Z127" s="6"/>
    </row>
    <row r="128" spans="1:26" ht="14.45" customHeight="1">
      <c r="A128">
        <v>183</v>
      </c>
      <c r="B128" t="s">
        <v>1624</v>
      </c>
      <c r="C128" t="s">
        <v>2072</v>
      </c>
      <c r="D128" t="s">
        <v>2003</v>
      </c>
      <c r="E128" s="7">
        <v>45603</v>
      </c>
      <c r="F128">
        <v>5</v>
      </c>
      <c r="G128">
        <f t="shared" si="1"/>
        <v>0.127</v>
      </c>
      <c r="H128" t="s">
        <v>1814</v>
      </c>
      <c r="I128" t="s">
        <v>1982</v>
      </c>
      <c r="J128" t="s">
        <v>1983</v>
      </c>
      <c r="K128" t="s">
        <v>2118</v>
      </c>
      <c r="M128" t="b">
        <v>1</v>
      </c>
      <c r="N128" s="7">
        <v>45930</v>
      </c>
      <c r="O128" t="s">
        <v>2074</v>
      </c>
      <c r="P128">
        <v>35.310946299999998</v>
      </c>
      <c r="Q128">
        <v>-120.66263379999999</v>
      </c>
      <c r="R128" t="s">
        <v>1808</v>
      </c>
      <c r="S128">
        <v>19965</v>
      </c>
      <c r="T128" t="s">
        <v>1809</v>
      </c>
      <c r="U128" t="s">
        <v>2111</v>
      </c>
      <c r="V128">
        <v>712</v>
      </c>
      <c r="W128" t="s">
        <v>2040</v>
      </c>
      <c r="X128" t="b">
        <v>0</v>
      </c>
      <c r="Y128" t="s">
        <v>2116</v>
      </c>
      <c r="Z128" s="6"/>
    </row>
    <row r="129" spans="1:26" ht="14.45" customHeight="1">
      <c r="A129">
        <v>196</v>
      </c>
      <c r="B129" t="s">
        <v>1624</v>
      </c>
      <c r="C129" t="s">
        <v>2072</v>
      </c>
      <c r="D129" t="s">
        <v>2003</v>
      </c>
      <c r="E129" s="7">
        <v>45603</v>
      </c>
      <c r="F129">
        <v>15</v>
      </c>
      <c r="G129">
        <f t="shared" si="1"/>
        <v>0.38100000000000001</v>
      </c>
      <c r="H129" t="s">
        <v>1855</v>
      </c>
      <c r="I129" t="s">
        <v>1982</v>
      </c>
      <c r="J129" t="s">
        <v>1983</v>
      </c>
      <c r="K129" t="s">
        <v>2119</v>
      </c>
      <c r="M129" t="b">
        <v>1</v>
      </c>
      <c r="N129" s="7">
        <v>45930</v>
      </c>
      <c r="O129" t="s">
        <v>2074</v>
      </c>
      <c r="P129">
        <v>35.310935890000003</v>
      </c>
      <c r="Q129">
        <v>-120.662616</v>
      </c>
      <c r="R129" t="s">
        <v>1808</v>
      </c>
      <c r="S129">
        <v>19964</v>
      </c>
      <c r="T129" t="s">
        <v>1809</v>
      </c>
      <c r="U129" t="s">
        <v>2111</v>
      </c>
      <c r="V129">
        <v>711</v>
      </c>
      <c r="W129" t="s">
        <v>2040</v>
      </c>
      <c r="X129" t="b">
        <v>0</v>
      </c>
      <c r="Y129" t="s">
        <v>2116</v>
      </c>
      <c r="Z129" s="6"/>
    </row>
    <row r="130" spans="1:26" ht="14.45" customHeight="1">
      <c r="A130">
        <v>301</v>
      </c>
      <c r="B130" t="s">
        <v>2120</v>
      </c>
      <c r="C130" t="s">
        <v>2121</v>
      </c>
      <c r="D130" t="s">
        <v>1989</v>
      </c>
      <c r="E130" s="7">
        <v>45603</v>
      </c>
      <c r="F130">
        <v>1</v>
      </c>
      <c r="G130">
        <f t="shared" si="1"/>
        <v>2.5399999999999999E-2</v>
      </c>
      <c r="H130" t="s">
        <v>1838</v>
      </c>
      <c r="I130" t="s">
        <v>2122</v>
      </c>
      <c r="J130" t="s">
        <v>2121</v>
      </c>
      <c r="K130" t="s">
        <v>2123</v>
      </c>
      <c r="M130" t="b">
        <v>1</v>
      </c>
      <c r="N130" s="7">
        <v>45604</v>
      </c>
      <c r="O130" t="s">
        <v>2124</v>
      </c>
      <c r="P130">
        <v>35.310869850000003</v>
      </c>
      <c r="Q130">
        <v>-120.6625873</v>
      </c>
      <c r="R130" t="s">
        <v>1808</v>
      </c>
      <c r="S130">
        <v>19961</v>
      </c>
      <c r="T130" t="s">
        <v>1809</v>
      </c>
      <c r="U130" t="s">
        <v>2125</v>
      </c>
      <c r="V130">
        <v>708</v>
      </c>
      <c r="W130" t="s">
        <v>2040</v>
      </c>
      <c r="X130" t="b">
        <v>0</v>
      </c>
      <c r="Y130" t="s">
        <v>2116</v>
      </c>
      <c r="Z130" s="6"/>
    </row>
    <row r="131" spans="1:26" ht="14.45" customHeight="1">
      <c r="A131">
        <v>413</v>
      </c>
      <c r="B131" t="s">
        <v>2126</v>
      </c>
      <c r="C131" t="s">
        <v>2127</v>
      </c>
      <c r="D131" t="s">
        <v>1946</v>
      </c>
      <c r="E131" s="7">
        <v>45603</v>
      </c>
      <c r="F131">
        <v>11</v>
      </c>
      <c r="G131">
        <f t="shared" ref="G131:G194" si="2">F131*0.0254</f>
        <v>0.27939999999999998</v>
      </c>
      <c r="H131" t="s">
        <v>1804</v>
      </c>
      <c r="I131" t="s">
        <v>1815</v>
      </c>
      <c r="J131" t="s">
        <v>1816</v>
      </c>
      <c r="K131" t="s">
        <v>2128</v>
      </c>
      <c r="M131" t="b">
        <v>1</v>
      </c>
      <c r="N131" s="7">
        <v>45930</v>
      </c>
      <c r="O131" t="s">
        <v>2129</v>
      </c>
      <c r="P131">
        <v>35.310976459999999</v>
      </c>
      <c r="Q131">
        <v>-120.6627409</v>
      </c>
      <c r="R131" t="s">
        <v>1808</v>
      </c>
      <c r="S131">
        <v>19966</v>
      </c>
      <c r="T131" t="s">
        <v>1809</v>
      </c>
      <c r="U131" t="s">
        <v>2130</v>
      </c>
      <c r="V131">
        <v>713</v>
      </c>
      <c r="W131" t="s">
        <v>2040</v>
      </c>
      <c r="X131" t="b">
        <v>0</v>
      </c>
      <c r="Y131" t="s">
        <v>2116</v>
      </c>
      <c r="Z131" s="6"/>
    </row>
    <row r="132" spans="1:26" ht="14.45" customHeight="1">
      <c r="A132">
        <v>279</v>
      </c>
      <c r="B132" t="s">
        <v>2087</v>
      </c>
      <c r="C132" t="s">
        <v>2088</v>
      </c>
      <c r="D132" t="s">
        <v>1826</v>
      </c>
      <c r="E132" s="7">
        <v>45602</v>
      </c>
      <c r="F132">
        <v>13</v>
      </c>
      <c r="G132">
        <f t="shared" si="2"/>
        <v>0.33019999999999999</v>
      </c>
      <c r="H132" t="s">
        <v>1855</v>
      </c>
      <c r="I132" t="s">
        <v>2089</v>
      </c>
      <c r="J132" t="s">
        <v>2090</v>
      </c>
      <c r="K132" t="s">
        <v>2131</v>
      </c>
      <c r="M132" t="b">
        <v>1</v>
      </c>
      <c r="N132" s="7">
        <v>45923</v>
      </c>
      <c r="O132" t="s">
        <v>2092</v>
      </c>
      <c r="P132">
        <v>35.30990036</v>
      </c>
      <c r="Q132">
        <v>-120.6630505</v>
      </c>
      <c r="R132" t="s">
        <v>1808</v>
      </c>
      <c r="S132">
        <v>19959</v>
      </c>
      <c r="T132" t="s">
        <v>1809</v>
      </c>
      <c r="U132" t="s">
        <v>2132</v>
      </c>
      <c r="V132">
        <v>706</v>
      </c>
      <c r="W132" t="s">
        <v>2040</v>
      </c>
      <c r="X132" t="b">
        <v>0</v>
      </c>
      <c r="Y132" t="s">
        <v>2008</v>
      </c>
      <c r="Z132" s="6"/>
    </row>
    <row r="133" spans="1:26" ht="14.45" customHeight="1">
      <c r="A133">
        <v>98</v>
      </c>
      <c r="B133" t="s">
        <v>2133</v>
      </c>
      <c r="C133" t="s">
        <v>2134</v>
      </c>
      <c r="D133" t="s">
        <v>2003</v>
      </c>
      <c r="E133" s="7">
        <v>45597</v>
      </c>
      <c r="F133">
        <v>3</v>
      </c>
      <c r="G133">
        <f t="shared" si="2"/>
        <v>7.619999999999999E-2</v>
      </c>
      <c r="H133" t="s">
        <v>1814</v>
      </c>
      <c r="I133" t="s">
        <v>2135</v>
      </c>
      <c r="J133" t="s">
        <v>2136</v>
      </c>
      <c r="K133" t="s">
        <v>2137</v>
      </c>
      <c r="M133" t="b">
        <v>1</v>
      </c>
      <c r="N133" s="7">
        <v>45637</v>
      </c>
      <c r="O133" t="s">
        <v>1244</v>
      </c>
      <c r="P133">
        <v>35.310902820000003</v>
      </c>
      <c r="Q133">
        <v>-120.6628159</v>
      </c>
      <c r="R133" t="s">
        <v>1808</v>
      </c>
      <c r="S133">
        <v>19945</v>
      </c>
      <c r="T133" t="s">
        <v>1809</v>
      </c>
      <c r="U133" t="s">
        <v>2138</v>
      </c>
      <c r="V133">
        <v>693</v>
      </c>
      <c r="W133" t="s">
        <v>2040</v>
      </c>
      <c r="X133" t="b">
        <v>0</v>
      </c>
      <c r="Y133" t="s">
        <v>1811</v>
      </c>
      <c r="Z133" s="6"/>
    </row>
    <row r="134" spans="1:26" ht="14.45" customHeight="1">
      <c r="A134">
        <v>99</v>
      </c>
      <c r="B134" t="s">
        <v>2133</v>
      </c>
      <c r="C134" t="s">
        <v>2134</v>
      </c>
      <c r="D134" t="s">
        <v>2003</v>
      </c>
      <c r="E134" s="7">
        <v>45597</v>
      </c>
      <c r="F134">
        <v>3</v>
      </c>
      <c r="G134">
        <f t="shared" si="2"/>
        <v>7.619999999999999E-2</v>
      </c>
      <c r="H134" t="s">
        <v>1814</v>
      </c>
      <c r="I134" t="s">
        <v>2135</v>
      </c>
      <c r="J134" t="s">
        <v>2136</v>
      </c>
      <c r="K134" t="s">
        <v>2139</v>
      </c>
      <c r="M134" t="b">
        <v>1</v>
      </c>
      <c r="N134" s="7">
        <v>45930</v>
      </c>
      <c r="O134" t="s">
        <v>1244</v>
      </c>
      <c r="P134">
        <v>35.310869140000001</v>
      </c>
      <c r="Q134">
        <v>-120.6627898</v>
      </c>
      <c r="R134" t="s">
        <v>1808</v>
      </c>
      <c r="S134">
        <v>19944</v>
      </c>
      <c r="T134" t="s">
        <v>1809</v>
      </c>
      <c r="U134" t="s">
        <v>2138</v>
      </c>
      <c r="V134">
        <v>692</v>
      </c>
      <c r="W134" t="s">
        <v>2040</v>
      </c>
      <c r="X134" t="b">
        <v>0</v>
      </c>
      <c r="Y134" t="s">
        <v>1811</v>
      </c>
      <c r="Z134" s="6"/>
    </row>
    <row r="135" spans="1:26" ht="14.45" customHeight="1">
      <c r="A135">
        <v>1</v>
      </c>
      <c r="B135" t="s">
        <v>1802</v>
      </c>
      <c r="C135" t="s">
        <v>1803</v>
      </c>
      <c r="D135" t="s">
        <v>1946</v>
      </c>
      <c r="E135" s="7">
        <v>45597</v>
      </c>
      <c r="F135">
        <v>1</v>
      </c>
      <c r="G135">
        <f t="shared" si="2"/>
        <v>2.5399999999999999E-2</v>
      </c>
      <c r="H135" t="s">
        <v>1838</v>
      </c>
      <c r="I135" t="s">
        <v>1805</v>
      </c>
      <c r="J135" t="s">
        <v>1803</v>
      </c>
      <c r="K135" t="s">
        <v>2140</v>
      </c>
      <c r="M135" t="b">
        <v>1</v>
      </c>
      <c r="N135" s="7">
        <v>45637</v>
      </c>
      <c r="O135" t="s">
        <v>1807</v>
      </c>
      <c r="P135">
        <v>35.310936640000001</v>
      </c>
      <c r="Q135">
        <v>-120.66293709999999</v>
      </c>
      <c r="R135" t="s">
        <v>1808</v>
      </c>
      <c r="S135">
        <v>19940</v>
      </c>
      <c r="T135" t="s">
        <v>1809</v>
      </c>
      <c r="U135" t="s">
        <v>2141</v>
      </c>
      <c r="V135">
        <v>688</v>
      </c>
      <c r="W135" t="s">
        <v>2040</v>
      </c>
      <c r="X135" t="b">
        <v>0</v>
      </c>
      <c r="Y135" t="s">
        <v>1811</v>
      </c>
      <c r="Z135" s="6"/>
    </row>
    <row r="136" spans="1:26" ht="14.45" customHeight="1">
      <c r="A136">
        <v>6</v>
      </c>
      <c r="B136" t="s">
        <v>1802</v>
      </c>
      <c r="C136" t="s">
        <v>1803</v>
      </c>
      <c r="D136" t="s">
        <v>1946</v>
      </c>
      <c r="E136" s="7">
        <v>45597</v>
      </c>
      <c r="F136">
        <v>5</v>
      </c>
      <c r="G136">
        <f t="shared" si="2"/>
        <v>0.127</v>
      </c>
      <c r="H136" t="s">
        <v>1814</v>
      </c>
      <c r="I136" t="s">
        <v>1805</v>
      </c>
      <c r="J136" t="s">
        <v>1803</v>
      </c>
      <c r="K136" t="s">
        <v>2142</v>
      </c>
      <c r="M136" t="b">
        <v>1</v>
      </c>
      <c r="N136" s="7">
        <v>45603</v>
      </c>
      <c r="O136" t="s">
        <v>1807</v>
      </c>
      <c r="P136">
        <v>35.310663179999999</v>
      </c>
      <c r="Q136">
        <v>-120.6629784</v>
      </c>
      <c r="R136" t="s">
        <v>1808</v>
      </c>
      <c r="S136">
        <v>19947</v>
      </c>
      <c r="T136" t="s">
        <v>1809</v>
      </c>
      <c r="V136">
        <v>695</v>
      </c>
      <c r="W136" t="s">
        <v>2040</v>
      </c>
      <c r="X136" t="b">
        <v>0</v>
      </c>
      <c r="Y136" t="s">
        <v>1811</v>
      </c>
      <c r="Z136" s="6"/>
    </row>
    <row r="137" spans="1:26" ht="14.45" customHeight="1">
      <c r="A137">
        <v>396</v>
      </c>
      <c r="B137" t="s">
        <v>1824</v>
      </c>
      <c r="C137" t="s">
        <v>1825</v>
      </c>
      <c r="D137" t="s">
        <v>1826</v>
      </c>
      <c r="E137" s="7">
        <v>45597</v>
      </c>
      <c r="F137">
        <v>6</v>
      </c>
      <c r="G137">
        <f t="shared" si="2"/>
        <v>0.15239999999999998</v>
      </c>
      <c r="H137" t="s">
        <v>1804</v>
      </c>
      <c r="I137" t="s">
        <v>1815</v>
      </c>
      <c r="J137" t="s">
        <v>1825</v>
      </c>
      <c r="K137" t="s">
        <v>2143</v>
      </c>
      <c r="M137" t="b">
        <v>1</v>
      </c>
      <c r="N137" s="7">
        <v>45930</v>
      </c>
      <c r="O137" t="s">
        <v>1828</v>
      </c>
      <c r="P137">
        <v>35.310825919999999</v>
      </c>
      <c r="Q137">
        <v>-120.6627623</v>
      </c>
      <c r="R137" t="s">
        <v>1808</v>
      </c>
      <c r="S137">
        <v>19942</v>
      </c>
      <c r="T137" t="s">
        <v>1809</v>
      </c>
      <c r="U137" t="s">
        <v>2144</v>
      </c>
      <c r="V137">
        <v>690</v>
      </c>
      <c r="W137" t="s">
        <v>2040</v>
      </c>
      <c r="X137" t="b">
        <v>0</v>
      </c>
      <c r="Y137" t="s">
        <v>1811</v>
      </c>
      <c r="Z137" s="6"/>
    </row>
    <row r="138" spans="1:26" ht="14.45" customHeight="1">
      <c r="A138">
        <v>102</v>
      </c>
      <c r="B138" t="s">
        <v>1957</v>
      </c>
      <c r="C138" t="s">
        <v>1958</v>
      </c>
      <c r="D138" t="s">
        <v>2003</v>
      </c>
      <c r="E138" s="7">
        <v>45597</v>
      </c>
      <c r="F138">
        <v>16</v>
      </c>
      <c r="G138">
        <f t="shared" si="2"/>
        <v>0.40639999999999998</v>
      </c>
      <c r="H138" t="s">
        <v>1855</v>
      </c>
      <c r="J138" t="s">
        <v>1825</v>
      </c>
      <c r="K138" t="s">
        <v>2145</v>
      </c>
      <c r="M138" t="b">
        <v>0</v>
      </c>
      <c r="N138" s="7">
        <v>45637</v>
      </c>
      <c r="O138" t="s">
        <v>1960</v>
      </c>
      <c r="P138">
        <v>35.310686060000002</v>
      </c>
      <c r="Q138">
        <v>-120.662958</v>
      </c>
      <c r="R138" t="s">
        <v>1808</v>
      </c>
      <c r="S138">
        <v>19946</v>
      </c>
      <c r="T138" t="s">
        <v>1809</v>
      </c>
      <c r="U138" t="s">
        <v>2146</v>
      </c>
      <c r="V138">
        <v>694</v>
      </c>
      <c r="W138" t="s">
        <v>2040</v>
      </c>
      <c r="X138" t="b">
        <v>0</v>
      </c>
      <c r="Y138" t="s">
        <v>1811</v>
      </c>
      <c r="Z138" s="6"/>
    </row>
    <row r="139" spans="1:26" ht="14.45" customHeight="1">
      <c r="A139">
        <v>359</v>
      </c>
      <c r="B139" t="s">
        <v>2060</v>
      </c>
      <c r="C139" t="s">
        <v>2061</v>
      </c>
      <c r="D139" t="s">
        <v>1946</v>
      </c>
      <c r="E139" s="7">
        <v>45597</v>
      </c>
      <c r="F139">
        <v>2</v>
      </c>
      <c r="G139">
        <f t="shared" si="2"/>
        <v>5.0799999999999998E-2</v>
      </c>
      <c r="H139" t="s">
        <v>1838</v>
      </c>
      <c r="I139" t="s">
        <v>2062</v>
      </c>
      <c r="J139" t="s">
        <v>2063</v>
      </c>
      <c r="K139" t="s">
        <v>2147</v>
      </c>
      <c r="M139" t="b">
        <v>1</v>
      </c>
      <c r="N139" s="7">
        <v>45637</v>
      </c>
      <c r="O139" t="s">
        <v>1438</v>
      </c>
      <c r="P139">
        <v>35.310614909999998</v>
      </c>
      <c r="Q139">
        <v>-120.66166370000001</v>
      </c>
      <c r="R139" t="s">
        <v>1808</v>
      </c>
      <c r="S139">
        <v>19955</v>
      </c>
      <c r="T139" t="s">
        <v>1809</v>
      </c>
      <c r="U139" t="s">
        <v>2065</v>
      </c>
      <c r="V139">
        <v>702</v>
      </c>
      <c r="W139" t="s">
        <v>2040</v>
      </c>
      <c r="X139" t="b">
        <v>0</v>
      </c>
      <c r="Y139" t="s">
        <v>2055</v>
      </c>
      <c r="Z139" s="6"/>
    </row>
    <row r="140" spans="1:26" ht="14.45" customHeight="1">
      <c r="A140">
        <v>324</v>
      </c>
      <c r="B140" t="s">
        <v>2148</v>
      </c>
      <c r="C140" t="s">
        <v>2149</v>
      </c>
      <c r="D140" t="s">
        <v>2003</v>
      </c>
      <c r="E140" s="7">
        <v>45597</v>
      </c>
      <c r="F140">
        <v>1</v>
      </c>
      <c r="G140">
        <f t="shared" si="2"/>
        <v>2.5399999999999999E-2</v>
      </c>
      <c r="H140" t="s">
        <v>1838</v>
      </c>
      <c r="I140" t="s">
        <v>1882</v>
      </c>
      <c r="J140" t="s">
        <v>2150</v>
      </c>
      <c r="K140" t="s">
        <v>2151</v>
      </c>
      <c r="M140" t="b">
        <v>1</v>
      </c>
      <c r="N140" s="7">
        <v>45610</v>
      </c>
      <c r="O140" t="s">
        <v>1409</v>
      </c>
      <c r="P140">
        <v>35.310475789999998</v>
      </c>
      <c r="Q140">
        <v>-120.6612854</v>
      </c>
      <c r="R140" t="s">
        <v>1808</v>
      </c>
      <c r="S140">
        <v>19953</v>
      </c>
      <c r="T140" t="s">
        <v>1809</v>
      </c>
      <c r="U140" t="s">
        <v>2152</v>
      </c>
      <c r="V140">
        <v>700</v>
      </c>
      <c r="W140" t="s">
        <v>2040</v>
      </c>
      <c r="X140" t="b">
        <v>0</v>
      </c>
      <c r="Y140" t="s">
        <v>2055</v>
      </c>
      <c r="Z140" s="6"/>
    </row>
    <row r="141" spans="1:26" ht="14.45" customHeight="1">
      <c r="A141">
        <v>138</v>
      </c>
      <c r="B141" t="s">
        <v>2153</v>
      </c>
      <c r="C141" t="s">
        <v>2154</v>
      </c>
      <c r="D141" t="s">
        <v>2003</v>
      </c>
      <c r="E141" s="7">
        <v>45597</v>
      </c>
      <c r="F141">
        <v>5</v>
      </c>
      <c r="G141">
        <f t="shared" si="2"/>
        <v>0.127</v>
      </c>
      <c r="H141" t="s">
        <v>1814</v>
      </c>
      <c r="J141" t="s">
        <v>1883</v>
      </c>
      <c r="K141" t="s">
        <v>2155</v>
      </c>
      <c r="M141" t="b">
        <v>1</v>
      </c>
      <c r="N141" s="7">
        <v>45637</v>
      </c>
      <c r="O141" t="s">
        <v>2156</v>
      </c>
      <c r="P141">
        <v>35.310601779999999</v>
      </c>
      <c r="Q141">
        <v>-120.6616235</v>
      </c>
      <c r="R141" t="s">
        <v>1808</v>
      </c>
      <c r="S141">
        <v>19956</v>
      </c>
      <c r="T141" t="s">
        <v>1809</v>
      </c>
      <c r="U141" t="s">
        <v>2157</v>
      </c>
      <c r="V141">
        <v>703</v>
      </c>
      <c r="W141" t="s">
        <v>2040</v>
      </c>
      <c r="X141" t="b">
        <v>0</v>
      </c>
      <c r="Y141" t="s">
        <v>2055</v>
      </c>
      <c r="Z141" s="6"/>
    </row>
    <row r="142" spans="1:26" ht="14.45" customHeight="1">
      <c r="A142">
        <v>427</v>
      </c>
      <c r="B142" t="s">
        <v>2027</v>
      </c>
      <c r="C142" t="s">
        <v>2028</v>
      </c>
      <c r="D142" t="s">
        <v>2003</v>
      </c>
      <c r="E142" s="7">
        <v>45597</v>
      </c>
      <c r="F142">
        <v>5</v>
      </c>
      <c r="G142">
        <f t="shared" si="2"/>
        <v>0.127</v>
      </c>
      <c r="H142" t="s">
        <v>1814</v>
      </c>
      <c r="J142" t="s">
        <v>1983</v>
      </c>
      <c r="K142" t="s">
        <v>2158</v>
      </c>
      <c r="M142" t="b">
        <v>1</v>
      </c>
      <c r="N142" s="7">
        <v>45637</v>
      </c>
      <c r="O142" t="s">
        <v>2030</v>
      </c>
      <c r="P142">
        <v>35.310568660000001</v>
      </c>
      <c r="Q142">
        <v>-120.66152339999999</v>
      </c>
      <c r="R142" t="s">
        <v>1808</v>
      </c>
      <c r="S142">
        <v>19954</v>
      </c>
      <c r="T142" t="s">
        <v>1809</v>
      </c>
      <c r="U142" t="s">
        <v>2159</v>
      </c>
      <c r="V142">
        <v>701</v>
      </c>
      <c r="W142" t="s">
        <v>2040</v>
      </c>
      <c r="X142" t="b">
        <v>0</v>
      </c>
      <c r="Y142" t="s">
        <v>2055</v>
      </c>
      <c r="Z142" s="6"/>
    </row>
    <row r="143" spans="1:26" ht="14.45" customHeight="1">
      <c r="A143">
        <v>471</v>
      </c>
      <c r="B143" t="s">
        <v>2160</v>
      </c>
      <c r="C143" t="s">
        <v>2161</v>
      </c>
      <c r="D143" t="s">
        <v>1826</v>
      </c>
      <c r="E143" s="7">
        <v>45597</v>
      </c>
      <c r="F143">
        <v>2</v>
      </c>
      <c r="G143">
        <f t="shared" si="2"/>
        <v>5.0799999999999998E-2</v>
      </c>
      <c r="H143" t="s">
        <v>1838</v>
      </c>
      <c r="J143" t="s">
        <v>2162</v>
      </c>
      <c r="K143" t="s">
        <v>2163</v>
      </c>
      <c r="M143" t="b">
        <v>1</v>
      </c>
      <c r="N143" s="7">
        <v>45637</v>
      </c>
      <c r="O143" t="s">
        <v>2164</v>
      </c>
      <c r="P143">
        <v>35.31061382</v>
      </c>
      <c r="Q143">
        <v>-120.6616396</v>
      </c>
      <c r="R143" t="s">
        <v>1808</v>
      </c>
      <c r="S143">
        <v>19958</v>
      </c>
      <c r="T143" t="s">
        <v>1809</v>
      </c>
      <c r="U143" t="s">
        <v>2165</v>
      </c>
      <c r="V143">
        <v>705</v>
      </c>
      <c r="W143" t="s">
        <v>2040</v>
      </c>
      <c r="X143" t="b">
        <v>0</v>
      </c>
      <c r="Y143" t="s">
        <v>2055</v>
      </c>
      <c r="Z143" s="6"/>
    </row>
    <row r="144" spans="1:26" ht="14.45" customHeight="1">
      <c r="A144">
        <v>472</v>
      </c>
      <c r="B144" t="s">
        <v>2160</v>
      </c>
      <c r="C144" t="s">
        <v>2161</v>
      </c>
      <c r="D144" t="s">
        <v>2003</v>
      </c>
      <c r="E144" s="7">
        <v>45597</v>
      </c>
      <c r="F144">
        <v>2</v>
      </c>
      <c r="G144">
        <f t="shared" si="2"/>
        <v>5.0799999999999998E-2</v>
      </c>
      <c r="H144" t="s">
        <v>1838</v>
      </c>
      <c r="J144" t="s">
        <v>2162</v>
      </c>
      <c r="K144" t="s">
        <v>2166</v>
      </c>
      <c r="M144" t="b">
        <v>1</v>
      </c>
      <c r="N144" s="7">
        <v>45637</v>
      </c>
      <c r="O144" t="s">
        <v>2164</v>
      </c>
      <c r="P144">
        <v>35.310589739999998</v>
      </c>
      <c r="Q144">
        <v>-120.6616181</v>
      </c>
      <c r="R144" t="s">
        <v>1808</v>
      </c>
      <c r="S144">
        <v>19957</v>
      </c>
      <c r="T144" t="s">
        <v>1809</v>
      </c>
      <c r="U144" t="s">
        <v>2165</v>
      </c>
      <c r="V144">
        <v>704</v>
      </c>
      <c r="W144" t="s">
        <v>2040</v>
      </c>
      <c r="X144" t="b">
        <v>0</v>
      </c>
      <c r="Y144" t="s">
        <v>2055</v>
      </c>
      <c r="Z144" s="6"/>
    </row>
    <row r="145" spans="1:26" ht="14.45" customHeight="1">
      <c r="A145">
        <v>17</v>
      </c>
      <c r="B145" t="s">
        <v>2167</v>
      </c>
      <c r="C145" t="s">
        <v>2168</v>
      </c>
      <c r="D145" t="s">
        <v>2003</v>
      </c>
      <c r="E145" s="7">
        <v>45597</v>
      </c>
      <c r="F145">
        <v>7</v>
      </c>
      <c r="G145">
        <f t="shared" si="2"/>
        <v>0.17779999999999999</v>
      </c>
      <c r="H145" t="s">
        <v>1804</v>
      </c>
      <c r="I145" t="s">
        <v>2169</v>
      </c>
      <c r="J145" t="s">
        <v>2170</v>
      </c>
      <c r="K145" t="s">
        <v>2171</v>
      </c>
      <c r="M145" t="b">
        <v>1</v>
      </c>
      <c r="N145" s="7">
        <v>45637</v>
      </c>
      <c r="O145" t="s">
        <v>2172</v>
      </c>
      <c r="P145">
        <v>35.3106236</v>
      </c>
      <c r="Q145">
        <v>-120.6622631</v>
      </c>
      <c r="R145" t="s">
        <v>1808</v>
      </c>
      <c r="S145">
        <v>19950</v>
      </c>
      <c r="T145" t="s">
        <v>1809</v>
      </c>
      <c r="U145" t="s">
        <v>2173</v>
      </c>
      <c r="V145">
        <v>698</v>
      </c>
      <c r="W145" t="s">
        <v>2040</v>
      </c>
      <c r="X145" t="b">
        <v>0</v>
      </c>
      <c r="Y145" t="s">
        <v>2101</v>
      </c>
      <c r="Z145" s="6"/>
    </row>
    <row r="146" spans="1:26" ht="14.45" customHeight="1">
      <c r="A146">
        <v>18</v>
      </c>
      <c r="B146" t="s">
        <v>2167</v>
      </c>
      <c r="C146" t="s">
        <v>2168</v>
      </c>
      <c r="D146" t="s">
        <v>2003</v>
      </c>
      <c r="E146" s="7">
        <v>45597</v>
      </c>
      <c r="F146">
        <v>9</v>
      </c>
      <c r="G146">
        <f t="shared" si="2"/>
        <v>0.2286</v>
      </c>
      <c r="H146" t="s">
        <v>1804</v>
      </c>
      <c r="I146" t="s">
        <v>2169</v>
      </c>
      <c r="J146" t="s">
        <v>2170</v>
      </c>
      <c r="K146" t="s">
        <v>2174</v>
      </c>
      <c r="M146" t="b">
        <v>1</v>
      </c>
      <c r="N146" s="7">
        <v>45637</v>
      </c>
      <c r="O146" t="s">
        <v>2172</v>
      </c>
      <c r="P146">
        <v>35.310607179999998</v>
      </c>
      <c r="Q146">
        <v>-120.6622711</v>
      </c>
      <c r="R146" t="s">
        <v>1808</v>
      </c>
      <c r="S146">
        <v>19949</v>
      </c>
      <c r="T146" t="s">
        <v>1809</v>
      </c>
      <c r="U146" t="s">
        <v>2173</v>
      </c>
      <c r="V146">
        <v>697</v>
      </c>
      <c r="W146" t="s">
        <v>2040</v>
      </c>
      <c r="X146" t="b">
        <v>0</v>
      </c>
      <c r="Y146" t="s">
        <v>2101</v>
      </c>
      <c r="Z146" s="6"/>
    </row>
    <row r="147" spans="1:26" ht="14.45" customHeight="1">
      <c r="A147">
        <v>400</v>
      </c>
      <c r="B147" t="s">
        <v>2175</v>
      </c>
      <c r="C147" t="s">
        <v>2176</v>
      </c>
      <c r="D147" t="s">
        <v>1826</v>
      </c>
      <c r="E147" s="7">
        <v>45597</v>
      </c>
      <c r="F147">
        <v>13</v>
      </c>
      <c r="G147">
        <f t="shared" si="2"/>
        <v>0.33019999999999999</v>
      </c>
      <c r="H147" t="s">
        <v>1855</v>
      </c>
      <c r="I147" t="s">
        <v>2169</v>
      </c>
      <c r="J147" t="s">
        <v>2177</v>
      </c>
      <c r="K147" t="s">
        <v>2178</v>
      </c>
      <c r="M147" t="b">
        <v>1</v>
      </c>
      <c r="N147" s="7">
        <v>45637</v>
      </c>
      <c r="O147" t="s">
        <v>2179</v>
      </c>
      <c r="P147">
        <v>35.310586389999997</v>
      </c>
      <c r="Q147">
        <v>-120.6622644</v>
      </c>
      <c r="R147" t="s">
        <v>1808</v>
      </c>
      <c r="S147">
        <v>19948</v>
      </c>
      <c r="T147" t="s">
        <v>1809</v>
      </c>
      <c r="U147" t="s">
        <v>2180</v>
      </c>
      <c r="V147">
        <v>696</v>
      </c>
      <c r="W147" t="s">
        <v>2040</v>
      </c>
      <c r="X147" t="b">
        <v>0</v>
      </c>
      <c r="Y147" t="s">
        <v>2101</v>
      </c>
      <c r="Z147" s="6"/>
    </row>
    <row r="148" spans="1:26" ht="14.45" customHeight="1">
      <c r="A148">
        <v>507</v>
      </c>
      <c r="B148" t="s">
        <v>2181</v>
      </c>
      <c r="C148" t="s">
        <v>2182</v>
      </c>
      <c r="D148" t="s">
        <v>2003</v>
      </c>
      <c r="E148" s="7">
        <v>45597</v>
      </c>
      <c r="F148">
        <v>7</v>
      </c>
      <c r="G148">
        <f t="shared" si="2"/>
        <v>0.17779999999999999</v>
      </c>
      <c r="H148" t="s">
        <v>1804</v>
      </c>
      <c r="I148" t="s">
        <v>2169</v>
      </c>
      <c r="J148" t="s">
        <v>2183</v>
      </c>
      <c r="K148" t="s">
        <v>2184</v>
      </c>
      <c r="M148" t="b">
        <v>1</v>
      </c>
      <c r="N148" s="7">
        <v>45637</v>
      </c>
      <c r="O148" t="s">
        <v>2185</v>
      </c>
      <c r="P148">
        <v>35.310625790000003</v>
      </c>
      <c r="Q148">
        <v>-120.66222689999999</v>
      </c>
      <c r="R148" t="s">
        <v>1808</v>
      </c>
      <c r="S148">
        <v>19951</v>
      </c>
      <c r="T148" t="s">
        <v>1809</v>
      </c>
      <c r="U148" t="s">
        <v>2186</v>
      </c>
      <c r="V148">
        <v>699</v>
      </c>
      <c r="W148" t="s">
        <v>2040</v>
      </c>
      <c r="X148" t="b">
        <v>0</v>
      </c>
      <c r="Y148" t="s">
        <v>2101</v>
      </c>
      <c r="Z148" s="6"/>
    </row>
    <row r="149" spans="1:26" ht="14.45" customHeight="1">
      <c r="A149">
        <v>390</v>
      </c>
      <c r="B149" t="s">
        <v>2187</v>
      </c>
      <c r="C149" t="s">
        <v>2188</v>
      </c>
      <c r="D149" t="s">
        <v>2003</v>
      </c>
      <c r="E149" s="7">
        <v>45594</v>
      </c>
      <c r="F149">
        <v>7</v>
      </c>
      <c r="G149">
        <f t="shared" si="2"/>
        <v>0.17779999999999999</v>
      </c>
      <c r="H149" t="s">
        <v>1804</v>
      </c>
      <c r="I149" t="s">
        <v>2169</v>
      </c>
      <c r="J149" t="s">
        <v>2189</v>
      </c>
      <c r="K149" t="s">
        <v>2190</v>
      </c>
      <c r="M149" t="b">
        <v>1</v>
      </c>
      <c r="N149" s="7">
        <v>45637</v>
      </c>
      <c r="O149" t="s">
        <v>2191</v>
      </c>
      <c r="P149">
        <v>35.31052545</v>
      </c>
      <c r="Q149">
        <v>-120.6622928</v>
      </c>
      <c r="R149" t="s">
        <v>1808</v>
      </c>
      <c r="S149">
        <v>19838</v>
      </c>
      <c r="T149" t="s">
        <v>1809</v>
      </c>
      <c r="U149" t="s">
        <v>2192</v>
      </c>
      <c r="V149">
        <v>687</v>
      </c>
      <c r="W149" t="s">
        <v>2040</v>
      </c>
      <c r="X149" t="b">
        <v>0</v>
      </c>
      <c r="Y149" t="s">
        <v>2101</v>
      </c>
      <c r="Z149" s="6"/>
    </row>
    <row r="150" spans="1:26" ht="14.45" customHeight="1">
      <c r="A150">
        <v>478</v>
      </c>
      <c r="B150" t="s">
        <v>2193</v>
      </c>
      <c r="C150" t="s">
        <v>2194</v>
      </c>
      <c r="D150" t="s">
        <v>2003</v>
      </c>
      <c r="E150" s="7">
        <v>45594</v>
      </c>
      <c r="F150">
        <v>5</v>
      </c>
      <c r="G150">
        <f t="shared" si="2"/>
        <v>0.127</v>
      </c>
      <c r="H150" t="s">
        <v>1814</v>
      </c>
      <c r="I150" t="s">
        <v>2169</v>
      </c>
      <c r="J150" t="s">
        <v>2183</v>
      </c>
      <c r="K150" t="s">
        <v>2195</v>
      </c>
      <c r="M150" t="b">
        <v>1</v>
      </c>
      <c r="N150" s="7">
        <v>45637</v>
      </c>
      <c r="O150" t="s">
        <v>1308</v>
      </c>
      <c r="P150">
        <v>35.310601089999999</v>
      </c>
      <c r="Q150">
        <v>-120.6623871</v>
      </c>
      <c r="R150" t="s">
        <v>1808</v>
      </c>
      <c r="S150">
        <v>19835</v>
      </c>
      <c r="T150" t="s">
        <v>1809</v>
      </c>
      <c r="U150" t="s">
        <v>2196</v>
      </c>
      <c r="V150">
        <v>685</v>
      </c>
      <c r="W150" t="s">
        <v>2040</v>
      </c>
      <c r="X150" t="b">
        <v>0</v>
      </c>
      <c r="Y150" t="s">
        <v>2101</v>
      </c>
      <c r="Z150" s="6"/>
    </row>
    <row r="151" spans="1:26" ht="14.45" customHeight="1">
      <c r="A151">
        <v>465</v>
      </c>
      <c r="B151" t="s">
        <v>2197</v>
      </c>
      <c r="C151" t="s">
        <v>2198</v>
      </c>
      <c r="D151" t="s">
        <v>2003</v>
      </c>
      <c r="E151" s="7">
        <v>45594</v>
      </c>
      <c r="F151">
        <v>18</v>
      </c>
      <c r="G151">
        <f t="shared" si="2"/>
        <v>0.4572</v>
      </c>
      <c r="H151" t="s">
        <v>1842</v>
      </c>
      <c r="J151" t="s">
        <v>2045</v>
      </c>
      <c r="K151" t="s">
        <v>2199</v>
      </c>
      <c r="M151" t="b">
        <v>1</v>
      </c>
      <c r="N151" s="7">
        <v>45889</v>
      </c>
      <c r="O151" t="s">
        <v>2198</v>
      </c>
      <c r="P151">
        <v>35.310773650000002</v>
      </c>
      <c r="Q151">
        <v>-120.66234420000001</v>
      </c>
      <c r="R151" t="s">
        <v>1808</v>
      </c>
      <c r="S151">
        <v>19836</v>
      </c>
      <c r="T151" t="s">
        <v>1809</v>
      </c>
      <c r="U151" t="s">
        <v>2200</v>
      </c>
      <c r="V151">
        <v>686</v>
      </c>
      <c r="W151" t="s">
        <v>2040</v>
      </c>
      <c r="X151" t="b">
        <v>0</v>
      </c>
      <c r="Y151" t="s">
        <v>2101</v>
      </c>
      <c r="Z151" s="6"/>
    </row>
    <row r="152" spans="1:26" ht="14.45" customHeight="1">
      <c r="A152">
        <v>364</v>
      </c>
      <c r="B152" t="s">
        <v>2060</v>
      </c>
      <c r="C152" t="s">
        <v>2061</v>
      </c>
      <c r="D152" t="s">
        <v>1946</v>
      </c>
      <c r="E152" s="7">
        <v>45593</v>
      </c>
      <c r="F152">
        <v>4</v>
      </c>
      <c r="G152">
        <f t="shared" si="2"/>
        <v>0.1016</v>
      </c>
      <c r="H152" t="s">
        <v>1814</v>
      </c>
      <c r="I152" t="s">
        <v>2062</v>
      </c>
      <c r="J152" t="s">
        <v>2063</v>
      </c>
      <c r="K152" t="s">
        <v>2201</v>
      </c>
      <c r="M152" t="b">
        <v>1</v>
      </c>
      <c r="N152" s="7">
        <v>45637</v>
      </c>
      <c r="O152" t="s">
        <v>1438</v>
      </c>
      <c r="P152">
        <v>35.3105647</v>
      </c>
      <c r="Q152">
        <v>-120.6618737</v>
      </c>
      <c r="R152" t="s">
        <v>1808</v>
      </c>
      <c r="S152">
        <v>19831</v>
      </c>
      <c r="T152" t="s">
        <v>1809</v>
      </c>
      <c r="U152" t="s">
        <v>2202</v>
      </c>
      <c r="V152">
        <v>681</v>
      </c>
      <c r="W152" t="s">
        <v>2040</v>
      </c>
      <c r="X152" t="b">
        <v>0</v>
      </c>
      <c r="Y152" t="s">
        <v>2055</v>
      </c>
      <c r="Z152" s="6"/>
    </row>
    <row r="153" spans="1:26" ht="14.45" customHeight="1">
      <c r="A153">
        <v>140</v>
      </c>
      <c r="B153" t="s">
        <v>2203</v>
      </c>
      <c r="C153" t="s">
        <v>2204</v>
      </c>
      <c r="D153" t="s">
        <v>2003</v>
      </c>
      <c r="E153" s="7">
        <v>45593</v>
      </c>
      <c r="F153">
        <v>3</v>
      </c>
      <c r="G153">
        <f t="shared" si="2"/>
        <v>7.619999999999999E-2</v>
      </c>
      <c r="H153" t="s">
        <v>1814</v>
      </c>
      <c r="J153" t="s">
        <v>2205</v>
      </c>
      <c r="K153" t="s">
        <v>2206</v>
      </c>
      <c r="M153" t="b">
        <v>1</v>
      </c>
      <c r="N153" s="7">
        <v>45637</v>
      </c>
      <c r="O153" t="s">
        <v>1519</v>
      </c>
      <c r="P153">
        <v>35.310477089999999</v>
      </c>
      <c r="Q153">
        <v>-120.6619659</v>
      </c>
      <c r="R153" t="s">
        <v>1808</v>
      </c>
      <c r="S153">
        <v>19832</v>
      </c>
      <c r="T153" t="s">
        <v>1809</v>
      </c>
      <c r="U153" t="s">
        <v>2207</v>
      </c>
      <c r="V153">
        <v>682</v>
      </c>
      <c r="W153" t="s">
        <v>2040</v>
      </c>
      <c r="X153" t="b">
        <v>0</v>
      </c>
      <c r="Y153" t="s">
        <v>2055</v>
      </c>
      <c r="Z153" s="6"/>
    </row>
    <row r="154" spans="1:26" ht="14.45" customHeight="1">
      <c r="A154">
        <v>141</v>
      </c>
      <c r="B154" t="s">
        <v>2203</v>
      </c>
      <c r="C154" t="s">
        <v>2204</v>
      </c>
      <c r="D154" t="s">
        <v>2003</v>
      </c>
      <c r="E154" s="7">
        <v>45593</v>
      </c>
      <c r="F154">
        <v>4</v>
      </c>
      <c r="G154">
        <f t="shared" si="2"/>
        <v>0.1016</v>
      </c>
      <c r="H154" t="s">
        <v>1814</v>
      </c>
      <c r="J154" t="s">
        <v>2205</v>
      </c>
      <c r="K154" t="s">
        <v>2208</v>
      </c>
      <c r="M154" t="b">
        <v>1</v>
      </c>
      <c r="N154" s="7">
        <v>45637</v>
      </c>
      <c r="O154" t="s">
        <v>1519</v>
      </c>
      <c r="P154">
        <v>35.31050011</v>
      </c>
      <c r="Q154">
        <v>-120.6618903</v>
      </c>
      <c r="R154" t="s">
        <v>1808</v>
      </c>
      <c r="S154">
        <v>19833</v>
      </c>
      <c r="T154" t="s">
        <v>1809</v>
      </c>
      <c r="U154" t="s">
        <v>2209</v>
      </c>
      <c r="V154">
        <v>683</v>
      </c>
      <c r="W154" t="s">
        <v>2040</v>
      </c>
      <c r="X154" t="b">
        <v>0</v>
      </c>
      <c r="Y154" t="s">
        <v>2055</v>
      </c>
      <c r="Z154" s="6"/>
    </row>
    <row r="155" spans="1:26" ht="14.45" customHeight="1">
      <c r="A155">
        <v>25</v>
      </c>
      <c r="B155" t="s">
        <v>2210</v>
      </c>
      <c r="C155" t="s">
        <v>2211</v>
      </c>
      <c r="D155" t="s">
        <v>2003</v>
      </c>
      <c r="E155" s="7">
        <v>45593</v>
      </c>
      <c r="F155">
        <v>2</v>
      </c>
      <c r="G155">
        <f t="shared" si="2"/>
        <v>5.0799999999999998E-2</v>
      </c>
      <c r="H155" t="s">
        <v>1838</v>
      </c>
      <c r="J155" t="s">
        <v>2212</v>
      </c>
      <c r="K155" t="s">
        <v>2213</v>
      </c>
      <c r="M155" t="b">
        <v>1</v>
      </c>
      <c r="N155" s="7">
        <v>45604</v>
      </c>
      <c r="O155" t="s">
        <v>2214</v>
      </c>
      <c r="P155">
        <v>35.310759590000004</v>
      </c>
      <c r="Q155">
        <v>-120.6626711</v>
      </c>
      <c r="R155" t="s">
        <v>1808</v>
      </c>
      <c r="S155">
        <v>19834</v>
      </c>
      <c r="T155" t="s">
        <v>1809</v>
      </c>
      <c r="U155" t="s">
        <v>2215</v>
      </c>
      <c r="V155">
        <v>684</v>
      </c>
      <c r="W155" t="s">
        <v>2040</v>
      </c>
      <c r="X155" t="b">
        <v>0</v>
      </c>
      <c r="Y155" t="s">
        <v>2116</v>
      </c>
      <c r="Z155" s="6"/>
    </row>
    <row r="156" spans="1:26" ht="14.45" customHeight="1">
      <c r="A156">
        <v>549</v>
      </c>
      <c r="B156" t="s">
        <v>2216</v>
      </c>
      <c r="C156" t="s">
        <v>2217</v>
      </c>
      <c r="D156" t="s">
        <v>1826</v>
      </c>
      <c r="E156" s="7">
        <v>45593</v>
      </c>
      <c r="F156">
        <v>1</v>
      </c>
      <c r="G156">
        <f t="shared" si="2"/>
        <v>2.5399999999999999E-2</v>
      </c>
      <c r="H156" t="s">
        <v>1838</v>
      </c>
      <c r="I156" t="s">
        <v>2218</v>
      </c>
      <c r="J156" t="s">
        <v>2219</v>
      </c>
      <c r="K156" t="s">
        <v>2220</v>
      </c>
      <c r="M156" t="b">
        <v>1</v>
      </c>
      <c r="N156" s="7">
        <v>45637</v>
      </c>
      <c r="O156" t="s">
        <v>2221</v>
      </c>
      <c r="P156">
        <v>35.310261529999998</v>
      </c>
      <c r="Q156">
        <v>-120.6622551</v>
      </c>
      <c r="R156" t="s">
        <v>1808</v>
      </c>
      <c r="S156">
        <v>19830</v>
      </c>
      <c r="T156" t="s">
        <v>1809</v>
      </c>
      <c r="U156" t="s">
        <v>2222</v>
      </c>
      <c r="V156">
        <v>680</v>
      </c>
      <c r="W156" t="s">
        <v>2040</v>
      </c>
      <c r="X156" t="b">
        <v>0</v>
      </c>
      <c r="Y156" t="s">
        <v>2075</v>
      </c>
      <c r="Z156" s="6"/>
    </row>
    <row r="157" spans="1:26" ht="14.45" customHeight="1">
      <c r="A157">
        <v>177</v>
      </c>
      <c r="B157" t="s">
        <v>1624</v>
      </c>
      <c r="C157" t="s">
        <v>2072</v>
      </c>
      <c r="D157" t="s">
        <v>2003</v>
      </c>
      <c r="E157" s="7">
        <v>45590</v>
      </c>
      <c r="F157">
        <v>3</v>
      </c>
      <c r="G157">
        <f t="shared" si="2"/>
        <v>7.619999999999999E-2</v>
      </c>
      <c r="H157" t="s">
        <v>1814</v>
      </c>
      <c r="I157" t="s">
        <v>1982</v>
      </c>
      <c r="J157" t="s">
        <v>1983</v>
      </c>
      <c r="K157" t="s">
        <v>2223</v>
      </c>
      <c r="M157" t="b">
        <v>1</v>
      </c>
      <c r="N157" s="7">
        <v>45637</v>
      </c>
      <c r="O157" t="s">
        <v>2074</v>
      </c>
      <c r="P157">
        <v>35.310116620000002</v>
      </c>
      <c r="Q157">
        <v>-120.6618062</v>
      </c>
      <c r="R157" t="s">
        <v>1808</v>
      </c>
      <c r="S157">
        <v>19821</v>
      </c>
      <c r="T157" t="s">
        <v>1809</v>
      </c>
      <c r="U157" t="s">
        <v>2111</v>
      </c>
      <c r="V157">
        <v>671</v>
      </c>
      <c r="W157" t="s">
        <v>2040</v>
      </c>
      <c r="X157" t="b">
        <v>0</v>
      </c>
      <c r="Y157" t="s">
        <v>2224</v>
      </c>
      <c r="Z157" s="6"/>
    </row>
    <row r="158" spans="1:26" ht="14.45" customHeight="1">
      <c r="A158">
        <v>180</v>
      </c>
      <c r="B158" t="s">
        <v>1624</v>
      </c>
      <c r="C158" t="s">
        <v>2072</v>
      </c>
      <c r="D158" t="s">
        <v>2003</v>
      </c>
      <c r="E158" s="7">
        <v>45590</v>
      </c>
      <c r="F158">
        <v>4</v>
      </c>
      <c r="G158">
        <f t="shared" si="2"/>
        <v>0.1016</v>
      </c>
      <c r="H158" t="s">
        <v>1814</v>
      </c>
      <c r="I158" t="s">
        <v>1982</v>
      </c>
      <c r="J158" t="s">
        <v>1983</v>
      </c>
      <c r="K158" t="s">
        <v>2225</v>
      </c>
      <c r="M158" t="b">
        <v>1</v>
      </c>
      <c r="N158" s="7">
        <v>45637</v>
      </c>
      <c r="O158" t="s">
        <v>2074</v>
      </c>
      <c r="P158">
        <v>35.310125919999997</v>
      </c>
      <c r="Q158">
        <v>-120.66185179999999</v>
      </c>
      <c r="R158" t="s">
        <v>1808</v>
      </c>
      <c r="S158">
        <v>19822</v>
      </c>
      <c r="T158" t="s">
        <v>1809</v>
      </c>
      <c r="U158" t="s">
        <v>2111</v>
      </c>
      <c r="V158">
        <v>672</v>
      </c>
      <c r="W158" t="s">
        <v>2040</v>
      </c>
      <c r="X158" t="b">
        <v>0</v>
      </c>
      <c r="Y158" t="s">
        <v>2224</v>
      </c>
      <c r="Z158" s="6"/>
    </row>
    <row r="159" spans="1:26" ht="14.45" customHeight="1">
      <c r="A159">
        <v>315</v>
      </c>
      <c r="B159" t="s">
        <v>2226</v>
      </c>
      <c r="C159" t="s">
        <v>2227</v>
      </c>
      <c r="D159" t="s">
        <v>1946</v>
      </c>
      <c r="E159" s="7">
        <v>45590</v>
      </c>
      <c r="F159">
        <v>0</v>
      </c>
      <c r="G159">
        <f t="shared" si="2"/>
        <v>0</v>
      </c>
      <c r="H159" t="s">
        <v>1838</v>
      </c>
      <c r="I159" t="s">
        <v>2228</v>
      </c>
      <c r="J159" t="s">
        <v>2229</v>
      </c>
      <c r="K159" t="s">
        <v>2230</v>
      </c>
      <c r="M159" t="b">
        <v>0</v>
      </c>
      <c r="N159" s="7">
        <v>45637</v>
      </c>
      <c r="O159" t="s">
        <v>2231</v>
      </c>
      <c r="P159">
        <v>35.310083779999999</v>
      </c>
      <c r="Q159">
        <v>-120.6616198</v>
      </c>
      <c r="R159" t="s">
        <v>1808</v>
      </c>
      <c r="S159">
        <v>19827</v>
      </c>
      <c r="T159" t="s">
        <v>1809</v>
      </c>
      <c r="U159" t="s">
        <v>2232</v>
      </c>
      <c r="V159">
        <v>677</v>
      </c>
      <c r="W159" t="s">
        <v>2040</v>
      </c>
      <c r="X159" t="b">
        <v>0</v>
      </c>
      <c r="Y159" t="s">
        <v>2224</v>
      </c>
      <c r="Z159" s="6"/>
    </row>
    <row r="160" spans="1:26" ht="14.45" customHeight="1">
      <c r="A160">
        <v>249</v>
      </c>
      <c r="B160" t="s">
        <v>2233</v>
      </c>
      <c r="C160" t="s">
        <v>2234</v>
      </c>
      <c r="D160" t="s">
        <v>2003</v>
      </c>
      <c r="E160" s="7">
        <v>45590</v>
      </c>
      <c r="F160">
        <v>3</v>
      </c>
      <c r="G160">
        <f t="shared" si="2"/>
        <v>7.619999999999999E-2</v>
      </c>
      <c r="H160" t="s">
        <v>1814</v>
      </c>
      <c r="J160" t="s">
        <v>2235</v>
      </c>
      <c r="K160" t="s">
        <v>2236</v>
      </c>
      <c r="M160" t="b">
        <v>0</v>
      </c>
      <c r="N160" s="7">
        <v>45637</v>
      </c>
      <c r="O160" t="s">
        <v>2237</v>
      </c>
      <c r="P160">
        <v>35.310156560000003</v>
      </c>
      <c r="Q160">
        <v>-120.6615032</v>
      </c>
      <c r="R160" t="s">
        <v>1808</v>
      </c>
      <c r="S160">
        <v>19824</v>
      </c>
      <c r="T160" t="s">
        <v>1809</v>
      </c>
      <c r="U160" t="s">
        <v>2238</v>
      </c>
      <c r="V160">
        <v>674</v>
      </c>
      <c r="W160" t="s">
        <v>2040</v>
      </c>
      <c r="X160" t="b">
        <v>0</v>
      </c>
      <c r="Y160" t="s">
        <v>2224</v>
      </c>
      <c r="Z160" s="6"/>
    </row>
    <row r="161" spans="1:26" ht="14.45" customHeight="1">
      <c r="A161">
        <v>250</v>
      </c>
      <c r="B161" t="s">
        <v>2233</v>
      </c>
      <c r="C161" t="s">
        <v>2234</v>
      </c>
      <c r="D161" t="s">
        <v>2003</v>
      </c>
      <c r="E161" s="7">
        <v>45590</v>
      </c>
      <c r="F161">
        <v>4</v>
      </c>
      <c r="G161">
        <f t="shared" si="2"/>
        <v>0.1016</v>
      </c>
      <c r="H161" t="s">
        <v>1814</v>
      </c>
      <c r="J161" t="s">
        <v>2235</v>
      </c>
      <c r="K161" t="s">
        <v>2239</v>
      </c>
      <c r="M161" t="b">
        <v>0</v>
      </c>
      <c r="N161" s="7">
        <v>45637</v>
      </c>
      <c r="O161" t="s">
        <v>2237</v>
      </c>
      <c r="P161">
        <v>35.310107309999999</v>
      </c>
      <c r="Q161">
        <v>-120.6616078</v>
      </c>
      <c r="R161" t="s">
        <v>1808</v>
      </c>
      <c r="S161">
        <v>19826</v>
      </c>
      <c r="T161" t="s">
        <v>1809</v>
      </c>
      <c r="U161" t="s">
        <v>2238</v>
      </c>
      <c r="V161">
        <v>676</v>
      </c>
      <c r="W161" t="s">
        <v>2040</v>
      </c>
      <c r="X161" t="b">
        <v>0</v>
      </c>
      <c r="Y161" t="s">
        <v>2224</v>
      </c>
      <c r="Z161" s="6"/>
    </row>
    <row r="162" spans="1:26" ht="14.45" customHeight="1">
      <c r="A162">
        <v>251</v>
      </c>
      <c r="B162" t="s">
        <v>2233</v>
      </c>
      <c r="C162" t="s">
        <v>2234</v>
      </c>
      <c r="D162" t="s">
        <v>2003</v>
      </c>
      <c r="E162" s="7">
        <v>45590</v>
      </c>
      <c r="F162">
        <v>5</v>
      </c>
      <c r="G162">
        <f t="shared" si="2"/>
        <v>0.127</v>
      </c>
      <c r="H162" t="s">
        <v>1814</v>
      </c>
      <c r="J162" t="s">
        <v>2235</v>
      </c>
      <c r="K162" t="s">
        <v>2240</v>
      </c>
      <c r="M162" t="b">
        <v>0</v>
      </c>
      <c r="N162" s="7">
        <v>45637</v>
      </c>
      <c r="O162" t="s">
        <v>2237</v>
      </c>
      <c r="P162">
        <v>35.310106769999997</v>
      </c>
      <c r="Q162">
        <v>-120.66158230000001</v>
      </c>
      <c r="R162" t="s">
        <v>1808</v>
      </c>
      <c r="S162">
        <v>19825</v>
      </c>
      <c r="T162" t="s">
        <v>1809</v>
      </c>
      <c r="U162" t="s">
        <v>2238</v>
      </c>
      <c r="V162">
        <v>675</v>
      </c>
      <c r="W162" t="s">
        <v>2040</v>
      </c>
      <c r="X162" t="b">
        <v>0</v>
      </c>
      <c r="Y162" t="s">
        <v>2224</v>
      </c>
      <c r="Z162" s="6"/>
    </row>
    <row r="163" spans="1:26" ht="14.45" customHeight="1">
      <c r="A163">
        <v>252</v>
      </c>
      <c r="B163" t="s">
        <v>2233</v>
      </c>
      <c r="C163" t="s">
        <v>2234</v>
      </c>
      <c r="D163" t="s">
        <v>2003</v>
      </c>
      <c r="E163" s="7">
        <v>45590</v>
      </c>
      <c r="F163">
        <v>5</v>
      </c>
      <c r="G163">
        <f t="shared" si="2"/>
        <v>0.127</v>
      </c>
      <c r="H163" t="s">
        <v>1814</v>
      </c>
      <c r="J163" t="s">
        <v>2235</v>
      </c>
      <c r="K163" t="s">
        <v>2241</v>
      </c>
      <c r="M163" t="b">
        <v>0</v>
      </c>
      <c r="N163" s="7">
        <v>45610</v>
      </c>
      <c r="O163" t="s">
        <v>2237</v>
      </c>
      <c r="P163">
        <v>35.310101289999999</v>
      </c>
      <c r="Q163">
        <v>-120.66153799999999</v>
      </c>
      <c r="R163" t="s">
        <v>1808</v>
      </c>
      <c r="S163">
        <v>19823</v>
      </c>
      <c r="T163" t="s">
        <v>1809</v>
      </c>
      <c r="U163" t="s">
        <v>2238</v>
      </c>
      <c r="V163">
        <v>673</v>
      </c>
      <c r="W163" t="s">
        <v>2040</v>
      </c>
      <c r="X163" t="b">
        <v>0</v>
      </c>
      <c r="Y163" t="s">
        <v>2224</v>
      </c>
      <c r="Z163" s="6"/>
    </row>
    <row r="164" spans="1:26" ht="14.45" customHeight="1">
      <c r="A164">
        <v>293</v>
      </c>
      <c r="B164" t="s">
        <v>2242</v>
      </c>
      <c r="C164" t="s">
        <v>2243</v>
      </c>
      <c r="D164" t="s">
        <v>1826</v>
      </c>
      <c r="E164" s="7">
        <v>45590</v>
      </c>
      <c r="F164">
        <v>5</v>
      </c>
      <c r="G164">
        <f t="shared" si="2"/>
        <v>0.127</v>
      </c>
      <c r="H164" t="s">
        <v>1814</v>
      </c>
      <c r="J164" t="s">
        <v>2244</v>
      </c>
      <c r="K164" t="s">
        <v>2245</v>
      </c>
      <c r="M164" t="b">
        <v>0</v>
      </c>
      <c r="N164" s="7">
        <v>45604</v>
      </c>
      <c r="O164" t="s">
        <v>2246</v>
      </c>
      <c r="P164">
        <v>35.310120990000001</v>
      </c>
      <c r="Q164">
        <v>-120.66175800000001</v>
      </c>
      <c r="R164" t="s">
        <v>1808</v>
      </c>
      <c r="S164">
        <v>19820</v>
      </c>
      <c r="T164" t="s">
        <v>1809</v>
      </c>
      <c r="U164" t="s">
        <v>2247</v>
      </c>
      <c r="V164">
        <v>670</v>
      </c>
      <c r="W164" t="s">
        <v>2040</v>
      </c>
      <c r="X164" t="b">
        <v>0</v>
      </c>
      <c r="Y164" t="s">
        <v>2224</v>
      </c>
      <c r="Z164" s="6"/>
    </row>
    <row r="165" spans="1:26" ht="14.45" customHeight="1">
      <c r="A165">
        <v>192</v>
      </c>
      <c r="B165" t="s">
        <v>1624</v>
      </c>
      <c r="C165" t="s">
        <v>2072</v>
      </c>
      <c r="D165" t="s">
        <v>2003</v>
      </c>
      <c r="E165" s="7">
        <v>45590</v>
      </c>
      <c r="F165">
        <v>11</v>
      </c>
      <c r="G165">
        <f t="shared" si="2"/>
        <v>0.27939999999999998</v>
      </c>
      <c r="H165" t="s">
        <v>1804</v>
      </c>
      <c r="I165" t="s">
        <v>1982</v>
      </c>
      <c r="J165" t="s">
        <v>1983</v>
      </c>
      <c r="K165" t="s">
        <v>2248</v>
      </c>
      <c r="M165" t="b">
        <v>1</v>
      </c>
      <c r="N165" s="7">
        <v>45637</v>
      </c>
      <c r="O165" t="s">
        <v>2074</v>
      </c>
      <c r="P165">
        <v>35.310303130000001</v>
      </c>
      <c r="Q165">
        <v>-120.6628759</v>
      </c>
      <c r="R165" t="s">
        <v>1808</v>
      </c>
      <c r="S165">
        <v>19815</v>
      </c>
      <c r="T165" t="s">
        <v>1809</v>
      </c>
      <c r="U165" t="s">
        <v>2111</v>
      </c>
      <c r="V165">
        <v>665</v>
      </c>
      <c r="W165" t="s">
        <v>2040</v>
      </c>
      <c r="X165" t="b">
        <v>0</v>
      </c>
      <c r="Y165" t="s">
        <v>2249</v>
      </c>
      <c r="Z165" s="6"/>
    </row>
    <row r="166" spans="1:26" ht="14.45" customHeight="1">
      <c r="A166">
        <v>200</v>
      </c>
      <c r="B166" t="s">
        <v>1624</v>
      </c>
      <c r="C166" t="s">
        <v>2072</v>
      </c>
      <c r="D166" t="s">
        <v>2003</v>
      </c>
      <c r="E166" s="7">
        <v>45590</v>
      </c>
      <c r="F166">
        <v>17</v>
      </c>
      <c r="G166">
        <f t="shared" si="2"/>
        <v>0.43179999999999996</v>
      </c>
      <c r="H166" t="s">
        <v>1855</v>
      </c>
      <c r="I166" t="s">
        <v>1982</v>
      </c>
      <c r="J166" t="s">
        <v>1983</v>
      </c>
      <c r="K166" t="s">
        <v>2250</v>
      </c>
      <c r="M166" t="b">
        <v>1</v>
      </c>
      <c r="N166" s="7">
        <v>45637</v>
      </c>
      <c r="O166" t="s">
        <v>2074</v>
      </c>
      <c r="P166">
        <v>35.310285620000002</v>
      </c>
      <c r="Q166">
        <v>-120.6629215</v>
      </c>
      <c r="R166" t="s">
        <v>1808</v>
      </c>
      <c r="S166">
        <v>19814</v>
      </c>
      <c r="T166" t="s">
        <v>1809</v>
      </c>
      <c r="U166" t="s">
        <v>2111</v>
      </c>
      <c r="V166">
        <v>664</v>
      </c>
      <c r="W166" t="s">
        <v>2040</v>
      </c>
      <c r="X166" t="b">
        <v>0</v>
      </c>
      <c r="Y166" t="s">
        <v>2249</v>
      </c>
      <c r="Z166" s="6"/>
    </row>
    <row r="167" spans="1:26" ht="14.45" customHeight="1">
      <c r="A167">
        <v>439</v>
      </c>
      <c r="B167" t="s">
        <v>2027</v>
      </c>
      <c r="C167" t="s">
        <v>2028</v>
      </c>
      <c r="D167" t="s">
        <v>2003</v>
      </c>
      <c r="E167" s="7">
        <v>45590</v>
      </c>
      <c r="F167"/>
      <c r="G167">
        <f t="shared" si="2"/>
        <v>0</v>
      </c>
      <c r="J167" t="s">
        <v>1983</v>
      </c>
      <c r="K167" t="s">
        <v>2251</v>
      </c>
      <c r="M167" t="b">
        <v>0</v>
      </c>
      <c r="N167" s="7">
        <v>45608</v>
      </c>
      <c r="O167" t="s">
        <v>2030</v>
      </c>
      <c r="P167">
        <v>35.310482729999997</v>
      </c>
      <c r="Q167">
        <v>-120.6622301</v>
      </c>
      <c r="R167" t="s">
        <v>1808</v>
      </c>
      <c r="S167">
        <v>19828</v>
      </c>
      <c r="T167" t="s">
        <v>1809</v>
      </c>
      <c r="U167" t="s">
        <v>2252</v>
      </c>
      <c r="V167">
        <v>678</v>
      </c>
      <c r="W167" t="s">
        <v>2040</v>
      </c>
      <c r="X167" t="b">
        <v>0</v>
      </c>
      <c r="Y167" t="s">
        <v>2101</v>
      </c>
      <c r="Z167" s="6"/>
    </row>
    <row r="168" spans="1:26" ht="14.45" customHeight="1">
      <c r="A168">
        <v>174</v>
      </c>
      <c r="B168" t="s">
        <v>1624</v>
      </c>
      <c r="C168" t="s">
        <v>2072</v>
      </c>
      <c r="D168" t="s">
        <v>2003</v>
      </c>
      <c r="E168" s="7">
        <v>45590</v>
      </c>
      <c r="F168">
        <v>2</v>
      </c>
      <c r="G168">
        <f t="shared" si="2"/>
        <v>5.0799999999999998E-2</v>
      </c>
      <c r="H168" t="s">
        <v>1838</v>
      </c>
      <c r="I168" t="s">
        <v>1982</v>
      </c>
      <c r="J168" t="s">
        <v>1983</v>
      </c>
      <c r="K168" t="s">
        <v>2253</v>
      </c>
      <c r="M168" t="b">
        <v>1</v>
      </c>
      <c r="N168" s="7">
        <v>45637</v>
      </c>
      <c r="O168" t="s">
        <v>2074</v>
      </c>
      <c r="P168">
        <v>35.310356050000003</v>
      </c>
      <c r="Q168">
        <v>-120.66224800000001</v>
      </c>
      <c r="R168" t="s">
        <v>1808</v>
      </c>
      <c r="S168">
        <v>19817</v>
      </c>
      <c r="T168" t="s">
        <v>1809</v>
      </c>
      <c r="U168" t="s">
        <v>2111</v>
      </c>
      <c r="V168">
        <v>667</v>
      </c>
      <c r="W168" t="s">
        <v>2040</v>
      </c>
      <c r="X168" t="b">
        <v>0</v>
      </c>
      <c r="Y168" t="s">
        <v>2075</v>
      </c>
      <c r="Z168" s="6"/>
    </row>
    <row r="169" spans="1:26" ht="14.45" customHeight="1">
      <c r="A169">
        <v>213</v>
      </c>
      <c r="B169" t="s">
        <v>1624</v>
      </c>
      <c r="C169" t="s">
        <v>2072</v>
      </c>
      <c r="D169" t="s">
        <v>1946</v>
      </c>
      <c r="E169" s="7">
        <v>45590</v>
      </c>
      <c r="F169">
        <v>21</v>
      </c>
      <c r="G169">
        <f t="shared" si="2"/>
        <v>0.53339999999999999</v>
      </c>
      <c r="H169" t="s">
        <v>1842</v>
      </c>
      <c r="I169" t="s">
        <v>1982</v>
      </c>
      <c r="J169" t="s">
        <v>1983</v>
      </c>
      <c r="K169" t="s">
        <v>2254</v>
      </c>
      <c r="M169" t="b">
        <v>1</v>
      </c>
      <c r="N169" s="7">
        <v>45590</v>
      </c>
      <c r="O169" t="s">
        <v>2074</v>
      </c>
      <c r="P169">
        <v>35.310385789999998</v>
      </c>
      <c r="Q169">
        <v>-120.6621512</v>
      </c>
      <c r="R169" t="s">
        <v>1808</v>
      </c>
      <c r="S169">
        <v>19819</v>
      </c>
      <c r="T169" t="s">
        <v>1809</v>
      </c>
      <c r="V169">
        <v>669</v>
      </c>
      <c r="W169" t="s">
        <v>2040</v>
      </c>
      <c r="X169" t="b">
        <v>0</v>
      </c>
      <c r="Y169" t="s">
        <v>2075</v>
      </c>
      <c r="Z169" s="6"/>
    </row>
    <row r="170" spans="1:26" ht="14.45" customHeight="1">
      <c r="A170">
        <v>219</v>
      </c>
      <c r="B170" t="s">
        <v>1624</v>
      </c>
      <c r="C170" t="s">
        <v>2072</v>
      </c>
      <c r="D170" t="s">
        <v>2003</v>
      </c>
      <c r="E170" s="7">
        <v>45590</v>
      </c>
      <c r="F170">
        <v>24</v>
      </c>
      <c r="G170">
        <f t="shared" si="2"/>
        <v>0.60959999999999992</v>
      </c>
      <c r="H170" t="s">
        <v>1866</v>
      </c>
      <c r="I170" t="s">
        <v>1982</v>
      </c>
      <c r="J170" t="s">
        <v>1983</v>
      </c>
      <c r="K170" t="s">
        <v>2255</v>
      </c>
      <c r="M170" t="b">
        <v>1</v>
      </c>
      <c r="N170" s="7">
        <v>45637</v>
      </c>
      <c r="O170" t="s">
        <v>2074</v>
      </c>
      <c r="P170">
        <v>35.310401089999999</v>
      </c>
      <c r="Q170">
        <v>-120.6622236</v>
      </c>
      <c r="R170" t="s">
        <v>1808</v>
      </c>
      <c r="S170">
        <v>19818</v>
      </c>
      <c r="T170" t="s">
        <v>1809</v>
      </c>
      <c r="U170" t="s">
        <v>2256</v>
      </c>
      <c r="V170">
        <v>668</v>
      </c>
      <c r="W170" t="s">
        <v>2040</v>
      </c>
      <c r="X170" t="b">
        <v>0</v>
      </c>
      <c r="Y170" t="s">
        <v>2075</v>
      </c>
      <c r="Z170" s="6"/>
    </row>
    <row r="171" spans="1:26" ht="14.45" customHeight="1">
      <c r="A171">
        <v>455</v>
      </c>
      <c r="B171" t="s">
        <v>2257</v>
      </c>
      <c r="C171" t="s">
        <v>2258</v>
      </c>
      <c r="D171" t="s">
        <v>1826</v>
      </c>
      <c r="E171" s="7">
        <v>45590</v>
      </c>
      <c r="F171">
        <v>2</v>
      </c>
      <c r="G171">
        <f t="shared" si="2"/>
        <v>5.0799999999999998E-2</v>
      </c>
      <c r="H171" t="s">
        <v>1838</v>
      </c>
      <c r="J171" t="s">
        <v>2259</v>
      </c>
      <c r="K171" t="s">
        <v>2260</v>
      </c>
      <c r="M171" t="b">
        <v>1</v>
      </c>
      <c r="N171" s="7">
        <v>45637</v>
      </c>
      <c r="O171" t="s">
        <v>2261</v>
      </c>
      <c r="P171">
        <v>35.310403270000002</v>
      </c>
      <c r="Q171">
        <v>-120.6624253</v>
      </c>
      <c r="R171" t="s">
        <v>1808</v>
      </c>
      <c r="S171">
        <v>19816</v>
      </c>
      <c r="T171" t="s">
        <v>1809</v>
      </c>
      <c r="U171" t="s">
        <v>2262</v>
      </c>
      <c r="V171">
        <v>666</v>
      </c>
      <c r="W171" t="s">
        <v>2040</v>
      </c>
      <c r="X171" t="b">
        <v>0</v>
      </c>
      <c r="Y171" t="s">
        <v>2075</v>
      </c>
      <c r="Z171" s="6"/>
    </row>
    <row r="172" spans="1:26" ht="14.45" customHeight="1">
      <c r="A172">
        <v>560</v>
      </c>
      <c r="B172" t="s">
        <v>2263</v>
      </c>
      <c r="C172" t="s">
        <v>2264</v>
      </c>
      <c r="D172" t="s">
        <v>1989</v>
      </c>
      <c r="E172" s="7">
        <v>45590</v>
      </c>
      <c r="F172">
        <v>2</v>
      </c>
      <c r="G172">
        <f t="shared" si="2"/>
        <v>5.0799999999999998E-2</v>
      </c>
      <c r="H172" t="s">
        <v>1838</v>
      </c>
      <c r="J172" t="s">
        <v>2265</v>
      </c>
      <c r="K172" t="s">
        <v>2266</v>
      </c>
      <c r="M172" t="b">
        <v>0</v>
      </c>
      <c r="N172" s="7">
        <v>45614</v>
      </c>
      <c r="O172" t="s">
        <v>2267</v>
      </c>
      <c r="P172">
        <v>35.310265909999998</v>
      </c>
      <c r="Q172">
        <v>-120.66218000000001</v>
      </c>
      <c r="R172" t="s">
        <v>1808</v>
      </c>
      <c r="S172">
        <v>19829</v>
      </c>
      <c r="T172" t="s">
        <v>1809</v>
      </c>
      <c r="U172" t="s">
        <v>2268</v>
      </c>
      <c r="V172">
        <v>679</v>
      </c>
      <c r="W172" t="s">
        <v>2040</v>
      </c>
      <c r="X172" t="b">
        <v>0</v>
      </c>
      <c r="Y172" t="s">
        <v>2075</v>
      </c>
      <c r="Z172" s="6"/>
    </row>
    <row r="173" spans="1:26" ht="14.45" customHeight="1">
      <c r="A173">
        <v>319</v>
      </c>
      <c r="B173" t="s">
        <v>2269</v>
      </c>
      <c r="C173" t="s">
        <v>2270</v>
      </c>
      <c r="D173" t="s">
        <v>2003</v>
      </c>
      <c r="E173" s="7">
        <v>45589</v>
      </c>
      <c r="F173">
        <v>1</v>
      </c>
      <c r="G173">
        <f t="shared" si="2"/>
        <v>2.5399999999999999E-2</v>
      </c>
      <c r="H173" t="s">
        <v>1838</v>
      </c>
      <c r="I173" t="s">
        <v>1971</v>
      </c>
      <c r="J173" t="s">
        <v>2271</v>
      </c>
      <c r="K173" t="s">
        <v>2272</v>
      </c>
      <c r="M173" t="b">
        <v>1</v>
      </c>
      <c r="N173" s="7">
        <v>45604</v>
      </c>
      <c r="O173" t="s">
        <v>2273</v>
      </c>
      <c r="P173">
        <v>35.310026809999997</v>
      </c>
      <c r="Q173">
        <v>-120.6610221</v>
      </c>
      <c r="R173" t="s">
        <v>1808</v>
      </c>
      <c r="S173">
        <v>19798</v>
      </c>
      <c r="T173" t="s">
        <v>1809</v>
      </c>
      <c r="U173" t="s">
        <v>2274</v>
      </c>
      <c r="V173">
        <v>649</v>
      </c>
      <c r="W173" t="s">
        <v>2040</v>
      </c>
      <c r="X173" t="b">
        <v>0</v>
      </c>
      <c r="Y173" t="s">
        <v>2224</v>
      </c>
      <c r="Z173" s="6"/>
    </row>
    <row r="174" spans="1:26" ht="14.45" customHeight="1">
      <c r="A174">
        <v>322</v>
      </c>
      <c r="B174" t="s">
        <v>2269</v>
      </c>
      <c r="C174" t="s">
        <v>2270</v>
      </c>
      <c r="D174" t="s">
        <v>2003</v>
      </c>
      <c r="E174" s="7">
        <v>45589</v>
      </c>
      <c r="F174">
        <v>6</v>
      </c>
      <c r="G174">
        <f t="shared" si="2"/>
        <v>0.15239999999999998</v>
      </c>
      <c r="H174" t="s">
        <v>1804</v>
      </c>
      <c r="I174" t="s">
        <v>1971</v>
      </c>
      <c r="J174" t="s">
        <v>2271</v>
      </c>
      <c r="K174" t="s">
        <v>2275</v>
      </c>
      <c r="M174" t="b">
        <v>1</v>
      </c>
      <c r="N174" s="7">
        <v>45604</v>
      </c>
      <c r="O174" t="s">
        <v>2273</v>
      </c>
      <c r="P174">
        <v>35.310070580000001</v>
      </c>
      <c r="Q174">
        <v>-120.66099800000001</v>
      </c>
      <c r="R174" t="s">
        <v>1808</v>
      </c>
      <c r="S174">
        <v>19797</v>
      </c>
      <c r="T174" t="s">
        <v>1809</v>
      </c>
      <c r="U174" t="s">
        <v>2274</v>
      </c>
      <c r="V174">
        <v>648</v>
      </c>
      <c r="W174" t="s">
        <v>2040</v>
      </c>
      <c r="X174" t="b">
        <v>0</v>
      </c>
      <c r="Y174" t="s">
        <v>2224</v>
      </c>
      <c r="Z174" s="6"/>
    </row>
    <row r="175" spans="1:26" ht="14.45" customHeight="1">
      <c r="A175">
        <v>146</v>
      </c>
      <c r="B175" t="s">
        <v>2094</v>
      </c>
      <c r="C175" t="s">
        <v>2095</v>
      </c>
      <c r="D175" t="s">
        <v>2003</v>
      </c>
      <c r="E175" s="7">
        <v>45589</v>
      </c>
      <c r="F175">
        <v>5</v>
      </c>
      <c r="G175">
        <f t="shared" si="2"/>
        <v>0.127</v>
      </c>
      <c r="H175" t="s">
        <v>1814</v>
      </c>
      <c r="J175" t="s">
        <v>2096</v>
      </c>
      <c r="K175" t="s">
        <v>2276</v>
      </c>
      <c r="M175" t="b">
        <v>1</v>
      </c>
      <c r="N175" s="7">
        <v>45604</v>
      </c>
      <c r="O175" t="s">
        <v>2098</v>
      </c>
      <c r="P175">
        <v>35.310070580000001</v>
      </c>
      <c r="Q175">
        <v>-120.6610623</v>
      </c>
      <c r="R175" t="s">
        <v>1808</v>
      </c>
      <c r="S175">
        <v>19801</v>
      </c>
      <c r="T175" t="s">
        <v>1809</v>
      </c>
      <c r="U175" t="s">
        <v>2277</v>
      </c>
      <c r="V175">
        <v>651</v>
      </c>
      <c r="W175" t="s">
        <v>2040</v>
      </c>
      <c r="X175" t="b">
        <v>0</v>
      </c>
      <c r="Y175" t="s">
        <v>2224</v>
      </c>
      <c r="Z175" s="6"/>
    </row>
    <row r="176" spans="1:26" ht="14.45" customHeight="1">
      <c r="A176">
        <v>422</v>
      </c>
      <c r="B176" t="s">
        <v>2027</v>
      </c>
      <c r="C176" t="s">
        <v>2028</v>
      </c>
      <c r="D176" t="s">
        <v>1826</v>
      </c>
      <c r="E176" s="7">
        <v>45589</v>
      </c>
      <c r="F176">
        <v>2</v>
      </c>
      <c r="G176">
        <f t="shared" si="2"/>
        <v>5.0799999999999998E-2</v>
      </c>
      <c r="H176" t="s">
        <v>1838</v>
      </c>
      <c r="J176" t="s">
        <v>1983</v>
      </c>
      <c r="K176" t="s">
        <v>2278</v>
      </c>
      <c r="M176" t="b">
        <v>1</v>
      </c>
      <c r="N176" s="7">
        <v>45637</v>
      </c>
      <c r="O176" t="s">
        <v>2030</v>
      </c>
      <c r="P176">
        <v>35.310093019999996</v>
      </c>
      <c r="Q176">
        <v>-120.6610074</v>
      </c>
      <c r="R176" t="s">
        <v>1808</v>
      </c>
      <c r="S176">
        <v>19802</v>
      </c>
      <c r="T176" t="s">
        <v>1809</v>
      </c>
      <c r="U176" t="s">
        <v>2279</v>
      </c>
      <c r="V176">
        <v>652</v>
      </c>
      <c r="W176" t="s">
        <v>2040</v>
      </c>
      <c r="X176" t="b">
        <v>0</v>
      </c>
      <c r="Y176" t="s">
        <v>2224</v>
      </c>
      <c r="Z176" s="6"/>
    </row>
    <row r="177" spans="1:26" ht="14.45" customHeight="1">
      <c r="A177">
        <v>441</v>
      </c>
      <c r="B177" t="s">
        <v>2280</v>
      </c>
      <c r="C177" t="s">
        <v>2281</v>
      </c>
      <c r="D177" t="s">
        <v>2003</v>
      </c>
      <c r="E177" s="7">
        <v>45589</v>
      </c>
      <c r="F177">
        <v>1</v>
      </c>
      <c r="G177">
        <f t="shared" si="2"/>
        <v>2.5399999999999999E-2</v>
      </c>
      <c r="H177" t="s">
        <v>1838</v>
      </c>
      <c r="J177" t="s">
        <v>2282</v>
      </c>
      <c r="K177" t="s">
        <v>2283</v>
      </c>
      <c r="M177" t="b">
        <v>1</v>
      </c>
      <c r="N177" s="7">
        <v>45637</v>
      </c>
      <c r="O177" t="s">
        <v>2284</v>
      </c>
      <c r="P177">
        <v>35.310090279999997</v>
      </c>
      <c r="Q177">
        <v>-120.6610597</v>
      </c>
      <c r="R177" t="s">
        <v>1808</v>
      </c>
      <c r="S177">
        <v>19796</v>
      </c>
      <c r="T177" t="s">
        <v>1809</v>
      </c>
      <c r="U177" t="s">
        <v>2285</v>
      </c>
      <c r="V177">
        <v>647</v>
      </c>
      <c r="W177" t="s">
        <v>2040</v>
      </c>
      <c r="X177" t="b">
        <v>0</v>
      </c>
      <c r="Y177" t="s">
        <v>2224</v>
      </c>
      <c r="Z177" s="6"/>
    </row>
    <row r="178" spans="1:26" ht="14.45" customHeight="1">
      <c r="A178">
        <v>573</v>
      </c>
      <c r="D178" t="s">
        <v>1826</v>
      </c>
      <c r="E178" s="7">
        <v>45589</v>
      </c>
      <c r="F178">
        <v>3</v>
      </c>
      <c r="G178">
        <f t="shared" si="2"/>
        <v>7.619999999999999E-2</v>
      </c>
      <c r="H178" t="s">
        <v>1814</v>
      </c>
      <c r="K178" t="s">
        <v>2286</v>
      </c>
      <c r="M178" t="b">
        <v>0</v>
      </c>
      <c r="N178" s="7">
        <v>45637</v>
      </c>
      <c r="P178">
        <v>35.310079340000001</v>
      </c>
      <c r="Q178">
        <v>-120.6610127</v>
      </c>
      <c r="R178" t="s">
        <v>1808</v>
      </c>
      <c r="S178">
        <v>19803</v>
      </c>
      <c r="T178" t="s">
        <v>1809</v>
      </c>
      <c r="U178" t="s">
        <v>2287</v>
      </c>
      <c r="V178">
        <v>653</v>
      </c>
      <c r="W178" t="s">
        <v>2040</v>
      </c>
      <c r="X178" t="b">
        <v>0</v>
      </c>
      <c r="Y178" t="s">
        <v>2224</v>
      </c>
      <c r="Z178" s="6"/>
    </row>
    <row r="179" spans="1:26" ht="14.45" customHeight="1">
      <c r="A179">
        <v>166</v>
      </c>
      <c r="B179" t="s">
        <v>1969</v>
      </c>
      <c r="C179" t="s">
        <v>1970</v>
      </c>
      <c r="D179" t="s">
        <v>2003</v>
      </c>
      <c r="E179" s="7">
        <v>45589</v>
      </c>
      <c r="F179">
        <v>34</v>
      </c>
      <c r="G179">
        <f t="shared" si="2"/>
        <v>0.86359999999999992</v>
      </c>
      <c r="H179" t="s">
        <v>1881</v>
      </c>
      <c r="I179" t="s">
        <v>1971</v>
      </c>
      <c r="J179" t="s">
        <v>1972</v>
      </c>
      <c r="K179" t="s">
        <v>2288</v>
      </c>
      <c r="M179" t="b">
        <v>1</v>
      </c>
      <c r="N179" s="7">
        <v>45638</v>
      </c>
      <c r="O179" t="s">
        <v>1187</v>
      </c>
      <c r="P179">
        <v>35.310337140000001</v>
      </c>
      <c r="Q179">
        <v>-120.66233990000001</v>
      </c>
      <c r="R179" t="s">
        <v>1808</v>
      </c>
      <c r="S179">
        <v>19795</v>
      </c>
      <c r="T179" t="s">
        <v>1809</v>
      </c>
      <c r="U179" t="s">
        <v>2289</v>
      </c>
      <c r="V179">
        <v>646</v>
      </c>
      <c r="W179" t="s">
        <v>2040</v>
      </c>
      <c r="X179" t="b">
        <v>0</v>
      </c>
      <c r="Y179" t="s">
        <v>2075</v>
      </c>
      <c r="Z179" s="6"/>
    </row>
    <row r="180" spans="1:26" ht="14.45" customHeight="1">
      <c r="A180">
        <v>270</v>
      </c>
      <c r="B180" t="s">
        <v>2290</v>
      </c>
      <c r="C180" t="s">
        <v>2291</v>
      </c>
      <c r="D180" t="s">
        <v>1826</v>
      </c>
      <c r="E180" s="7">
        <v>45589</v>
      </c>
      <c r="F180">
        <v>8</v>
      </c>
      <c r="G180">
        <f t="shared" si="2"/>
        <v>0.20319999999999999</v>
      </c>
      <c r="H180" t="s">
        <v>1804</v>
      </c>
      <c r="I180" t="s">
        <v>1982</v>
      </c>
      <c r="J180" t="s">
        <v>1983</v>
      </c>
      <c r="K180" t="s">
        <v>2292</v>
      </c>
      <c r="M180" t="b">
        <v>1</v>
      </c>
      <c r="N180" s="7">
        <v>45604</v>
      </c>
      <c r="O180" t="s">
        <v>1393</v>
      </c>
      <c r="P180">
        <v>35.310223239999999</v>
      </c>
      <c r="Q180">
        <v>-120.66272429999999</v>
      </c>
      <c r="R180" t="s">
        <v>1808</v>
      </c>
      <c r="S180">
        <v>19813</v>
      </c>
      <c r="T180" t="s">
        <v>1809</v>
      </c>
      <c r="U180" t="s">
        <v>2293</v>
      </c>
      <c r="V180">
        <v>663</v>
      </c>
      <c r="W180" t="s">
        <v>2040</v>
      </c>
      <c r="X180" t="b">
        <v>0</v>
      </c>
      <c r="Y180" t="s">
        <v>2075</v>
      </c>
      <c r="Z180" s="6"/>
    </row>
    <row r="181" spans="1:26" ht="14.45" customHeight="1">
      <c r="A181">
        <v>130</v>
      </c>
      <c r="B181" t="s">
        <v>2294</v>
      </c>
      <c r="C181" t="s">
        <v>2295</v>
      </c>
      <c r="D181" t="s">
        <v>1946</v>
      </c>
      <c r="E181" s="7">
        <v>45587</v>
      </c>
      <c r="F181">
        <v>24</v>
      </c>
      <c r="G181">
        <f t="shared" si="2"/>
        <v>0.60959999999999992</v>
      </c>
      <c r="H181" t="s">
        <v>1866</v>
      </c>
      <c r="I181" t="s">
        <v>1882</v>
      </c>
      <c r="J181" t="s">
        <v>2150</v>
      </c>
      <c r="K181" t="s">
        <v>2296</v>
      </c>
      <c r="M181" t="b">
        <v>1</v>
      </c>
      <c r="N181" s="7">
        <v>45637</v>
      </c>
      <c r="O181" t="s">
        <v>1402</v>
      </c>
      <c r="P181">
        <v>35.3102175</v>
      </c>
      <c r="Q181">
        <v>-120.66300579999999</v>
      </c>
      <c r="R181" t="s">
        <v>1808</v>
      </c>
      <c r="S181">
        <v>19784</v>
      </c>
      <c r="T181" t="s">
        <v>1809</v>
      </c>
      <c r="U181" t="s">
        <v>2297</v>
      </c>
      <c r="V181">
        <v>636</v>
      </c>
      <c r="W181" t="s">
        <v>2040</v>
      </c>
      <c r="X181" t="b">
        <v>0</v>
      </c>
      <c r="Y181" t="s">
        <v>1968</v>
      </c>
      <c r="Z181" s="6"/>
    </row>
    <row r="182" spans="1:26" ht="14.45" customHeight="1">
      <c r="A182">
        <v>417</v>
      </c>
      <c r="B182" t="s">
        <v>2126</v>
      </c>
      <c r="C182" t="s">
        <v>2127</v>
      </c>
      <c r="D182" t="s">
        <v>2003</v>
      </c>
      <c r="E182" s="7">
        <v>45587</v>
      </c>
      <c r="F182">
        <v>36</v>
      </c>
      <c r="G182">
        <f t="shared" si="2"/>
        <v>0.91439999999999999</v>
      </c>
      <c r="H182" t="s">
        <v>1881</v>
      </c>
      <c r="I182" t="s">
        <v>1815</v>
      </c>
      <c r="J182" t="s">
        <v>1816</v>
      </c>
      <c r="K182" t="s">
        <v>2298</v>
      </c>
      <c r="M182" t="b">
        <v>1</v>
      </c>
      <c r="N182" s="7">
        <v>45637</v>
      </c>
      <c r="O182" t="s">
        <v>2129</v>
      </c>
      <c r="P182">
        <v>35.310724579999999</v>
      </c>
      <c r="Q182">
        <v>-120.6620231</v>
      </c>
      <c r="R182" t="s">
        <v>1808</v>
      </c>
      <c r="S182">
        <v>19793</v>
      </c>
      <c r="T182" t="s">
        <v>1809</v>
      </c>
      <c r="U182" t="s">
        <v>2299</v>
      </c>
      <c r="V182">
        <v>644</v>
      </c>
      <c r="W182" t="s">
        <v>2040</v>
      </c>
      <c r="X182" t="b">
        <v>0</v>
      </c>
      <c r="Y182" t="s">
        <v>2055</v>
      </c>
      <c r="Z182" s="6"/>
    </row>
    <row r="183" spans="1:26" ht="14.45" customHeight="1">
      <c r="A183">
        <v>216</v>
      </c>
      <c r="B183" t="s">
        <v>1624</v>
      </c>
      <c r="C183" t="s">
        <v>2072</v>
      </c>
      <c r="D183" t="s">
        <v>2003</v>
      </c>
      <c r="E183" s="7">
        <v>45587</v>
      </c>
      <c r="F183">
        <v>23</v>
      </c>
      <c r="G183">
        <f t="shared" si="2"/>
        <v>0.58419999999999994</v>
      </c>
      <c r="H183" t="s">
        <v>1842</v>
      </c>
      <c r="I183" t="s">
        <v>1982</v>
      </c>
      <c r="J183" t="s">
        <v>1983</v>
      </c>
      <c r="K183" t="s">
        <v>2300</v>
      </c>
      <c r="M183" t="b">
        <v>1</v>
      </c>
      <c r="N183" s="7">
        <v>45930</v>
      </c>
      <c r="O183" t="s">
        <v>2074</v>
      </c>
      <c r="P183">
        <v>35.310881190000003</v>
      </c>
      <c r="Q183">
        <v>-120.6624533</v>
      </c>
      <c r="R183" t="s">
        <v>1808</v>
      </c>
      <c r="S183">
        <v>19789</v>
      </c>
      <c r="T183" t="s">
        <v>1809</v>
      </c>
      <c r="V183">
        <v>640</v>
      </c>
      <c r="W183" t="s">
        <v>2040</v>
      </c>
      <c r="X183" t="b">
        <v>0</v>
      </c>
      <c r="Y183" t="s">
        <v>2101</v>
      </c>
      <c r="Z183" s="6"/>
    </row>
    <row r="184" spans="1:26" ht="14.45" customHeight="1">
      <c r="A184">
        <v>414</v>
      </c>
      <c r="B184" t="s">
        <v>2126</v>
      </c>
      <c r="C184" t="s">
        <v>2127</v>
      </c>
      <c r="D184" t="s">
        <v>2003</v>
      </c>
      <c r="E184" s="7">
        <v>45587</v>
      </c>
      <c r="F184">
        <v>17</v>
      </c>
      <c r="G184">
        <f t="shared" si="2"/>
        <v>0.43179999999999996</v>
      </c>
      <c r="H184" t="s">
        <v>1855</v>
      </c>
      <c r="I184" t="s">
        <v>1815</v>
      </c>
      <c r="J184" t="s">
        <v>1816</v>
      </c>
      <c r="K184" t="s">
        <v>2301</v>
      </c>
      <c r="M184" t="b">
        <v>1</v>
      </c>
      <c r="N184" s="7">
        <v>45637</v>
      </c>
      <c r="O184" t="s">
        <v>2129</v>
      </c>
      <c r="P184">
        <v>35.310754899999999</v>
      </c>
      <c r="Q184">
        <v>-120.6621141</v>
      </c>
      <c r="R184" t="s">
        <v>1808</v>
      </c>
      <c r="S184">
        <v>19791</v>
      </c>
      <c r="T184" t="s">
        <v>1809</v>
      </c>
      <c r="U184" t="s">
        <v>2299</v>
      </c>
      <c r="V184">
        <v>642</v>
      </c>
      <c r="W184" t="s">
        <v>2040</v>
      </c>
      <c r="X184" t="b">
        <v>0</v>
      </c>
      <c r="Y184" t="s">
        <v>2101</v>
      </c>
      <c r="Z184" s="6"/>
    </row>
    <row r="185" spans="1:26" ht="14.45" customHeight="1">
      <c r="A185">
        <v>415</v>
      </c>
      <c r="B185" t="s">
        <v>2126</v>
      </c>
      <c r="C185" t="s">
        <v>2127</v>
      </c>
      <c r="D185" t="s">
        <v>2003</v>
      </c>
      <c r="E185" s="7">
        <v>45587</v>
      </c>
      <c r="F185">
        <v>18</v>
      </c>
      <c r="G185">
        <f t="shared" si="2"/>
        <v>0.4572</v>
      </c>
      <c r="H185" t="s">
        <v>1842</v>
      </c>
      <c r="I185" t="s">
        <v>1815</v>
      </c>
      <c r="J185" t="s">
        <v>1816</v>
      </c>
      <c r="K185" t="s">
        <v>2302</v>
      </c>
      <c r="M185" t="b">
        <v>1</v>
      </c>
      <c r="N185" s="7">
        <v>45637</v>
      </c>
      <c r="O185" t="s">
        <v>2129</v>
      </c>
      <c r="P185">
        <v>35.310742009999998</v>
      </c>
      <c r="Q185">
        <v>-120.6620733</v>
      </c>
      <c r="R185" t="s">
        <v>1808</v>
      </c>
      <c r="S185">
        <v>19792</v>
      </c>
      <c r="T185" t="s">
        <v>1809</v>
      </c>
      <c r="U185" t="s">
        <v>2299</v>
      </c>
      <c r="V185">
        <v>643</v>
      </c>
      <c r="W185" t="s">
        <v>2040</v>
      </c>
      <c r="X185" t="b">
        <v>0</v>
      </c>
      <c r="Y185" t="s">
        <v>2101</v>
      </c>
      <c r="Z185" s="6"/>
    </row>
    <row r="186" spans="1:26" ht="14.45" customHeight="1">
      <c r="A186">
        <v>416</v>
      </c>
      <c r="B186" t="s">
        <v>2126</v>
      </c>
      <c r="C186" t="s">
        <v>2127</v>
      </c>
      <c r="D186" t="s">
        <v>2003</v>
      </c>
      <c r="E186" s="7">
        <v>45587</v>
      </c>
      <c r="F186">
        <v>29</v>
      </c>
      <c r="G186">
        <f t="shared" si="2"/>
        <v>0.73659999999999992</v>
      </c>
      <c r="H186" t="s">
        <v>1866</v>
      </c>
      <c r="I186" t="s">
        <v>1815</v>
      </c>
      <c r="J186" t="s">
        <v>1816</v>
      </c>
      <c r="K186" t="s">
        <v>2303</v>
      </c>
      <c r="M186" t="b">
        <v>1</v>
      </c>
      <c r="N186" s="7">
        <v>45637</v>
      </c>
      <c r="O186" t="s">
        <v>2129</v>
      </c>
      <c r="P186">
        <v>35.310777940000001</v>
      </c>
      <c r="Q186">
        <v>-120.66218050000001</v>
      </c>
      <c r="R186" t="s">
        <v>1808</v>
      </c>
      <c r="S186">
        <v>19790</v>
      </c>
      <c r="T186" t="s">
        <v>1809</v>
      </c>
      <c r="U186" t="s">
        <v>2299</v>
      </c>
      <c r="V186">
        <v>641</v>
      </c>
      <c r="W186" t="s">
        <v>2040</v>
      </c>
      <c r="X186" t="b">
        <v>0</v>
      </c>
      <c r="Y186" t="s">
        <v>2101</v>
      </c>
      <c r="Z186" s="6"/>
    </row>
    <row r="187" spans="1:26" ht="14.45" customHeight="1">
      <c r="A187">
        <v>97</v>
      </c>
      <c r="B187" t="s">
        <v>2304</v>
      </c>
      <c r="C187" t="s">
        <v>2305</v>
      </c>
      <c r="D187" t="s">
        <v>2003</v>
      </c>
      <c r="E187" s="7">
        <v>45587</v>
      </c>
      <c r="F187">
        <v>5</v>
      </c>
      <c r="G187">
        <f t="shared" si="2"/>
        <v>0.127</v>
      </c>
      <c r="H187" t="s">
        <v>1814</v>
      </c>
      <c r="J187" t="s">
        <v>2306</v>
      </c>
      <c r="K187" t="s">
        <v>2307</v>
      </c>
      <c r="M187" t="b">
        <v>1</v>
      </c>
      <c r="N187" s="7">
        <v>45637</v>
      </c>
      <c r="O187" t="s">
        <v>2308</v>
      </c>
      <c r="P187">
        <v>35.310535289999997</v>
      </c>
      <c r="Q187">
        <v>-120.6624822</v>
      </c>
      <c r="R187" t="s">
        <v>1808</v>
      </c>
      <c r="S187">
        <v>19794</v>
      </c>
      <c r="T187" t="s">
        <v>1809</v>
      </c>
      <c r="U187" t="s">
        <v>2309</v>
      </c>
      <c r="V187">
        <v>645</v>
      </c>
      <c r="W187" t="s">
        <v>2040</v>
      </c>
      <c r="X187" t="b">
        <v>0</v>
      </c>
      <c r="Y187" t="s">
        <v>2075</v>
      </c>
      <c r="Z187" s="6"/>
    </row>
    <row r="188" spans="1:26" ht="14.45" customHeight="1">
      <c r="A188">
        <v>111</v>
      </c>
      <c r="B188" t="s">
        <v>2310</v>
      </c>
      <c r="C188" t="s">
        <v>2311</v>
      </c>
      <c r="D188" t="s">
        <v>2003</v>
      </c>
      <c r="E188" s="7">
        <v>45587</v>
      </c>
      <c r="F188">
        <v>11</v>
      </c>
      <c r="G188">
        <f t="shared" si="2"/>
        <v>0.27939999999999998</v>
      </c>
      <c r="H188" t="s">
        <v>1804</v>
      </c>
      <c r="J188" t="s">
        <v>2312</v>
      </c>
      <c r="K188" t="s">
        <v>2313</v>
      </c>
      <c r="M188" t="b">
        <v>1</v>
      </c>
      <c r="N188" s="7">
        <v>45604</v>
      </c>
      <c r="O188" t="s">
        <v>2314</v>
      </c>
      <c r="P188">
        <v>35.310317089999998</v>
      </c>
      <c r="Q188">
        <v>-120.66279659999999</v>
      </c>
      <c r="R188" t="s">
        <v>1808</v>
      </c>
      <c r="S188">
        <v>19785</v>
      </c>
      <c r="T188" t="s">
        <v>1809</v>
      </c>
      <c r="U188" t="s">
        <v>2315</v>
      </c>
      <c r="V188">
        <v>637</v>
      </c>
      <c r="W188" t="s">
        <v>2040</v>
      </c>
      <c r="X188" t="b">
        <v>0</v>
      </c>
      <c r="Y188" t="s">
        <v>2075</v>
      </c>
      <c r="Z188" s="6"/>
    </row>
    <row r="189" spans="1:26" ht="14.45" customHeight="1">
      <c r="A189">
        <v>113</v>
      </c>
      <c r="B189" t="s">
        <v>2310</v>
      </c>
      <c r="C189" t="s">
        <v>2311</v>
      </c>
      <c r="D189" t="s">
        <v>2003</v>
      </c>
      <c r="E189" s="7">
        <v>45587</v>
      </c>
      <c r="F189"/>
      <c r="G189">
        <f t="shared" si="2"/>
        <v>0</v>
      </c>
      <c r="J189" t="s">
        <v>2312</v>
      </c>
      <c r="K189" t="s">
        <v>2316</v>
      </c>
      <c r="M189" t="b">
        <v>0</v>
      </c>
      <c r="N189" s="7">
        <v>45637</v>
      </c>
      <c r="O189" t="s">
        <v>2314</v>
      </c>
      <c r="P189">
        <v>35.310314069999997</v>
      </c>
      <c r="Q189">
        <v>-120.6626023</v>
      </c>
      <c r="R189" t="s">
        <v>1808</v>
      </c>
      <c r="S189">
        <v>19787</v>
      </c>
      <c r="T189" t="s">
        <v>1809</v>
      </c>
      <c r="U189" t="s">
        <v>2315</v>
      </c>
      <c r="V189">
        <v>638</v>
      </c>
      <c r="W189" t="s">
        <v>2040</v>
      </c>
      <c r="X189" t="b">
        <v>0</v>
      </c>
      <c r="Y189" t="s">
        <v>2075</v>
      </c>
      <c r="Z189" s="6"/>
    </row>
    <row r="190" spans="1:26" ht="14.45" customHeight="1">
      <c r="A190">
        <v>135</v>
      </c>
      <c r="B190" t="s">
        <v>2317</v>
      </c>
      <c r="C190" t="s">
        <v>2318</v>
      </c>
      <c r="D190" t="s">
        <v>2003</v>
      </c>
      <c r="E190" s="7">
        <v>45580</v>
      </c>
      <c r="F190"/>
      <c r="G190">
        <f t="shared" si="2"/>
        <v>0</v>
      </c>
      <c r="J190" t="s">
        <v>2229</v>
      </c>
      <c r="K190" t="s">
        <v>2319</v>
      </c>
      <c r="M190" t="b">
        <v>0</v>
      </c>
      <c r="N190" s="7">
        <v>45637</v>
      </c>
      <c r="O190" t="s">
        <v>2320</v>
      </c>
      <c r="P190">
        <v>35.310105890000003</v>
      </c>
      <c r="Q190">
        <v>-120.6617055</v>
      </c>
      <c r="R190" t="s">
        <v>1808</v>
      </c>
      <c r="S190">
        <v>19783</v>
      </c>
      <c r="T190" t="s">
        <v>1809</v>
      </c>
      <c r="U190" t="s">
        <v>2321</v>
      </c>
      <c r="V190">
        <v>635</v>
      </c>
      <c r="W190" t="s">
        <v>2040</v>
      </c>
      <c r="X190" t="b">
        <v>0</v>
      </c>
      <c r="Y190" t="s">
        <v>2224</v>
      </c>
      <c r="Z190" s="667"/>
    </row>
    <row r="191" spans="1:26" ht="14.45" customHeight="1">
      <c r="A191">
        <v>295</v>
      </c>
      <c r="B191" t="s">
        <v>2242</v>
      </c>
      <c r="C191" t="s">
        <v>2243</v>
      </c>
      <c r="D191" t="s">
        <v>1826</v>
      </c>
      <c r="E191" s="7">
        <v>45580</v>
      </c>
      <c r="F191">
        <v>16</v>
      </c>
      <c r="G191">
        <f t="shared" si="2"/>
        <v>0.40639999999999998</v>
      </c>
      <c r="H191" t="s">
        <v>1855</v>
      </c>
      <c r="J191" t="s">
        <v>2244</v>
      </c>
      <c r="K191" t="s">
        <v>2322</v>
      </c>
      <c r="M191" t="b">
        <v>0</v>
      </c>
      <c r="N191" s="7">
        <v>45604</v>
      </c>
      <c r="O191" t="s">
        <v>2246</v>
      </c>
      <c r="P191">
        <v>35.310202400000001</v>
      </c>
      <c r="Q191">
        <v>-120.6616673</v>
      </c>
      <c r="R191" t="s">
        <v>1808</v>
      </c>
      <c r="S191">
        <v>19781</v>
      </c>
      <c r="T191" t="s">
        <v>1809</v>
      </c>
      <c r="U191" t="s">
        <v>2247</v>
      </c>
      <c r="V191">
        <v>633</v>
      </c>
      <c r="W191" t="s">
        <v>2040</v>
      </c>
      <c r="X191" t="b">
        <v>0</v>
      </c>
      <c r="Y191" t="s">
        <v>2224</v>
      </c>
      <c r="Z191" s="667"/>
    </row>
    <row r="192" spans="1:26" ht="14.45" customHeight="1">
      <c r="A192">
        <v>434</v>
      </c>
      <c r="B192" t="s">
        <v>2027</v>
      </c>
      <c r="C192" t="s">
        <v>2028</v>
      </c>
      <c r="D192" t="s">
        <v>2003</v>
      </c>
      <c r="E192" s="7">
        <v>45580</v>
      </c>
      <c r="F192">
        <v>13</v>
      </c>
      <c r="G192">
        <f t="shared" si="2"/>
        <v>0.33019999999999999</v>
      </c>
      <c r="H192" t="s">
        <v>1855</v>
      </c>
      <c r="J192" t="s">
        <v>1983</v>
      </c>
      <c r="K192" t="s">
        <v>2323</v>
      </c>
      <c r="M192" t="b">
        <v>1</v>
      </c>
      <c r="N192" s="7">
        <v>45637</v>
      </c>
      <c r="O192" t="s">
        <v>2030</v>
      </c>
      <c r="P192">
        <v>35.310237540000003</v>
      </c>
      <c r="Q192">
        <v>-120.6616641</v>
      </c>
      <c r="R192" t="s">
        <v>1808</v>
      </c>
      <c r="S192">
        <v>19782</v>
      </c>
      <c r="T192" t="s">
        <v>1809</v>
      </c>
      <c r="U192" t="s">
        <v>2324</v>
      </c>
      <c r="V192">
        <v>634</v>
      </c>
      <c r="W192" t="s">
        <v>2040</v>
      </c>
      <c r="X192" t="b">
        <v>0</v>
      </c>
      <c r="Y192" t="s">
        <v>2224</v>
      </c>
      <c r="Z192" s="6"/>
    </row>
    <row r="193" spans="1:26" ht="14.45" customHeight="1">
      <c r="A193">
        <v>231</v>
      </c>
      <c r="B193" t="s">
        <v>2325</v>
      </c>
      <c r="C193" t="s">
        <v>2326</v>
      </c>
      <c r="D193" t="s">
        <v>2003</v>
      </c>
      <c r="E193" s="7">
        <v>45580</v>
      </c>
      <c r="F193">
        <v>7</v>
      </c>
      <c r="G193">
        <f t="shared" si="2"/>
        <v>0.17779999999999999</v>
      </c>
      <c r="H193" t="s">
        <v>1804</v>
      </c>
      <c r="I193" t="s">
        <v>1982</v>
      </c>
      <c r="J193" t="s">
        <v>1983</v>
      </c>
      <c r="K193" t="s">
        <v>2327</v>
      </c>
      <c r="M193" t="b">
        <v>1</v>
      </c>
      <c r="N193" s="7">
        <v>45604</v>
      </c>
      <c r="O193" t="s">
        <v>2328</v>
      </c>
      <c r="P193">
        <v>35.31062361</v>
      </c>
      <c r="Q193">
        <v>-120.66193560000001</v>
      </c>
      <c r="R193" t="s">
        <v>1808</v>
      </c>
      <c r="S193">
        <v>19777</v>
      </c>
      <c r="T193" t="s">
        <v>1809</v>
      </c>
      <c r="U193" t="s">
        <v>2329</v>
      </c>
      <c r="V193">
        <v>629</v>
      </c>
      <c r="W193" t="s">
        <v>2040</v>
      </c>
      <c r="X193" t="b">
        <v>0</v>
      </c>
      <c r="Y193" t="s">
        <v>2055</v>
      </c>
      <c r="Z193" s="6"/>
    </row>
    <row r="194" spans="1:26" ht="14.45" customHeight="1">
      <c r="A194">
        <v>232</v>
      </c>
      <c r="B194" t="s">
        <v>2325</v>
      </c>
      <c r="C194" t="s">
        <v>2326</v>
      </c>
      <c r="D194" t="s">
        <v>2003</v>
      </c>
      <c r="E194" s="7">
        <v>45580</v>
      </c>
      <c r="F194">
        <v>8</v>
      </c>
      <c r="G194">
        <f t="shared" si="2"/>
        <v>0.20319999999999999</v>
      </c>
      <c r="H194" t="s">
        <v>1804</v>
      </c>
      <c r="I194" t="s">
        <v>1982</v>
      </c>
      <c r="J194" t="s">
        <v>1983</v>
      </c>
      <c r="K194" t="s">
        <v>2330</v>
      </c>
      <c r="M194" t="b">
        <v>1</v>
      </c>
      <c r="N194" s="7">
        <v>45604</v>
      </c>
      <c r="O194" t="s">
        <v>2328</v>
      </c>
      <c r="P194">
        <v>35.31060282</v>
      </c>
      <c r="Q194">
        <v>-120.6619141</v>
      </c>
      <c r="R194" t="s">
        <v>1808</v>
      </c>
      <c r="S194">
        <v>19776</v>
      </c>
      <c r="T194" t="s">
        <v>1809</v>
      </c>
      <c r="U194" t="s">
        <v>2329</v>
      </c>
      <c r="V194">
        <v>628</v>
      </c>
      <c r="W194" t="s">
        <v>2040</v>
      </c>
      <c r="X194" t="b">
        <v>0</v>
      </c>
      <c r="Y194" t="s">
        <v>2055</v>
      </c>
      <c r="Z194" s="667"/>
    </row>
    <row r="195" spans="1:26" ht="14.45" customHeight="1">
      <c r="A195">
        <v>367</v>
      </c>
      <c r="B195" t="s">
        <v>2060</v>
      </c>
      <c r="C195" t="s">
        <v>2061</v>
      </c>
      <c r="D195" t="s">
        <v>1946</v>
      </c>
      <c r="E195" s="7">
        <v>45580</v>
      </c>
      <c r="F195">
        <v>7</v>
      </c>
      <c r="G195">
        <f t="shared" ref="G195:G258" si="3">F195*0.0254</f>
        <v>0.17779999999999999</v>
      </c>
      <c r="H195" t="s">
        <v>1804</v>
      </c>
      <c r="I195" t="s">
        <v>2062</v>
      </c>
      <c r="J195" t="s">
        <v>2063</v>
      </c>
      <c r="K195" t="s">
        <v>2331</v>
      </c>
      <c r="M195" t="b">
        <v>1</v>
      </c>
      <c r="N195" s="7">
        <v>45637</v>
      </c>
      <c r="O195" t="s">
        <v>1438</v>
      </c>
      <c r="P195">
        <v>35.310541899999997</v>
      </c>
      <c r="Q195">
        <v>-120.6617167</v>
      </c>
      <c r="R195" t="s">
        <v>1808</v>
      </c>
      <c r="S195">
        <v>19774</v>
      </c>
      <c r="T195" t="s">
        <v>1809</v>
      </c>
      <c r="U195" t="s">
        <v>2332</v>
      </c>
      <c r="V195">
        <v>626</v>
      </c>
      <c r="W195" t="s">
        <v>2040</v>
      </c>
      <c r="X195" t="b">
        <v>0</v>
      </c>
      <c r="Y195" t="s">
        <v>2055</v>
      </c>
      <c r="Z195" s="667"/>
    </row>
    <row r="196" spans="1:26" ht="14.45" customHeight="1">
      <c r="A196">
        <v>368</v>
      </c>
      <c r="B196" t="s">
        <v>2060</v>
      </c>
      <c r="C196" t="s">
        <v>2061</v>
      </c>
      <c r="D196" t="s">
        <v>1946</v>
      </c>
      <c r="E196" s="7">
        <v>45580</v>
      </c>
      <c r="F196">
        <v>7</v>
      </c>
      <c r="G196">
        <f t="shared" si="3"/>
        <v>0.17779999999999999</v>
      </c>
      <c r="H196" t="s">
        <v>1804</v>
      </c>
      <c r="I196" t="s">
        <v>2062</v>
      </c>
      <c r="J196" t="s">
        <v>2063</v>
      </c>
      <c r="K196" t="s">
        <v>2333</v>
      </c>
      <c r="M196" t="b">
        <v>1</v>
      </c>
      <c r="N196" s="7">
        <v>45637</v>
      </c>
      <c r="O196" t="s">
        <v>1438</v>
      </c>
      <c r="P196">
        <v>35.310534789999998</v>
      </c>
      <c r="Q196">
        <v>-120.6616925</v>
      </c>
      <c r="R196" t="s">
        <v>1808</v>
      </c>
      <c r="S196">
        <v>19773</v>
      </c>
      <c r="T196" t="s">
        <v>1809</v>
      </c>
      <c r="U196" t="s">
        <v>2332</v>
      </c>
      <c r="V196">
        <v>625</v>
      </c>
      <c r="W196" t="s">
        <v>2040</v>
      </c>
      <c r="X196" t="b">
        <v>0</v>
      </c>
      <c r="Y196" t="s">
        <v>2055</v>
      </c>
      <c r="Z196" s="6"/>
    </row>
    <row r="197" spans="1:26" ht="14.45" customHeight="1">
      <c r="A197">
        <v>369</v>
      </c>
      <c r="B197" t="s">
        <v>2060</v>
      </c>
      <c r="C197" t="s">
        <v>2061</v>
      </c>
      <c r="D197" t="s">
        <v>2003</v>
      </c>
      <c r="E197" s="7">
        <v>45580</v>
      </c>
      <c r="F197">
        <v>8</v>
      </c>
      <c r="G197">
        <f t="shared" si="3"/>
        <v>0.20319999999999999</v>
      </c>
      <c r="H197" t="s">
        <v>1804</v>
      </c>
      <c r="I197" t="s">
        <v>2062</v>
      </c>
      <c r="J197" t="s">
        <v>2063</v>
      </c>
      <c r="K197" t="s">
        <v>2334</v>
      </c>
      <c r="M197" t="b">
        <v>1</v>
      </c>
      <c r="N197" s="7">
        <v>45637</v>
      </c>
      <c r="O197" t="s">
        <v>1438</v>
      </c>
      <c r="P197">
        <v>35.310556679999998</v>
      </c>
      <c r="Q197">
        <v>-120.6616952</v>
      </c>
      <c r="R197" t="s">
        <v>1808</v>
      </c>
      <c r="S197">
        <v>19775</v>
      </c>
      <c r="T197" t="s">
        <v>1809</v>
      </c>
      <c r="U197" t="s">
        <v>2332</v>
      </c>
      <c r="V197">
        <v>627</v>
      </c>
      <c r="W197" t="s">
        <v>2040</v>
      </c>
      <c r="X197" t="b">
        <v>0</v>
      </c>
      <c r="Y197" t="s">
        <v>2055</v>
      </c>
      <c r="Z197" s="6"/>
    </row>
    <row r="198" spans="1:26" ht="14.45" customHeight="1">
      <c r="A198">
        <v>206</v>
      </c>
      <c r="B198" t="s">
        <v>1624</v>
      </c>
      <c r="C198" t="s">
        <v>2072</v>
      </c>
      <c r="D198" t="s">
        <v>2003</v>
      </c>
      <c r="E198" s="7">
        <v>45580</v>
      </c>
      <c r="F198">
        <v>18</v>
      </c>
      <c r="G198">
        <f t="shared" si="3"/>
        <v>0.4572</v>
      </c>
      <c r="H198" t="s">
        <v>1842</v>
      </c>
      <c r="I198" t="s">
        <v>1982</v>
      </c>
      <c r="J198" t="s">
        <v>1983</v>
      </c>
      <c r="K198" t="s">
        <v>2335</v>
      </c>
      <c r="M198" t="b">
        <v>1</v>
      </c>
      <c r="N198" s="7">
        <v>45593</v>
      </c>
      <c r="O198" t="s">
        <v>2074</v>
      </c>
      <c r="P198">
        <v>35.3102473</v>
      </c>
      <c r="Q198">
        <v>-120.6618434</v>
      </c>
      <c r="R198" t="s">
        <v>1808</v>
      </c>
      <c r="S198">
        <v>19778</v>
      </c>
      <c r="T198" t="s">
        <v>1809</v>
      </c>
      <c r="V198">
        <v>630</v>
      </c>
      <c r="W198" t="s">
        <v>2040</v>
      </c>
      <c r="X198" t="b">
        <v>0</v>
      </c>
      <c r="Y198" t="s">
        <v>2075</v>
      </c>
      <c r="Z198" s="6"/>
    </row>
    <row r="199" spans="1:26" ht="14.45" customHeight="1">
      <c r="A199">
        <v>217</v>
      </c>
      <c r="B199" t="s">
        <v>1624</v>
      </c>
      <c r="C199" t="s">
        <v>2072</v>
      </c>
      <c r="D199" t="s">
        <v>2003</v>
      </c>
      <c r="E199" s="7">
        <v>45580</v>
      </c>
      <c r="F199">
        <v>23</v>
      </c>
      <c r="G199">
        <f t="shared" si="3"/>
        <v>0.58419999999999994</v>
      </c>
      <c r="H199" t="s">
        <v>1842</v>
      </c>
      <c r="I199" t="s">
        <v>1982</v>
      </c>
      <c r="J199" t="s">
        <v>1983</v>
      </c>
      <c r="K199" t="s">
        <v>2336</v>
      </c>
      <c r="M199" t="b">
        <v>1</v>
      </c>
      <c r="N199" s="7">
        <v>45637</v>
      </c>
      <c r="O199" t="s">
        <v>2074</v>
      </c>
      <c r="P199">
        <v>35.310312969999998</v>
      </c>
      <c r="Q199">
        <v>-120.66190109999999</v>
      </c>
      <c r="R199" t="s">
        <v>1808</v>
      </c>
      <c r="S199">
        <v>19780</v>
      </c>
      <c r="T199" t="s">
        <v>1809</v>
      </c>
      <c r="U199" t="s">
        <v>2111</v>
      </c>
      <c r="V199">
        <v>632</v>
      </c>
      <c r="W199" t="s">
        <v>2040</v>
      </c>
      <c r="X199" t="b">
        <v>0</v>
      </c>
      <c r="Y199" t="s">
        <v>2075</v>
      </c>
      <c r="Z199" s="6"/>
    </row>
    <row r="200" spans="1:26" ht="14.45" customHeight="1">
      <c r="A200">
        <v>432</v>
      </c>
      <c r="B200" t="s">
        <v>2027</v>
      </c>
      <c r="C200" t="s">
        <v>2028</v>
      </c>
      <c r="D200" t="s">
        <v>1946</v>
      </c>
      <c r="E200" s="7">
        <v>45580</v>
      </c>
      <c r="F200">
        <v>12</v>
      </c>
      <c r="G200">
        <f t="shared" si="3"/>
        <v>0.30479999999999996</v>
      </c>
      <c r="H200" t="s">
        <v>1855</v>
      </c>
      <c r="J200" t="s">
        <v>1983</v>
      </c>
      <c r="K200" t="s">
        <v>2337</v>
      </c>
      <c r="M200" t="b">
        <v>1</v>
      </c>
      <c r="N200" s="7">
        <v>45637</v>
      </c>
      <c r="O200" t="s">
        <v>2030</v>
      </c>
      <c r="P200">
        <v>35.310264699999998</v>
      </c>
      <c r="Q200">
        <v>-120.66177999999999</v>
      </c>
      <c r="R200" t="s">
        <v>1808</v>
      </c>
      <c r="S200">
        <v>19779</v>
      </c>
      <c r="T200" t="s">
        <v>1809</v>
      </c>
      <c r="U200" t="s">
        <v>2338</v>
      </c>
      <c r="V200">
        <v>631</v>
      </c>
      <c r="W200" t="s">
        <v>2040</v>
      </c>
      <c r="X200" t="b">
        <v>0</v>
      </c>
      <c r="Y200" t="s">
        <v>2075</v>
      </c>
      <c r="Z200" s="6"/>
    </row>
    <row r="201" spans="1:26" ht="14.45" customHeight="1">
      <c r="A201">
        <v>257</v>
      </c>
      <c r="B201" t="s">
        <v>1864</v>
      </c>
      <c r="C201" t="s">
        <v>1865</v>
      </c>
      <c r="D201" t="s">
        <v>2003</v>
      </c>
      <c r="E201" s="7">
        <v>45575</v>
      </c>
      <c r="F201">
        <v>2</v>
      </c>
      <c r="G201">
        <f t="shared" si="3"/>
        <v>5.0799999999999998E-2</v>
      </c>
      <c r="H201" t="s">
        <v>1838</v>
      </c>
      <c r="I201" t="s">
        <v>1815</v>
      </c>
      <c r="J201" t="s">
        <v>1825</v>
      </c>
      <c r="K201" t="s">
        <v>2339</v>
      </c>
      <c r="M201" t="b">
        <v>1</v>
      </c>
      <c r="N201" s="7">
        <v>45637</v>
      </c>
      <c r="O201" t="s">
        <v>1868</v>
      </c>
      <c r="P201">
        <v>35.31083005</v>
      </c>
      <c r="Q201">
        <v>-120.6630948</v>
      </c>
      <c r="R201" t="s">
        <v>1808</v>
      </c>
      <c r="S201">
        <v>19753</v>
      </c>
      <c r="T201" t="s">
        <v>1809</v>
      </c>
      <c r="U201" t="s">
        <v>2340</v>
      </c>
      <c r="V201">
        <v>617</v>
      </c>
      <c r="W201" t="s">
        <v>2040</v>
      </c>
      <c r="X201" t="b">
        <v>0</v>
      </c>
      <c r="Y201" t="s">
        <v>1811</v>
      </c>
      <c r="Z201" s="6"/>
    </row>
    <row r="202" spans="1:26" ht="14.45" customHeight="1">
      <c r="A202">
        <v>493</v>
      </c>
      <c r="B202" t="s">
        <v>2341</v>
      </c>
      <c r="C202" t="s">
        <v>2342</v>
      </c>
      <c r="D202" t="s">
        <v>1826</v>
      </c>
      <c r="E202" s="7">
        <v>45575</v>
      </c>
      <c r="F202">
        <v>6</v>
      </c>
      <c r="G202">
        <f t="shared" si="3"/>
        <v>0.15239999999999998</v>
      </c>
      <c r="H202" t="s">
        <v>1804</v>
      </c>
      <c r="I202" t="s">
        <v>1815</v>
      </c>
      <c r="J202" t="s">
        <v>1816</v>
      </c>
      <c r="K202" t="s">
        <v>2343</v>
      </c>
      <c r="M202" t="b">
        <v>1</v>
      </c>
      <c r="N202" s="7">
        <v>45930</v>
      </c>
      <c r="O202" t="s">
        <v>2344</v>
      </c>
      <c r="P202">
        <v>35.310902609999999</v>
      </c>
      <c r="Q202">
        <v>-120.6628453</v>
      </c>
      <c r="R202" t="s">
        <v>1808</v>
      </c>
      <c r="S202">
        <v>27560</v>
      </c>
      <c r="T202" t="s">
        <v>1809</v>
      </c>
      <c r="U202" t="s">
        <v>2345</v>
      </c>
      <c r="V202">
        <v>870</v>
      </c>
      <c r="W202" t="s">
        <v>1870</v>
      </c>
      <c r="X202" t="b">
        <v>0</v>
      </c>
      <c r="Y202" t="s">
        <v>1811</v>
      </c>
      <c r="Z202" s="6"/>
    </row>
    <row r="203" spans="1:26" ht="14.45" customHeight="1">
      <c r="A203">
        <v>494</v>
      </c>
      <c r="B203" t="s">
        <v>2341</v>
      </c>
      <c r="C203" t="s">
        <v>2342</v>
      </c>
      <c r="D203" t="s">
        <v>1826</v>
      </c>
      <c r="E203" s="7">
        <v>45575</v>
      </c>
      <c r="F203">
        <v>6</v>
      </c>
      <c r="G203">
        <f t="shared" si="3"/>
        <v>0.15239999999999998</v>
      </c>
      <c r="H203" t="s">
        <v>1804</v>
      </c>
      <c r="I203" t="s">
        <v>1815</v>
      </c>
      <c r="J203" t="s">
        <v>1816</v>
      </c>
      <c r="K203" t="s">
        <v>2346</v>
      </c>
      <c r="M203" t="b">
        <v>1</v>
      </c>
      <c r="N203" s="7">
        <v>45930</v>
      </c>
      <c r="O203" t="s">
        <v>2344</v>
      </c>
      <c r="P203">
        <v>35.310933810000002</v>
      </c>
      <c r="Q203">
        <v>-120.66285259999999</v>
      </c>
      <c r="R203" t="s">
        <v>1808</v>
      </c>
      <c r="S203">
        <v>14938</v>
      </c>
      <c r="T203" t="s">
        <v>1809</v>
      </c>
      <c r="U203" t="s">
        <v>2345</v>
      </c>
      <c r="V203">
        <v>148</v>
      </c>
      <c r="W203" t="s">
        <v>2347</v>
      </c>
      <c r="X203" t="b">
        <v>0</v>
      </c>
      <c r="Y203" t="s">
        <v>1811</v>
      </c>
      <c r="Z203" s="6"/>
    </row>
    <row r="204" spans="1:26" ht="14.45" customHeight="1">
      <c r="A204">
        <v>496</v>
      </c>
      <c r="B204" t="s">
        <v>1871</v>
      </c>
      <c r="C204" t="s">
        <v>1872</v>
      </c>
      <c r="D204" t="s">
        <v>2003</v>
      </c>
      <c r="E204" s="7">
        <v>45575</v>
      </c>
      <c r="F204">
        <v>7</v>
      </c>
      <c r="G204">
        <f t="shared" si="3"/>
        <v>0.17779999999999999</v>
      </c>
      <c r="H204" t="s">
        <v>1804</v>
      </c>
      <c r="I204" t="s">
        <v>1815</v>
      </c>
      <c r="J204" t="s">
        <v>1816</v>
      </c>
      <c r="K204" t="s">
        <v>2348</v>
      </c>
      <c r="M204" t="b">
        <v>1</v>
      </c>
      <c r="N204" s="7">
        <v>45923</v>
      </c>
      <c r="O204" t="s">
        <v>1874</v>
      </c>
      <c r="P204">
        <v>35.310687420000001</v>
      </c>
      <c r="Q204">
        <v>-120.6633338</v>
      </c>
      <c r="R204" t="s">
        <v>1808</v>
      </c>
      <c r="S204">
        <v>19742</v>
      </c>
      <c r="T204" t="s">
        <v>1809</v>
      </c>
      <c r="U204" t="s">
        <v>2349</v>
      </c>
      <c r="V204">
        <v>606</v>
      </c>
      <c r="W204" t="s">
        <v>2040</v>
      </c>
      <c r="X204" t="b">
        <v>0</v>
      </c>
      <c r="Y204" t="s">
        <v>1811</v>
      </c>
      <c r="Z204" s="6"/>
    </row>
    <row r="205" spans="1:26" ht="14.45" customHeight="1">
      <c r="A205">
        <v>523</v>
      </c>
      <c r="B205" t="s">
        <v>2350</v>
      </c>
      <c r="C205" t="s">
        <v>2351</v>
      </c>
      <c r="D205" t="s">
        <v>2003</v>
      </c>
      <c r="E205" s="7">
        <v>45575</v>
      </c>
      <c r="F205">
        <v>13</v>
      </c>
      <c r="G205">
        <f t="shared" si="3"/>
        <v>0.33019999999999999</v>
      </c>
      <c r="H205" t="s">
        <v>1855</v>
      </c>
      <c r="I205" t="s">
        <v>1815</v>
      </c>
      <c r="J205" t="s">
        <v>1816</v>
      </c>
      <c r="K205" t="s">
        <v>2352</v>
      </c>
      <c r="M205" t="b">
        <v>1</v>
      </c>
      <c r="N205" s="7">
        <v>45923</v>
      </c>
      <c r="O205" t="s">
        <v>2353</v>
      </c>
      <c r="P205">
        <v>35.310847170000002</v>
      </c>
      <c r="Q205">
        <v>-120.66304510000001</v>
      </c>
      <c r="R205" t="s">
        <v>1808</v>
      </c>
      <c r="S205">
        <v>19745</v>
      </c>
      <c r="T205" t="s">
        <v>1809</v>
      </c>
      <c r="U205" t="s">
        <v>2354</v>
      </c>
      <c r="V205">
        <v>609</v>
      </c>
      <c r="W205" t="s">
        <v>2040</v>
      </c>
      <c r="X205" t="b">
        <v>0</v>
      </c>
      <c r="Y205" t="s">
        <v>1811</v>
      </c>
      <c r="Z205" s="667"/>
    </row>
    <row r="206" spans="1:26" ht="14.45" customHeight="1">
      <c r="A206">
        <v>16</v>
      </c>
      <c r="B206" t="s">
        <v>2355</v>
      </c>
      <c r="C206" t="s">
        <v>2356</v>
      </c>
      <c r="D206" t="s">
        <v>1826</v>
      </c>
      <c r="E206" s="7">
        <v>45575</v>
      </c>
      <c r="F206">
        <v>20</v>
      </c>
      <c r="G206">
        <f t="shared" si="3"/>
        <v>0.50800000000000001</v>
      </c>
      <c r="H206" t="s">
        <v>1842</v>
      </c>
      <c r="I206" t="s">
        <v>1882</v>
      </c>
      <c r="J206" t="s">
        <v>1883</v>
      </c>
      <c r="K206" t="s">
        <v>2357</v>
      </c>
      <c r="M206" t="b">
        <v>1</v>
      </c>
      <c r="N206" s="7">
        <v>45923</v>
      </c>
      <c r="O206" t="s">
        <v>1639</v>
      </c>
      <c r="P206">
        <v>35.310457700000001</v>
      </c>
      <c r="Q206">
        <v>-120.66333349999999</v>
      </c>
      <c r="R206" t="s">
        <v>1808</v>
      </c>
      <c r="S206">
        <v>19739</v>
      </c>
      <c r="T206" t="s">
        <v>1809</v>
      </c>
      <c r="U206" t="s">
        <v>2358</v>
      </c>
      <c r="V206">
        <v>604</v>
      </c>
      <c r="W206" t="s">
        <v>2040</v>
      </c>
      <c r="X206" t="b">
        <v>0</v>
      </c>
      <c r="Y206" t="s">
        <v>1811</v>
      </c>
      <c r="Z206" s="667"/>
    </row>
    <row r="207" spans="1:26" ht="14.45" customHeight="1">
      <c r="A207">
        <v>539</v>
      </c>
      <c r="B207" t="s">
        <v>2102</v>
      </c>
      <c r="C207" t="s">
        <v>2103</v>
      </c>
      <c r="D207" t="s">
        <v>2003</v>
      </c>
      <c r="E207" s="7">
        <v>45575</v>
      </c>
      <c r="F207">
        <v>5</v>
      </c>
      <c r="G207">
        <f t="shared" si="3"/>
        <v>0.127</v>
      </c>
      <c r="H207" t="s">
        <v>1814</v>
      </c>
      <c r="I207" t="s">
        <v>2104</v>
      </c>
      <c r="J207" t="s">
        <v>2105</v>
      </c>
      <c r="K207" t="s">
        <v>2359</v>
      </c>
      <c r="M207" t="b">
        <v>1</v>
      </c>
      <c r="N207" s="7">
        <v>45608</v>
      </c>
      <c r="O207" t="s">
        <v>2107</v>
      </c>
      <c r="P207">
        <v>35.310755819999997</v>
      </c>
      <c r="Q207">
        <v>-120.66327680000001</v>
      </c>
      <c r="R207" t="s">
        <v>1808</v>
      </c>
      <c r="S207">
        <v>19744</v>
      </c>
      <c r="T207" t="s">
        <v>1809</v>
      </c>
      <c r="U207" t="s">
        <v>2108</v>
      </c>
      <c r="V207">
        <v>608</v>
      </c>
      <c r="W207" t="s">
        <v>2040</v>
      </c>
      <c r="X207" t="b">
        <v>0</v>
      </c>
      <c r="Y207" t="s">
        <v>1811</v>
      </c>
      <c r="Z207" s="667"/>
    </row>
    <row r="208" spans="1:26" ht="14.45" customHeight="1">
      <c r="A208">
        <v>543</v>
      </c>
      <c r="B208" t="s">
        <v>2102</v>
      </c>
      <c r="C208" t="s">
        <v>2103</v>
      </c>
      <c r="D208" t="s">
        <v>2003</v>
      </c>
      <c r="E208" s="7">
        <v>45575</v>
      </c>
      <c r="F208">
        <v>7</v>
      </c>
      <c r="G208">
        <f t="shared" si="3"/>
        <v>0.17779999999999999</v>
      </c>
      <c r="H208" t="s">
        <v>1804</v>
      </c>
      <c r="I208" t="s">
        <v>2104</v>
      </c>
      <c r="J208" t="s">
        <v>2105</v>
      </c>
      <c r="K208" t="s">
        <v>2360</v>
      </c>
      <c r="M208" t="b">
        <v>1</v>
      </c>
      <c r="N208" s="7">
        <v>45923</v>
      </c>
      <c r="O208" t="s">
        <v>2107</v>
      </c>
      <c r="P208">
        <v>35.310818650000002</v>
      </c>
      <c r="Q208">
        <v>-120.66317100000001</v>
      </c>
      <c r="R208" t="s">
        <v>1808</v>
      </c>
      <c r="S208">
        <v>19743</v>
      </c>
      <c r="T208" t="s">
        <v>1809</v>
      </c>
      <c r="U208" t="s">
        <v>2108</v>
      </c>
      <c r="V208">
        <v>607</v>
      </c>
      <c r="W208" t="s">
        <v>2040</v>
      </c>
      <c r="X208" t="b">
        <v>0</v>
      </c>
      <c r="Y208" t="s">
        <v>1811</v>
      </c>
      <c r="Z208" s="667"/>
    </row>
    <row r="209" spans="1:26" ht="14.45" customHeight="1">
      <c r="A209">
        <v>296</v>
      </c>
      <c r="B209" t="s">
        <v>2361</v>
      </c>
      <c r="C209" t="s">
        <v>2362</v>
      </c>
      <c r="D209" t="s">
        <v>1826</v>
      </c>
      <c r="E209" s="7">
        <v>45575</v>
      </c>
      <c r="F209">
        <v>5</v>
      </c>
      <c r="G209">
        <f t="shared" si="3"/>
        <v>0.127</v>
      </c>
      <c r="H209" t="s">
        <v>1814</v>
      </c>
      <c r="I209" t="s">
        <v>1888</v>
      </c>
      <c r="J209" t="s">
        <v>2363</v>
      </c>
      <c r="K209" t="s">
        <v>2364</v>
      </c>
      <c r="M209" t="b">
        <v>1</v>
      </c>
      <c r="N209" s="7">
        <v>45923</v>
      </c>
      <c r="O209" t="s">
        <v>2365</v>
      </c>
      <c r="P209">
        <v>35.310898510000001</v>
      </c>
      <c r="Q209">
        <v>-120.6631402</v>
      </c>
      <c r="R209" t="s">
        <v>1808</v>
      </c>
      <c r="S209">
        <v>19748</v>
      </c>
      <c r="T209" t="s">
        <v>1809</v>
      </c>
      <c r="U209" t="s">
        <v>2366</v>
      </c>
      <c r="V209">
        <v>612</v>
      </c>
      <c r="W209" t="s">
        <v>2040</v>
      </c>
      <c r="X209" t="b">
        <v>0</v>
      </c>
      <c r="Y209" t="s">
        <v>1811</v>
      </c>
      <c r="Z209" s="667"/>
    </row>
    <row r="210" spans="1:26" ht="14.45" customHeight="1">
      <c r="A210">
        <v>520</v>
      </c>
      <c r="B210" t="s">
        <v>1886</v>
      </c>
      <c r="C210" t="s">
        <v>1887</v>
      </c>
      <c r="D210" t="s">
        <v>2003</v>
      </c>
      <c r="E210" s="7">
        <v>45575</v>
      </c>
      <c r="F210">
        <v>20</v>
      </c>
      <c r="G210">
        <f t="shared" si="3"/>
        <v>0.50800000000000001</v>
      </c>
      <c r="H210" t="s">
        <v>1842</v>
      </c>
      <c r="I210" t="s">
        <v>1888</v>
      </c>
      <c r="J210" t="s">
        <v>1889</v>
      </c>
      <c r="K210" t="s">
        <v>2367</v>
      </c>
      <c r="M210" t="b">
        <v>1</v>
      </c>
      <c r="N210" s="7">
        <v>45923</v>
      </c>
      <c r="O210" t="s">
        <v>1891</v>
      </c>
      <c r="P210">
        <v>35.310454710000002</v>
      </c>
      <c r="Q210">
        <v>-120.6634049</v>
      </c>
      <c r="R210" t="s">
        <v>1808</v>
      </c>
      <c r="S210">
        <v>19740</v>
      </c>
      <c r="T210" t="s">
        <v>1809</v>
      </c>
      <c r="U210" t="s">
        <v>2368</v>
      </c>
      <c r="V210">
        <v>605</v>
      </c>
      <c r="W210" t="s">
        <v>2040</v>
      </c>
      <c r="X210" t="b">
        <v>0</v>
      </c>
      <c r="Y210" t="s">
        <v>1811</v>
      </c>
      <c r="Z210" s="6"/>
    </row>
    <row r="211" spans="1:26" ht="14.45" customHeight="1">
      <c r="A211">
        <v>306</v>
      </c>
      <c r="B211" t="s">
        <v>1831</v>
      </c>
      <c r="C211" t="s">
        <v>1832</v>
      </c>
      <c r="D211" t="s">
        <v>1826</v>
      </c>
      <c r="E211" s="7">
        <v>45575</v>
      </c>
      <c r="F211">
        <v>1</v>
      </c>
      <c r="G211">
        <f t="shared" si="3"/>
        <v>2.5399999999999999E-2</v>
      </c>
      <c r="H211" t="s">
        <v>1838</v>
      </c>
      <c r="J211" t="s">
        <v>1816</v>
      </c>
      <c r="K211" t="s">
        <v>2369</v>
      </c>
      <c r="M211" t="b">
        <v>1</v>
      </c>
      <c r="N211" s="7">
        <v>45603</v>
      </c>
      <c r="O211" t="s">
        <v>1834</v>
      </c>
      <c r="P211">
        <v>35.310863140000002</v>
      </c>
      <c r="Q211">
        <v>-120.6630759</v>
      </c>
      <c r="R211" t="s">
        <v>1808</v>
      </c>
      <c r="S211">
        <v>19754</v>
      </c>
      <c r="T211" t="s">
        <v>1809</v>
      </c>
      <c r="V211">
        <v>618</v>
      </c>
      <c r="W211" t="s">
        <v>2040</v>
      </c>
      <c r="X211" t="b">
        <v>0</v>
      </c>
      <c r="Y211" t="s">
        <v>1811</v>
      </c>
      <c r="Z211" s="6"/>
    </row>
    <row r="212" spans="1:26" ht="14.45" customHeight="1">
      <c r="A212">
        <v>307</v>
      </c>
      <c r="B212" t="s">
        <v>1831</v>
      </c>
      <c r="C212" t="s">
        <v>1832</v>
      </c>
      <c r="D212" t="s">
        <v>2003</v>
      </c>
      <c r="E212" s="7">
        <v>45575</v>
      </c>
      <c r="F212">
        <v>2</v>
      </c>
      <c r="G212">
        <f t="shared" si="3"/>
        <v>5.0799999999999998E-2</v>
      </c>
      <c r="H212" t="s">
        <v>1838</v>
      </c>
      <c r="J212" t="s">
        <v>1816</v>
      </c>
      <c r="K212" t="s">
        <v>2370</v>
      </c>
      <c r="M212" t="b">
        <v>1</v>
      </c>
      <c r="N212" s="7">
        <v>45637</v>
      </c>
      <c r="O212" t="s">
        <v>1834</v>
      </c>
      <c r="P212">
        <v>35.310894249999997</v>
      </c>
      <c r="Q212">
        <v>-120.6631165</v>
      </c>
      <c r="R212" t="s">
        <v>1808</v>
      </c>
      <c r="S212">
        <v>19747</v>
      </c>
      <c r="T212" t="s">
        <v>1809</v>
      </c>
      <c r="U212" t="s">
        <v>2371</v>
      </c>
      <c r="V212">
        <v>611</v>
      </c>
      <c r="W212" t="s">
        <v>2040</v>
      </c>
      <c r="X212" t="b">
        <v>0</v>
      </c>
      <c r="Y212" t="s">
        <v>1811</v>
      </c>
      <c r="Z212" s="6"/>
    </row>
    <row r="213" spans="1:26" ht="14.45" customHeight="1">
      <c r="A213">
        <v>308</v>
      </c>
      <c r="B213" t="s">
        <v>1831</v>
      </c>
      <c r="C213" t="s">
        <v>1832</v>
      </c>
      <c r="D213" t="s">
        <v>2003</v>
      </c>
      <c r="E213" s="7">
        <v>45575</v>
      </c>
      <c r="F213">
        <v>4</v>
      </c>
      <c r="G213">
        <f t="shared" si="3"/>
        <v>0.1016</v>
      </c>
      <c r="H213" t="s">
        <v>1814</v>
      </c>
      <c r="J213" t="s">
        <v>1816</v>
      </c>
      <c r="K213" t="s">
        <v>2372</v>
      </c>
      <c r="M213" t="b">
        <v>1</v>
      </c>
      <c r="N213" s="7">
        <v>45603</v>
      </c>
      <c r="O213" t="s">
        <v>1834</v>
      </c>
      <c r="P213">
        <v>35.3108237</v>
      </c>
      <c r="Q213">
        <v>-120.66298260000001</v>
      </c>
      <c r="R213" t="s">
        <v>1808</v>
      </c>
      <c r="S213">
        <v>19751</v>
      </c>
      <c r="T213" t="s">
        <v>1809</v>
      </c>
      <c r="V213">
        <v>615</v>
      </c>
      <c r="W213" t="s">
        <v>2040</v>
      </c>
      <c r="X213" t="b">
        <v>0</v>
      </c>
      <c r="Y213" t="s">
        <v>1811</v>
      </c>
      <c r="Z213" s="6"/>
    </row>
    <row r="214" spans="1:26" ht="14.45" customHeight="1">
      <c r="A214">
        <v>311</v>
      </c>
      <c r="B214" t="s">
        <v>1831</v>
      </c>
      <c r="C214" t="s">
        <v>1832</v>
      </c>
      <c r="D214" t="s">
        <v>1826</v>
      </c>
      <c r="E214" s="7">
        <v>45575</v>
      </c>
      <c r="F214">
        <v>6</v>
      </c>
      <c r="G214">
        <f t="shared" si="3"/>
        <v>0.15239999999999998</v>
      </c>
      <c r="H214" t="s">
        <v>1804</v>
      </c>
      <c r="J214" t="s">
        <v>1816</v>
      </c>
      <c r="K214" t="s">
        <v>2373</v>
      </c>
      <c r="M214" t="b">
        <v>1</v>
      </c>
      <c r="N214" s="7">
        <v>45603</v>
      </c>
      <c r="O214" t="s">
        <v>1834</v>
      </c>
      <c r="P214">
        <v>35.310821420000003</v>
      </c>
      <c r="Q214">
        <v>-120.6629707</v>
      </c>
      <c r="R214" t="s">
        <v>1808</v>
      </c>
      <c r="S214">
        <v>19752</v>
      </c>
      <c r="T214" t="s">
        <v>1809</v>
      </c>
      <c r="V214">
        <v>616</v>
      </c>
      <c r="W214" t="s">
        <v>2040</v>
      </c>
      <c r="X214" t="b">
        <v>0</v>
      </c>
      <c r="Y214" t="s">
        <v>1811</v>
      </c>
      <c r="Z214" s="6"/>
    </row>
    <row r="215" spans="1:26" ht="14.45" customHeight="1">
      <c r="A215">
        <v>313</v>
      </c>
      <c r="B215" t="s">
        <v>1831</v>
      </c>
      <c r="C215" t="s">
        <v>1832</v>
      </c>
      <c r="D215" t="s">
        <v>2003</v>
      </c>
      <c r="E215" s="7">
        <v>45575</v>
      </c>
      <c r="F215">
        <v>11</v>
      </c>
      <c r="G215">
        <f t="shared" si="3"/>
        <v>0.27939999999999998</v>
      </c>
      <c r="H215" t="s">
        <v>1804</v>
      </c>
      <c r="J215" t="s">
        <v>1816</v>
      </c>
      <c r="K215" t="s">
        <v>2374</v>
      </c>
      <c r="M215" t="b">
        <v>1</v>
      </c>
      <c r="N215" s="7">
        <v>45603</v>
      </c>
      <c r="O215" t="s">
        <v>1834</v>
      </c>
      <c r="P215">
        <v>35.31086827</v>
      </c>
      <c r="Q215">
        <v>-120.6630514</v>
      </c>
      <c r="R215" t="s">
        <v>1808</v>
      </c>
      <c r="S215">
        <v>19746</v>
      </c>
      <c r="T215" t="s">
        <v>1809</v>
      </c>
      <c r="V215">
        <v>610</v>
      </c>
      <c r="W215" t="s">
        <v>2040</v>
      </c>
      <c r="X215" t="b">
        <v>0</v>
      </c>
      <c r="Y215" t="s">
        <v>1811</v>
      </c>
      <c r="Z215" s="6"/>
    </row>
    <row r="216" spans="1:26" ht="14.45" customHeight="1">
      <c r="A216">
        <v>314</v>
      </c>
      <c r="B216" t="s">
        <v>1831</v>
      </c>
      <c r="C216" t="s">
        <v>1832</v>
      </c>
      <c r="D216" t="s">
        <v>2003</v>
      </c>
      <c r="E216" s="7">
        <v>45575</v>
      </c>
      <c r="F216">
        <v>24</v>
      </c>
      <c r="G216">
        <f t="shared" si="3"/>
        <v>0.60959999999999992</v>
      </c>
      <c r="H216" t="s">
        <v>1866</v>
      </c>
      <c r="J216" t="s">
        <v>1816</v>
      </c>
      <c r="K216" t="s">
        <v>2375</v>
      </c>
      <c r="M216" t="b">
        <v>1</v>
      </c>
      <c r="N216" s="7">
        <v>45603</v>
      </c>
      <c r="O216" t="s">
        <v>1834</v>
      </c>
      <c r="P216">
        <v>35.310778059999997</v>
      </c>
      <c r="Q216">
        <v>-120.6629812</v>
      </c>
      <c r="R216" t="s">
        <v>1808</v>
      </c>
      <c r="S216">
        <v>19750</v>
      </c>
      <c r="T216" t="s">
        <v>1809</v>
      </c>
      <c r="U216" t="s">
        <v>2376</v>
      </c>
      <c r="V216">
        <v>614</v>
      </c>
      <c r="W216" t="s">
        <v>2040</v>
      </c>
      <c r="X216" t="b">
        <v>0</v>
      </c>
      <c r="Y216" t="s">
        <v>1811</v>
      </c>
      <c r="Z216" s="6"/>
    </row>
    <row r="217" spans="1:26" ht="14.45" customHeight="1">
      <c r="A217">
        <v>143</v>
      </c>
      <c r="B217" t="s">
        <v>1962</v>
      </c>
      <c r="C217" t="s">
        <v>1963</v>
      </c>
      <c r="D217" t="s">
        <v>1946</v>
      </c>
      <c r="E217" s="7">
        <v>45575</v>
      </c>
      <c r="F217">
        <v>4</v>
      </c>
      <c r="G217">
        <f t="shared" si="3"/>
        <v>0.1016</v>
      </c>
      <c r="H217" t="s">
        <v>1814</v>
      </c>
      <c r="I217" t="s">
        <v>1964</v>
      </c>
      <c r="J217" t="s">
        <v>1965</v>
      </c>
      <c r="K217" t="s">
        <v>2377</v>
      </c>
      <c r="M217" t="b">
        <v>1</v>
      </c>
      <c r="N217" s="7">
        <v>45637</v>
      </c>
      <c r="O217" t="s">
        <v>1967</v>
      </c>
      <c r="P217">
        <v>35.31031316</v>
      </c>
      <c r="Q217">
        <v>-120.6632304</v>
      </c>
      <c r="R217" t="s">
        <v>1808</v>
      </c>
      <c r="S217">
        <v>19761</v>
      </c>
      <c r="T217" t="s">
        <v>1809</v>
      </c>
      <c r="U217" t="s">
        <v>2080</v>
      </c>
      <c r="V217">
        <v>624</v>
      </c>
      <c r="W217" t="s">
        <v>2040</v>
      </c>
      <c r="X217" t="b">
        <v>0</v>
      </c>
      <c r="Y217" t="s">
        <v>1968</v>
      </c>
      <c r="Z217" s="6"/>
    </row>
    <row r="218" spans="1:26" ht="14.45" customHeight="1">
      <c r="A218">
        <v>235</v>
      </c>
      <c r="B218" t="s">
        <v>2378</v>
      </c>
      <c r="C218" t="s">
        <v>2379</v>
      </c>
      <c r="D218" t="s">
        <v>2003</v>
      </c>
      <c r="E218" s="7">
        <v>45575</v>
      </c>
      <c r="F218">
        <v>2</v>
      </c>
      <c r="G218">
        <f t="shared" si="3"/>
        <v>5.0799999999999998E-2</v>
      </c>
      <c r="H218" t="s">
        <v>1838</v>
      </c>
      <c r="J218" t="s">
        <v>2380</v>
      </c>
      <c r="K218" t="s">
        <v>2381</v>
      </c>
      <c r="M218" t="b">
        <v>1</v>
      </c>
      <c r="N218" s="7">
        <v>45637</v>
      </c>
      <c r="O218" t="s">
        <v>2382</v>
      </c>
      <c r="P218">
        <v>35.310309189999998</v>
      </c>
      <c r="Q218">
        <v>-120.6631048</v>
      </c>
      <c r="R218" t="s">
        <v>1808</v>
      </c>
      <c r="S218">
        <v>19760</v>
      </c>
      <c r="T218" t="s">
        <v>1809</v>
      </c>
      <c r="U218" t="s">
        <v>2383</v>
      </c>
      <c r="V218">
        <v>623</v>
      </c>
      <c r="W218" t="s">
        <v>2040</v>
      </c>
      <c r="X218" t="b">
        <v>0</v>
      </c>
      <c r="Y218" t="s">
        <v>1968</v>
      </c>
      <c r="Z218" s="6"/>
    </row>
    <row r="219" spans="1:26" ht="14.45" customHeight="1">
      <c r="A219">
        <v>236</v>
      </c>
      <c r="B219" t="s">
        <v>2378</v>
      </c>
      <c r="C219" t="s">
        <v>2379</v>
      </c>
      <c r="D219" t="s">
        <v>1826</v>
      </c>
      <c r="E219" s="7">
        <v>45575</v>
      </c>
      <c r="F219">
        <v>2</v>
      </c>
      <c r="G219">
        <f t="shared" si="3"/>
        <v>5.0799999999999998E-2</v>
      </c>
      <c r="H219" t="s">
        <v>1838</v>
      </c>
      <c r="J219" t="s">
        <v>2380</v>
      </c>
      <c r="K219" t="s">
        <v>2384</v>
      </c>
      <c r="M219" t="b">
        <v>1</v>
      </c>
      <c r="N219" s="7">
        <v>45637</v>
      </c>
      <c r="O219" t="s">
        <v>2382</v>
      </c>
      <c r="P219">
        <v>35.310297390000002</v>
      </c>
      <c r="Q219">
        <v>-120.6630809</v>
      </c>
      <c r="R219" t="s">
        <v>1808</v>
      </c>
      <c r="S219">
        <v>19759</v>
      </c>
      <c r="T219" t="s">
        <v>1809</v>
      </c>
      <c r="U219" t="s">
        <v>2383</v>
      </c>
      <c r="V219">
        <v>622</v>
      </c>
      <c r="W219" t="s">
        <v>2040</v>
      </c>
      <c r="X219" t="b">
        <v>0</v>
      </c>
      <c r="Y219" t="s">
        <v>1968</v>
      </c>
      <c r="Z219" s="6"/>
    </row>
    <row r="220" spans="1:26" ht="14.45" customHeight="1">
      <c r="A220">
        <v>171</v>
      </c>
      <c r="B220" t="s">
        <v>1624</v>
      </c>
      <c r="C220" t="s">
        <v>2072</v>
      </c>
      <c r="D220" t="s">
        <v>2003</v>
      </c>
      <c r="E220" s="7">
        <v>45573</v>
      </c>
      <c r="F220">
        <v>1</v>
      </c>
      <c r="G220">
        <f t="shared" si="3"/>
        <v>2.5399999999999999E-2</v>
      </c>
      <c r="H220" t="s">
        <v>1838</v>
      </c>
      <c r="I220" t="s">
        <v>1982</v>
      </c>
      <c r="J220" t="s">
        <v>1983</v>
      </c>
      <c r="K220" t="s">
        <v>2385</v>
      </c>
      <c r="M220" t="b">
        <v>1</v>
      </c>
      <c r="N220" s="7">
        <v>45573</v>
      </c>
      <c r="O220" t="s">
        <v>2074</v>
      </c>
      <c r="P220">
        <v>35.310601200000001</v>
      </c>
      <c r="Q220">
        <v>-120.6634229</v>
      </c>
      <c r="R220" t="s">
        <v>1808</v>
      </c>
      <c r="S220">
        <v>19728</v>
      </c>
      <c r="T220" t="s">
        <v>1809</v>
      </c>
      <c r="U220" t="s">
        <v>2386</v>
      </c>
      <c r="V220">
        <v>596</v>
      </c>
      <c r="W220" t="s">
        <v>2387</v>
      </c>
      <c r="X220" t="b">
        <v>0</v>
      </c>
      <c r="Y220" t="s">
        <v>1811</v>
      </c>
      <c r="Z220" s="6"/>
    </row>
    <row r="221" spans="1:26" ht="14.45" customHeight="1">
      <c r="A221">
        <v>172</v>
      </c>
      <c r="B221" t="s">
        <v>1624</v>
      </c>
      <c r="C221" t="s">
        <v>2072</v>
      </c>
      <c r="D221" t="s">
        <v>1826</v>
      </c>
      <c r="E221" s="7">
        <v>45573</v>
      </c>
      <c r="F221">
        <v>1</v>
      </c>
      <c r="G221">
        <f t="shared" si="3"/>
        <v>2.5399999999999999E-2</v>
      </c>
      <c r="H221" t="s">
        <v>1838</v>
      </c>
      <c r="I221" t="s">
        <v>1982</v>
      </c>
      <c r="J221" t="s">
        <v>1983</v>
      </c>
      <c r="K221" t="s">
        <v>2388</v>
      </c>
      <c r="M221" t="b">
        <v>1</v>
      </c>
      <c r="N221" s="7">
        <v>45573</v>
      </c>
      <c r="O221" t="s">
        <v>2074</v>
      </c>
      <c r="P221">
        <v>35.310629650000003</v>
      </c>
      <c r="Q221">
        <v>-120.6634001</v>
      </c>
      <c r="R221" t="s">
        <v>1808</v>
      </c>
      <c r="S221">
        <v>19727</v>
      </c>
      <c r="T221" t="s">
        <v>1809</v>
      </c>
      <c r="U221" t="s">
        <v>2386</v>
      </c>
      <c r="V221">
        <v>595</v>
      </c>
      <c r="W221" t="s">
        <v>2387</v>
      </c>
      <c r="X221" t="b">
        <v>0</v>
      </c>
      <c r="Y221" t="s">
        <v>1811</v>
      </c>
      <c r="Z221" s="6"/>
    </row>
    <row r="222" spans="1:26" ht="14.45" customHeight="1">
      <c r="A222">
        <v>178</v>
      </c>
      <c r="B222" t="s">
        <v>1624</v>
      </c>
      <c r="C222" t="s">
        <v>2072</v>
      </c>
      <c r="D222" t="s">
        <v>1826</v>
      </c>
      <c r="E222" s="7">
        <v>45573</v>
      </c>
      <c r="F222">
        <v>3</v>
      </c>
      <c r="G222">
        <f t="shared" si="3"/>
        <v>7.619999999999999E-2</v>
      </c>
      <c r="H222" t="s">
        <v>1814</v>
      </c>
      <c r="I222" t="s">
        <v>1982</v>
      </c>
      <c r="J222" t="s">
        <v>1983</v>
      </c>
      <c r="K222" t="s">
        <v>2389</v>
      </c>
      <c r="M222" t="b">
        <v>1</v>
      </c>
      <c r="N222" s="7">
        <v>45573</v>
      </c>
      <c r="O222" t="s">
        <v>2074</v>
      </c>
      <c r="P222">
        <v>35.310635130000001</v>
      </c>
      <c r="Q222">
        <v>-120.6633894</v>
      </c>
      <c r="R222" t="s">
        <v>1808</v>
      </c>
      <c r="S222">
        <v>19724</v>
      </c>
      <c r="T222" t="s">
        <v>1809</v>
      </c>
      <c r="U222" t="s">
        <v>2386</v>
      </c>
      <c r="V222">
        <v>592</v>
      </c>
      <c r="W222" t="s">
        <v>2387</v>
      </c>
      <c r="X222" t="b">
        <v>0</v>
      </c>
      <c r="Y222" t="s">
        <v>1811</v>
      </c>
      <c r="Z222" s="6"/>
    </row>
    <row r="223" spans="1:26" ht="14.45" customHeight="1">
      <c r="A223">
        <v>509</v>
      </c>
      <c r="B223" t="s">
        <v>1886</v>
      </c>
      <c r="C223" t="s">
        <v>1887</v>
      </c>
      <c r="D223" t="s">
        <v>2003</v>
      </c>
      <c r="E223" s="7">
        <v>45573</v>
      </c>
      <c r="F223">
        <v>2</v>
      </c>
      <c r="G223">
        <f t="shared" si="3"/>
        <v>5.0799999999999998E-2</v>
      </c>
      <c r="H223" t="s">
        <v>1838</v>
      </c>
      <c r="I223" t="s">
        <v>1888</v>
      </c>
      <c r="J223" t="s">
        <v>1889</v>
      </c>
      <c r="K223" t="s">
        <v>2390</v>
      </c>
      <c r="M223" t="b">
        <v>1</v>
      </c>
      <c r="N223" s="7">
        <v>45573</v>
      </c>
      <c r="O223" t="s">
        <v>1891</v>
      </c>
      <c r="P223">
        <v>35.310554140000001</v>
      </c>
      <c r="Q223">
        <v>-120.6634631</v>
      </c>
      <c r="R223" t="s">
        <v>1808</v>
      </c>
      <c r="S223">
        <v>19735</v>
      </c>
      <c r="T223" t="s">
        <v>1809</v>
      </c>
      <c r="U223" t="s">
        <v>2368</v>
      </c>
      <c r="V223">
        <v>602</v>
      </c>
      <c r="W223" t="s">
        <v>2387</v>
      </c>
      <c r="X223" t="b">
        <v>0</v>
      </c>
      <c r="Y223" t="s">
        <v>1811</v>
      </c>
      <c r="Z223" s="6"/>
    </row>
    <row r="224" spans="1:26" ht="14.45" customHeight="1">
      <c r="A224">
        <v>510</v>
      </c>
      <c r="B224" t="s">
        <v>1886</v>
      </c>
      <c r="C224" t="s">
        <v>1887</v>
      </c>
      <c r="D224" t="s">
        <v>2014</v>
      </c>
      <c r="E224" s="7">
        <v>45573</v>
      </c>
      <c r="F224">
        <v>2</v>
      </c>
      <c r="G224">
        <f t="shared" si="3"/>
        <v>5.0799999999999998E-2</v>
      </c>
      <c r="H224" t="s">
        <v>1838</v>
      </c>
      <c r="I224" t="s">
        <v>1888</v>
      </c>
      <c r="J224" t="s">
        <v>1889</v>
      </c>
      <c r="K224" t="s">
        <v>2391</v>
      </c>
      <c r="M224" t="b">
        <v>1</v>
      </c>
      <c r="N224" s="7">
        <v>45575</v>
      </c>
      <c r="O224" t="s">
        <v>1891</v>
      </c>
      <c r="P224">
        <v>35.310549520000002</v>
      </c>
      <c r="Q224">
        <v>-120.66340080000001</v>
      </c>
      <c r="R224" t="s">
        <v>1808</v>
      </c>
      <c r="S224">
        <v>19734</v>
      </c>
      <c r="T224" t="s">
        <v>2392</v>
      </c>
      <c r="U224" t="s">
        <v>2368</v>
      </c>
      <c r="V224">
        <v>601</v>
      </c>
      <c r="W224" t="s">
        <v>2387</v>
      </c>
      <c r="X224" t="b">
        <v>0</v>
      </c>
      <c r="Y224" t="s">
        <v>1811</v>
      </c>
      <c r="Z224" s="6"/>
    </row>
    <row r="225" spans="1:26" ht="14.45" customHeight="1">
      <c r="A225">
        <v>511</v>
      </c>
      <c r="B225" t="s">
        <v>1886</v>
      </c>
      <c r="C225" t="s">
        <v>1887</v>
      </c>
      <c r="D225" t="s">
        <v>2003</v>
      </c>
      <c r="E225" s="7">
        <v>45573</v>
      </c>
      <c r="F225">
        <v>3</v>
      </c>
      <c r="G225">
        <f t="shared" si="3"/>
        <v>7.619999999999999E-2</v>
      </c>
      <c r="H225" t="s">
        <v>1814</v>
      </c>
      <c r="I225" t="s">
        <v>1888</v>
      </c>
      <c r="J225" t="s">
        <v>1889</v>
      </c>
      <c r="K225" t="s">
        <v>2393</v>
      </c>
      <c r="M225" t="b">
        <v>1</v>
      </c>
      <c r="N225" s="7">
        <v>45573</v>
      </c>
      <c r="O225" t="s">
        <v>1891</v>
      </c>
      <c r="P225">
        <v>35.310562900000001</v>
      </c>
      <c r="Q225">
        <v>-120.6634457</v>
      </c>
      <c r="R225" t="s">
        <v>1808</v>
      </c>
      <c r="S225">
        <v>19733</v>
      </c>
      <c r="T225" t="s">
        <v>1809</v>
      </c>
      <c r="U225" t="s">
        <v>2368</v>
      </c>
      <c r="V225">
        <v>600</v>
      </c>
      <c r="W225" t="s">
        <v>2387</v>
      </c>
      <c r="X225" t="b">
        <v>0</v>
      </c>
      <c r="Y225" t="s">
        <v>1811</v>
      </c>
      <c r="Z225" s="6"/>
    </row>
    <row r="226" spans="1:26" ht="14.45" customHeight="1">
      <c r="A226">
        <v>512</v>
      </c>
      <c r="B226" t="s">
        <v>1886</v>
      </c>
      <c r="C226" t="s">
        <v>1887</v>
      </c>
      <c r="D226" t="s">
        <v>2003</v>
      </c>
      <c r="E226" s="7">
        <v>45573</v>
      </c>
      <c r="F226">
        <v>3</v>
      </c>
      <c r="G226">
        <f t="shared" si="3"/>
        <v>7.619999999999999E-2</v>
      </c>
      <c r="H226" t="s">
        <v>1814</v>
      </c>
      <c r="I226" t="s">
        <v>1888</v>
      </c>
      <c r="J226" t="s">
        <v>1889</v>
      </c>
      <c r="K226" t="s">
        <v>2394</v>
      </c>
      <c r="M226" t="b">
        <v>1</v>
      </c>
      <c r="N226" s="7">
        <v>45575</v>
      </c>
      <c r="O226" t="s">
        <v>1891</v>
      </c>
      <c r="P226">
        <v>35.310537490000002</v>
      </c>
      <c r="Q226">
        <v>-120.6634236</v>
      </c>
      <c r="R226" t="s">
        <v>1808</v>
      </c>
      <c r="S226">
        <v>19732</v>
      </c>
      <c r="T226" t="s">
        <v>1809</v>
      </c>
      <c r="U226" t="s">
        <v>2368</v>
      </c>
      <c r="V226">
        <v>599</v>
      </c>
      <c r="W226" t="s">
        <v>2387</v>
      </c>
      <c r="X226" t="b">
        <v>0</v>
      </c>
      <c r="Y226" t="s">
        <v>1811</v>
      </c>
      <c r="Z226" s="667"/>
    </row>
    <row r="227" spans="1:26" ht="14.45" customHeight="1">
      <c r="A227">
        <v>513</v>
      </c>
      <c r="B227" t="s">
        <v>1886</v>
      </c>
      <c r="C227" t="s">
        <v>1887</v>
      </c>
      <c r="D227" t="s">
        <v>2003</v>
      </c>
      <c r="E227" s="7">
        <v>45573</v>
      </c>
      <c r="F227">
        <v>5</v>
      </c>
      <c r="G227">
        <f t="shared" si="3"/>
        <v>0.127</v>
      </c>
      <c r="H227" t="s">
        <v>1814</v>
      </c>
      <c r="I227" t="s">
        <v>1888</v>
      </c>
      <c r="J227" t="s">
        <v>1889</v>
      </c>
      <c r="K227" t="s">
        <v>2395</v>
      </c>
      <c r="M227" t="b">
        <v>1</v>
      </c>
      <c r="N227" s="7">
        <v>45573</v>
      </c>
      <c r="O227" t="s">
        <v>1891</v>
      </c>
      <c r="P227">
        <v>35.310570560000002</v>
      </c>
      <c r="Q227">
        <v>-120.66347380000001</v>
      </c>
      <c r="R227" t="s">
        <v>1808</v>
      </c>
      <c r="S227">
        <v>19736</v>
      </c>
      <c r="T227" t="s">
        <v>1809</v>
      </c>
      <c r="U227" t="s">
        <v>2368</v>
      </c>
      <c r="V227">
        <v>603</v>
      </c>
      <c r="W227" t="s">
        <v>2387</v>
      </c>
      <c r="X227" t="b">
        <v>0</v>
      </c>
      <c r="Y227" t="s">
        <v>1811</v>
      </c>
      <c r="Z227" s="667"/>
    </row>
    <row r="228" spans="1:26" ht="14.45" customHeight="1">
      <c r="A228">
        <v>514</v>
      </c>
      <c r="B228" t="s">
        <v>1886</v>
      </c>
      <c r="C228" t="s">
        <v>1887</v>
      </c>
      <c r="D228" t="s">
        <v>1946</v>
      </c>
      <c r="E228" s="7">
        <v>45573</v>
      </c>
      <c r="F228">
        <v>5</v>
      </c>
      <c r="G228">
        <f t="shared" si="3"/>
        <v>0.127</v>
      </c>
      <c r="H228" t="s">
        <v>1814</v>
      </c>
      <c r="I228" t="s">
        <v>1888</v>
      </c>
      <c r="J228" t="s">
        <v>1889</v>
      </c>
      <c r="K228" t="s">
        <v>2396</v>
      </c>
      <c r="M228" t="b">
        <v>1</v>
      </c>
      <c r="N228" s="7">
        <v>45573</v>
      </c>
      <c r="O228" t="s">
        <v>1891</v>
      </c>
      <c r="P228">
        <v>35.310570560000002</v>
      </c>
      <c r="Q228">
        <v>-120.66342419999999</v>
      </c>
      <c r="R228" t="s">
        <v>1808</v>
      </c>
      <c r="S228">
        <v>19729</v>
      </c>
      <c r="T228" t="s">
        <v>1809</v>
      </c>
      <c r="U228" t="s">
        <v>2368</v>
      </c>
      <c r="V228">
        <v>597</v>
      </c>
      <c r="W228" t="s">
        <v>2387</v>
      </c>
      <c r="X228" t="b">
        <v>0</v>
      </c>
      <c r="Y228" t="s">
        <v>1811</v>
      </c>
      <c r="Z228" s="667"/>
    </row>
    <row r="229" spans="1:26" ht="14.45" customHeight="1">
      <c r="A229">
        <v>29</v>
      </c>
      <c r="B229" t="s">
        <v>2397</v>
      </c>
      <c r="C229" t="s">
        <v>2212</v>
      </c>
      <c r="D229" t="s">
        <v>1946</v>
      </c>
      <c r="E229" s="7">
        <v>45573</v>
      </c>
      <c r="F229">
        <v>29</v>
      </c>
      <c r="G229">
        <f t="shared" si="3"/>
        <v>0.73659999999999992</v>
      </c>
      <c r="H229" t="s">
        <v>1866</v>
      </c>
      <c r="J229" t="s">
        <v>2212</v>
      </c>
      <c r="K229" t="s">
        <v>2398</v>
      </c>
      <c r="M229" t="b">
        <v>1</v>
      </c>
      <c r="N229" s="7">
        <v>45923</v>
      </c>
      <c r="O229" t="s">
        <v>2399</v>
      </c>
      <c r="P229">
        <v>35.310489799999999</v>
      </c>
      <c r="Q229">
        <v>-120.6633033</v>
      </c>
      <c r="R229" t="s">
        <v>1808</v>
      </c>
      <c r="S229">
        <v>19712</v>
      </c>
      <c r="T229" t="s">
        <v>1809</v>
      </c>
      <c r="U229" t="s">
        <v>2400</v>
      </c>
      <c r="V229">
        <v>581</v>
      </c>
      <c r="W229" t="s">
        <v>2387</v>
      </c>
      <c r="X229" t="b">
        <v>0</v>
      </c>
      <c r="Y229" t="s">
        <v>1811</v>
      </c>
      <c r="Z229" s="667"/>
    </row>
    <row r="230" spans="1:26" ht="14.45" customHeight="1">
      <c r="A230">
        <v>33</v>
      </c>
      <c r="B230" t="s">
        <v>1894</v>
      </c>
      <c r="C230" t="s">
        <v>1895</v>
      </c>
      <c r="D230" t="s">
        <v>2003</v>
      </c>
      <c r="E230" s="7">
        <v>45573</v>
      </c>
      <c r="F230">
        <v>3</v>
      </c>
      <c r="G230">
        <f t="shared" si="3"/>
        <v>7.619999999999999E-2</v>
      </c>
      <c r="H230" t="s">
        <v>1814</v>
      </c>
      <c r="J230" t="s">
        <v>1896</v>
      </c>
      <c r="K230" t="s">
        <v>2401</v>
      </c>
      <c r="M230" t="b">
        <v>0</v>
      </c>
      <c r="N230" s="7">
        <v>45923</v>
      </c>
      <c r="O230" t="s">
        <v>1898</v>
      </c>
      <c r="P230">
        <v>35.310660179999999</v>
      </c>
      <c r="Q230">
        <v>-120.6634396</v>
      </c>
      <c r="R230" t="s">
        <v>1808</v>
      </c>
      <c r="S230">
        <v>19723</v>
      </c>
      <c r="T230" t="s">
        <v>1809</v>
      </c>
      <c r="U230" t="s">
        <v>2402</v>
      </c>
      <c r="V230">
        <v>591</v>
      </c>
      <c r="W230" t="s">
        <v>2387</v>
      </c>
      <c r="X230" t="b">
        <v>0</v>
      </c>
      <c r="Y230" t="s">
        <v>1811</v>
      </c>
      <c r="Z230" s="6"/>
    </row>
    <row r="231" spans="1:26" ht="14.45" customHeight="1">
      <c r="A231">
        <v>34</v>
      </c>
      <c r="B231" t="s">
        <v>1894</v>
      </c>
      <c r="C231" t="s">
        <v>1895</v>
      </c>
      <c r="D231" t="s">
        <v>2003</v>
      </c>
      <c r="E231" s="7">
        <v>45573</v>
      </c>
      <c r="F231">
        <v>4</v>
      </c>
      <c r="G231">
        <f t="shared" si="3"/>
        <v>0.1016</v>
      </c>
      <c r="H231" t="s">
        <v>1814</v>
      </c>
      <c r="J231" t="s">
        <v>1896</v>
      </c>
      <c r="K231" t="s">
        <v>2403</v>
      </c>
      <c r="M231" t="b">
        <v>0</v>
      </c>
      <c r="N231" s="7">
        <v>45573</v>
      </c>
      <c r="O231" t="s">
        <v>1898</v>
      </c>
      <c r="P231">
        <v>35.310665419999999</v>
      </c>
      <c r="Q231">
        <v>-120.6634093</v>
      </c>
      <c r="R231" t="s">
        <v>1808</v>
      </c>
      <c r="S231">
        <v>19720</v>
      </c>
      <c r="T231" t="s">
        <v>1809</v>
      </c>
      <c r="U231" t="s">
        <v>2402</v>
      </c>
      <c r="V231">
        <v>588</v>
      </c>
      <c r="W231" t="s">
        <v>2387</v>
      </c>
      <c r="X231" t="b">
        <v>0</v>
      </c>
      <c r="Y231" t="s">
        <v>1811</v>
      </c>
      <c r="Z231" s="6"/>
    </row>
    <row r="232" spans="1:26" ht="14.45" customHeight="1">
      <c r="A232">
        <v>35</v>
      </c>
      <c r="B232" t="s">
        <v>1894</v>
      </c>
      <c r="C232" t="s">
        <v>1895</v>
      </c>
      <c r="D232" t="s">
        <v>2003</v>
      </c>
      <c r="E232" s="7">
        <v>45573</v>
      </c>
      <c r="F232">
        <v>5</v>
      </c>
      <c r="G232">
        <f t="shared" si="3"/>
        <v>0.127</v>
      </c>
      <c r="H232" t="s">
        <v>1814</v>
      </c>
      <c r="J232" t="s">
        <v>1896</v>
      </c>
      <c r="K232" t="s">
        <v>2404</v>
      </c>
      <c r="M232" t="b">
        <v>0</v>
      </c>
      <c r="N232" s="7">
        <v>45573</v>
      </c>
      <c r="O232" t="s">
        <v>1898</v>
      </c>
      <c r="P232">
        <v>35.310657759999998</v>
      </c>
      <c r="Q232">
        <v>-120.6634214</v>
      </c>
      <c r="R232" t="s">
        <v>1808</v>
      </c>
      <c r="S232">
        <v>19721</v>
      </c>
      <c r="T232" t="s">
        <v>1809</v>
      </c>
      <c r="U232" t="s">
        <v>2402</v>
      </c>
      <c r="V232">
        <v>589</v>
      </c>
      <c r="W232" t="s">
        <v>2387</v>
      </c>
      <c r="X232" t="b">
        <v>0</v>
      </c>
      <c r="Y232" t="s">
        <v>1811</v>
      </c>
      <c r="Z232" s="6"/>
    </row>
    <row r="233" spans="1:26" ht="14.45" customHeight="1">
      <c r="A233">
        <v>36</v>
      </c>
      <c r="B233" t="s">
        <v>1894</v>
      </c>
      <c r="C233" t="s">
        <v>1895</v>
      </c>
      <c r="D233" t="s">
        <v>2003</v>
      </c>
      <c r="E233" s="7">
        <v>45573</v>
      </c>
      <c r="F233">
        <v>5</v>
      </c>
      <c r="G233">
        <f t="shared" si="3"/>
        <v>0.127</v>
      </c>
      <c r="H233" t="s">
        <v>1814</v>
      </c>
      <c r="J233" t="s">
        <v>1896</v>
      </c>
      <c r="K233" t="s">
        <v>2405</v>
      </c>
      <c r="M233" t="b">
        <v>0</v>
      </c>
      <c r="N233" s="7">
        <v>45573</v>
      </c>
      <c r="O233" t="s">
        <v>1898</v>
      </c>
      <c r="P233">
        <v>35.310674169999999</v>
      </c>
      <c r="Q233">
        <v>-120.6633945</v>
      </c>
      <c r="R233" t="s">
        <v>1808</v>
      </c>
      <c r="S233">
        <v>19719</v>
      </c>
      <c r="T233" t="s">
        <v>1809</v>
      </c>
      <c r="U233" t="s">
        <v>2402</v>
      </c>
      <c r="V233">
        <v>587</v>
      </c>
      <c r="W233" t="s">
        <v>2387</v>
      </c>
      <c r="X233" t="b">
        <v>0</v>
      </c>
      <c r="Y233" t="s">
        <v>1811</v>
      </c>
      <c r="Z233" s="6"/>
    </row>
    <row r="234" spans="1:26" ht="14.45" customHeight="1">
      <c r="A234">
        <v>37</v>
      </c>
      <c r="B234" t="s">
        <v>1894</v>
      </c>
      <c r="C234" t="s">
        <v>1895</v>
      </c>
      <c r="D234" t="s">
        <v>2003</v>
      </c>
      <c r="E234" s="7">
        <v>45573</v>
      </c>
      <c r="F234">
        <v>5</v>
      </c>
      <c r="G234">
        <f t="shared" si="3"/>
        <v>0.127</v>
      </c>
      <c r="H234" t="s">
        <v>1814</v>
      </c>
      <c r="J234" t="s">
        <v>1896</v>
      </c>
      <c r="K234" t="s">
        <v>2406</v>
      </c>
      <c r="M234" t="b">
        <v>0</v>
      </c>
      <c r="N234" s="7">
        <v>45573</v>
      </c>
      <c r="O234" t="s">
        <v>1898</v>
      </c>
      <c r="P234">
        <v>35.310682929999999</v>
      </c>
      <c r="Q234">
        <v>-120.66338380000001</v>
      </c>
      <c r="R234" t="s">
        <v>1808</v>
      </c>
      <c r="S234">
        <v>19716</v>
      </c>
      <c r="T234" t="s">
        <v>1809</v>
      </c>
      <c r="U234" t="s">
        <v>2402</v>
      </c>
      <c r="V234">
        <v>585</v>
      </c>
      <c r="W234" t="s">
        <v>2387</v>
      </c>
      <c r="X234" t="b">
        <v>0</v>
      </c>
      <c r="Y234" t="s">
        <v>1811</v>
      </c>
      <c r="Z234" s="6"/>
    </row>
    <row r="235" spans="1:26" ht="14.45" customHeight="1">
      <c r="A235">
        <v>38</v>
      </c>
      <c r="B235" t="s">
        <v>1894</v>
      </c>
      <c r="C235" t="s">
        <v>1895</v>
      </c>
      <c r="D235" t="s">
        <v>2003</v>
      </c>
      <c r="E235" s="7">
        <v>45573</v>
      </c>
      <c r="F235">
        <v>6</v>
      </c>
      <c r="G235">
        <f t="shared" si="3"/>
        <v>0.15239999999999998</v>
      </c>
      <c r="H235" t="s">
        <v>1804</v>
      </c>
      <c r="J235" t="s">
        <v>1896</v>
      </c>
      <c r="K235" t="s">
        <v>2407</v>
      </c>
      <c r="M235" t="b">
        <v>0</v>
      </c>
      <c r="N235" s="7">
        <v>45573</v>
      </c>
      <c r="O235" t="s">
        <v>1898</v>
      </c>
      <c r="P235">
        <v>35.310705910000003</v>
      </c>
      <c r="Q235">
        <v>-120.663365</v>
      </c>
      <c r="R235" t="s">
        <v>1808</v>
      </c>
      <c r="S235">
        <v>19717</v>
      </c>
      <c r="T235" t="s">
        <v>1809</v>
      </c>
      <c r="U235" t="s">
        <v>2402</v>
      </c>
      <c r="V235">
        <v>586</v>
      </c>
      <c r="W235" t="s">
        <v>2387</v>
      </c>
      <c r="X235" t="b">
        <v>0</v>
      </c>
      <c r="Y235" t="s">
        <v>1811</v>
      </c>
      <c r="Z235" s="6"/>
    </row>
    <row r="236" spans="1:26" ht="14.45" customHeight="1">
      <c r="A236">
        <v>39</v>
      </c>
      <c r="B236" t="s">
        <v>1894</v>
      </c>
      <c r="C236" t="s">
        <v>1895</v>
      </c>
      <c r="D236" t="s">
        <v>2003</v>
      </c>
      <c r="E236" s="7">
        <v>45573</v>
      </c>
      <c r="F236">
        <v>7</v>
      </c>
      <c r="G236">
        <f t="shared" si="3"/>
        <v>0.17779999999999999</v>
      </c>
      <c r="H236" t="s">
        <v>1804</v>
      </c>
      <c r="J236" t="s">
        <v>1896</v>
      </c>
      <c r="K236" t="s">
        <v>2408</v>
      </c>
      <c r="M236" t="b">
        <v>0</v>
      </c>
      <c r="N236" s="7">
        <v>45923</v>
      </c>
      <c r="O236" t="s">
        <v>1898</v>
      </c>
      <c r="P236">
        <v>35.310646050000003</v>
      </c>
      <c r="Q236">
        <v>-120.66345269999999</v>
      </c>
      <c r="R236" t="s">
        <v>1808</v>
      </c>
      <c r="S236">
        <v>19722</v>
      </c>
      <c r="T236" t="s">
        <v>1809</v>
      </c>
      <c r="U236" t="s">
        <v>2402</v>
      </c>
      <c r="V236">
        <v>590</v>
      </c>
      <c r="W236" t="s">
        <v>2387</v>
      </c>
      <c r="X236" t="b">
        <v>0</v>
      </c>
      <c r="Y236" t="s">
        <v>1811</v>
      </c>
      <c r="Z236" s="6"/>
    </row>
    <row r="237" spans="1:26" ht="14.45" customHeight="1">
      <c r="A237">
        <v>169</v>
      </c>
      <c r="B237" t="s">
        <v>1969</v>
      </c>
      <c r="C237" t="s">
        <v>1970</v>
      </c>
      <c r="D237" t="s">
        <v>2003</v>
      </c>
      <c r="E237" s="7">
        <v>45573</v>
      </c>
      <c r="F237">
        <v>46</v>
      </c>
      <c r="G237">
        <f t="shared" si="3"/>
        <v>1.1683999999999999</v>
      </c>
      <c r="H237" t="s">
        <v>1881</v>
      </c>
      <c r="I237" t="s">
        <v>1971</v>
      </c>
      <c r="J237" t="s">
        <v>1972</v>
      </c>
      <c r="K237" t="s">
        <v>2409</v>
      </c>
      <c r="M237" t="b">
        <v>1</v>
      </c>
      <c r="N237" s="7">
        <v>45608</v>
      </c>
      <c r="O237" t="s">
        <v>1187</v>
      </c>
      <c r="P237">
        <v>35.310401589999998</v>
      </c>
      <c r="Q237">
        <v>-120.66322719999999</v>
      </c>
      <c r="R237" t="s">
        <v>1808</v>
      </c>
      <c r="S237">
        <v>19711</v>
      </c>
      <c r="T237" t="s">
        <v>1809</v>
      </c>
      <c r="U237" t="s">
        <v>2289</v>
      </c>
      <c r="V237">
        <v>580</v>
      </c>
      <c r="W237" t="s">
        <v>2387</v>
      </c>
      <c r="X237" t="b">
        <v>0</v>
      </c>
      <c r="Y237" t="s">
        <v>1968</v>
      </c>
      <c r="Z237" s="6"/>
    </row>
    <row r="238" spans="1:26" ht="14.45" customHeight="1">
      <c r="A238">
        <v>453</v>
      </c>
      <c r="B238" t="s">
        <v>2410</v>
      </c>
      <c r="C238" t="s">
        <v>2411</v>
      </c>
      <c r="D238" t="s">
        <v>1826</v>
      </c>
      <c r="E238" s="7">
        <v>45573</v>
      </c>
      <c r="F238">
        <v>3</v>
      </c>
      <c r="G238">
        <f t="shared" si="3"/>
        <v>7.619999999999999E-2</v>
      </c>
      <c r="H238" t="s">
        <v>1814</v>
      </c>
      <c r="I238" t="s">
        <v>1971</v>
      </c>
      <c r="J238" t="s">
        <v>2412</v>
      </c>
      <c r="K238" t="s">
        <v>2413</v>
      </c>
      <c r="M238" t="b">
        <v>1</v>
      </c>
      <c r="N238" s="7">
        <v>45637</v>
      </c>
      <c r="O238" t="s">
        <v>2414</v>
      </c>
      <c r="P238">
        <v>35.310172059999999</v>
      </c>
      <c r="Q238">
        <v>-120.66305560000001</v>
      </c>
      <c r="R238" t="s">
        <v>1808</v>
      </c>
      <c r="S238">
        <v>19695</v>
      </c>
      <c r="T238" t="s">
        <v>1809</v>
      </c>
      <c r="U238" t="s">
        <v>2415</v>
      </c>
      <c r="V238">
        <v>564</v>
      </c>
      <c r="W238" t="s">
        <v>2040</v>
      </c>
      <c r="X238" t="b">
        <v>0</v>
      </c>
      <c r="Y238" t="s">
        <v>1968</v>
      </c>
      <c r="Z238" s="6"/>
    </row>
    <row r="239" spans="1:26" ht="14.45" customHeight="1">
      <c r="A239">
        <v>454</v>
      </c>
      <c r="B239" t="s">
        <v>2410</v>
      </c>
      <c r="C239" t="s">
        <v>2411</v>
      </c>
      <c r="D239" t="s">
        <v>1826</v>
      </c>
      <c r="E239" s="7">
        <v>45573</v>
      </c>
      <c r="F239">
        <v>4</v>
      </c>
      <c r="G239">
        <f t="shared" si="3"/>
        <v>0.1016</v>
      </c>
      <c r="H239" t="s">
        <v>1814</v>
      </c>
      <c r="I239" t="s">
        <v>1971</v>
      </c>
      <c r="J239" t="s">
        <v>2412</v>
      </c>
      <c r="K239" t="s">
        <v>2416</v>
      </c>
      <c r="M239" t="b">
        <v>1</v>
      </c>
      <c r="N239" s="7">
        <v>45637</v>
      </c>
      <c r="O239" t="s">
        <v>2414</v>
      </c>
      <c r="P239">
        <v>35.310187380000002</v>
      </c>
      <c r="Q239">
        <v>-120.6630449</v>
      </c>
      <c r="R239" t="s">
        <v>1808</v>
      </c>
      <c r="S239">
        <v>19694</v>
      </c>
      <c r="T239" t="s">
        <v>1809</v>
      </c>
      <c r="U239" t="s">
        <v>2415</v>
      </c>
      <c r="V239">
        <v>563</v>
      </c>
      <c r="W239" t="s">
        <v>2040</v>
      </c>
      <c r="X239" t="b">
        <v>0</v>
      </c>
      <c r="Y239" t="s">
        <v>1968</v>
      </c>
      <c r="Z239" s="6"/>
    </row>
    <row r="240" spans="1:26" ht="14.45" customHeight="1">
      <c r="A240">
        <v>13</v>
      </c>
      <c r="B240" t="s">
        <v>2355</v>
      </c>
      <c r="C240" t="s">
        <v>2356</v>
      </c>
      <c r="D240" t="s">
        <v>2003</v>
      </c>
      <c r="E240" s="7">
        <v>45573</v>
      </c>
      <c r="F240">
        <v>3</v>
      </c>
      <c r="G240">
        <f t="shared" si="3"/>
        <v>7.619999999999999E-2</v>
      </c>
      <c r="H240" t="s">
        <v>1814</v>
      </c>
      <c r="I240" t="s">
        <v>1882</v>
      </c>
      <c r="J240" t="s">
        <v>1883</v>
      </c>
      <c r="K240" t="s">
        <v>2417</v>
      </c>
      <c r="M240" t="b">
        <v>1</v>
      </c>
      <c r="N240" s="7">
        <v>45637</v>
      </c>
      <c r="O240" t="s">
        <v>1639</v>
      </c>
      <c r="P240">
        <v>35.310315189999997</v>
      </c>
      <c r="Q240">
        <v>-120.6633855</v>
      </c>
      <c r="R240" t="s">
        <v>1808</v>
      </c>
      <c r="S240">
        <v>19713</v>
      </c>
      <c r="T240" t="s">
        <v>1809</v>
      </c>
      <c r="U240" t="s">
        <v>2418</v>
      </c>
      <c r="V240">
        <v>582</v>
      </c>
      <c r="W240" t="s">
        <v>2419</v>
      </c>
      <c r="X240" t="b">
        <v>0</v>
      </c>
      <c r="Y240" t="s">
        <v>1968</v>
      </c>
      <c r="Z240" s="6"/>
    </row>
    <row r="241" spans="1:26" ht="14.45" customHeight="1">
      <c r="A241">
        <v>240</v>
      </c>
      <c r="B241" t="s">
        <v>1879</v>
      </c>
      <c r="C241" t="s">
        <v>1880</v>
      </c>
      <c r="D241" t="s">
        <v>1826</v>
      </c>
      <c r="E241" s="7">
        <v>45573</v>
      </c>
      <c r="F241">
        <v>12</v>
      </c>
      <c r="G241">
        <f t="shared" si="3"/>
        <v>0.30479999999999996</v>
      </c>
      <c r="H241" t="s">
        <v>1855</v>
      </c>
      <c r="I241" t="s">
        <v>1882</v>
      </c>
      <c r="J241" t="s">
        <v>1883</v>
      </c>
      <c r="K241" t="s">
        <v>2420</v>
      </c>
      <c r="M241" t="b">
        <v>1</v>
      </c>
      <c r="N241" s="7">
        <v>45608</v>
      </c>
      <c r="O241" t="s">
        <v>1399</v>
      </c>
      <c r="P241">
        <v>35.310247529999998</v>
      </c>
      <c r="Q241">
        <v>-120.66329690000001</v>
      </c>
      <c r="R241" t="s">
        <v>1808</v>
      </c>
      <c r="S241">
        <v>19725</v>
      </c>
      <c r="T241" t="s">
        <v>1809</v>
      </c>
      <c r="U241" t="s">
        <v>2421</v>
      </c>
      <c r="V241">
        <v>593</v>
      </c>
      <c r="W241" t="s">
        <v>2419</v>
      </c>
      <c r="X241" t="b">
        <v>0</v>
      </c>
      <c r="Y241" t="s">
        <v>1968</v>
      </c>
      <c r="Z241" s="6"/>
    </row>
    <row r="242" spans="1:26" ht="14.45" customHeight="1">
      <c r="A242">
        <v>284</v>
      </c>
      <c r="B242" t="s">
        <v>2422</v>
      </c>
      <c r="C242" t="s">
        <v>2423</v>
      </c>
      <c r="D242" t="s">
        <v>2003</v>
      </c>
      <c r="E242" s="7">
        <v>45573</v>
      </c>
      <c r="F242">
        <v>4</v>
      </c>
      <c r="G242">
        <f t="shared" si="3"/>
        <v>0.1016</v>
      </c>
      <c r="H242" t="s">
        <v>1814</v>
      </c>
      <c r="J242" t="s">
        <v>2424</v>
      </c>
      <c r="K242" t="s">
        <v>2425</v>
      </c>
      <c r="M242" t="b">
        <v>1</v>
      </c>
      <c r="N242" s="7">
        <v>45573</v>
      </c>
      <c r="O242" t="s">
        <v>2426</v>
      </c>
      <c r="P242">
        <v>35.310412030000002</v>
      </c>
      <c r="Q242">
        <v>-120.6632839</v>
      </c>
      <c r="R242" t="s">
        <v>1808</v>
      </c>
      <c r="S242">
        <v>19691</v>
      </c>
      <c r="T242" t="s">
        <v>1809</v>
      </c>
      <c r="U242" t="s">
        <v>2427</v>
      </c>
      <c r="V242">
        <v>560</v>
      </c>
      <c r="W242" t="s">
        <v>2428</v>
      </c>
      <c r="X242" t="b">
        <v>0</v>
      </c>
      <c r="Y242" t="s">
        <v>1968</v>
      </c>
      <c r="Z242" s="6"/>
    </row>
    <row r="243" spans="1:26" ht="14.45" customHeight="1">
      <c r="A243">
        <v>285</v>
      </c>
      <c r="B243" t="s">
        <v>2422</v>
      </c>
      <c r="C243" t="s">
        <v>2423</v>
      </c>
      <c r="D243" t="s">
        <v>2003</v>
      </c>
      <c r="E243" s="7">
        <v>45573</v>
      </c>
      <c r="F243">
        <v>5</v>
      </c>
      <c r="G243">
        <f t="shared" si="3"/>
        <v>0.127</v>
      </c>
      <c r="H243" t="s">
        <v>1814</v>
      </c>
      <c r="J243" t="s">
        <v>2424</v>
      </c>
      <c r="K243" t="s">
        <v>2429</v>
      </c>
      <c r="M243" t="b">
        <v>1</v>
      </c>
      <c r="N243" s="7">
        <v>45573</v>
      </c>
      <c r="O243" t="s">
        <v>2426</v>
      </c>
      <c r="P243">
        <v>35.310357420000003</v>
      </c>
      <c r="Q243">
        <v>-120.6633654</v>
      </c>
      <c r="R243" t="s">
        <v>1808</v>
      </c>
      <c r="S243">
        <v>19693</v>
      </c>
      <c r="T243" t="s">
        <v>1809</v>
      </c>
      <c r="U243" t="s">
        <v>2427</v>
      </c>
      <c r="V243">
        <v>562</v>
      </c>
      <c r="W243" t="s">
        <v>2428</v>
      </c>
      <c r="X243" t="b">
        <v>0</v>
      </c>
      <c r="Y243" t="s">
        <v>1968</v>
      </c>
      <c r="Z243" s="6"/>
    </row>
    <row r="244" spans="1:26" ht="14.45" customHeight="1">
      <c r="A244">
        <v>286</v>
      </c>
      <c r="B244" t="s">
        <v>2422</v>
      </c>
      <c r="C244" t="s">
        <v>2423</v>
      </c>
      <c r="D244" t="s">
        <v>2003</v>
      </c>
      <c r="E244" s="7">
        <v>45573</v>
      </c>
      <c r="F244">
        <v>6</v>
      </c>
      <c r="G244">
        <f t="shared" si="3"/>
        <v>0.15239999999999998</v>
      </c>
      <c r="H244" t="s">
        <v>1804</v>
      </c>
      <c r="J244" t="s">
        <v>2424</v>
      </c>
      <c r="K244" t="s">
        <v>2430</v>
      </c>
      <c r="M244" t="b">
        <v>1</v>
      </c>
      <c r="N244" s="7">
        <v>45573</v>
      </c>
      <c r="O244" t="s">
        <v>2426</v>
      </c>
      <c r="P244">
        <v>35.310366500000001</v>
      </c>
      <c r="Q244">
        <v>-120.66335580000001</v>
      </c>
      <c r="R244" t="s">
        <v>1808</v>
      </c>
      <c r="S244">
        <v>19680</v>
      </c>
      <c r="T244" t="s">
        <v>1809</v>
      </c>
      <c r="U244" t="s">
        <v>2427</v>
      </c>
      <c r="V244">
        <v>549</v>
      </c>
      <c r="W244" t="s">
        <v>2428</v>
      </c>
      <c r="X244" t="b">
        <v>0</v>
      </c>
      <c r="Y244" t="s">
        <v>1968</v>
      </c>
      <c r="Z244" s="6"/>
    </row>
    <row r="245" spans="1:26" ht="14.45" customHeight="1">
      <c r="A245">
        <v>287</v>
      </c>
      <c r="B245" t="s">
        <v>2422</v>
      </c>
      <c r="C245" t="s">
        <v>2423</v>
      </c>
      <c r="D245" t="s">
        <v>2003</v>
      </c>
      <c r="E245" s="7">
        <v>45573</v>
      </c>
      <c r="F245">
        <v>7</v>
      </c>
      <c r="G245">
        <f t="shared" si="3"/>
        <v>0.17779999999999999</v>
      </c>
      <c r="H245" t="s">
        <v>1804</v>
      </c>
      <c r="J245" t="s">
        <v>2424</v>
      </c>
      <c r="K245" t="s">
        <v>2431</v>
      </c>
      <c r="M245" t="b">
        <v>1</v>
      </c>
      <c r="N245" s="7">
        <v>45573</v>
      </c>
      <c r="O245" t="s">
        <v>2426</v>
      </c>
      <c r="P245">
        <v>35.310400430000001</v>
      </c>
      <c r="Q245">
        <v>-120.6633053</v>
      </c>
      <c r="R245" t="s">
        <v>1808</v>
      </c>
      <c r="S245">
        <v>19688</v>
      </c>
      <c r="T245" t="s">
        <v>1809</v>
      </c>
      <c r="U245" t="s">
        <v>2427</v>
      </c>
      <c r="V245">
        <v>557</v>
      </c>
      <c r="W245" t="s">
        <v>2428</v>
      </c>
      <c r="X245" t="b">
        <v>0</v>
      </c>
      <c r="Y245" t="s">
        <v>1968</v>
      </c>
      <c r="Z245" s="6"/>
    </row>
    <row r="246" spans="1:26" ht="14.45" customHeight="1">
      <c r="A246">
        <v>288</v>
      </c>
      <c r="B246" t="s">
        <v>2422</v>
      </c>
      <c r="C246" t="s">
        <v>2423</v>
      </c>
      <c r="D246" t="s">
        <v>2003</v>
      </c>
      <c r="E246" s="7">
        <v>45573</v>
      </c>
      <c r="F246">
        <v>8</v>
      </c>
      <c r="G246">
        <f t="shared" si="3"/>
        <v>0.20319999999999999</v>
      </c>
      <c r="H246" t="s">
        <v>1804</v>
      </c>
      <c r="J246" t="s">
        <v>2424</v>
      </c>
      <c r="K246" t="s">
        <v>2432</v>
      </c>
      <c r="M246" t="b">
        <v>1</v>
      </c>
      <c r="N246" s="7">
        <v>45573</v>
      </c>
      <c r="O246" t="s">
        <v>2426</v>
      </c>
      <c r="P246">
        <v>35.310407099999999</v>
      </c>
      <c r="Q246">
        <v>-120.66329349999999</v>
      </c>
      <c r="R246" t="s">
        <v>1808</v>
      </c>
      <c r="S246">
        <v>19689</v>
      </c>
      <c r="T246" t="s">
        <v>1809</v>
      </c>
      <c r="U246" t="s">
        <v>2427</v>
      </c>
      <c r="V246">
        <v>558</v>
      </c>
      <c r="W246" t="s">
        <v>2428</v>
      </c>
      <c r="X246" t="b">
        <v>0</v>
      </c>
      <c r="Y246" t="s">
        <v>1968</v>
      </c>
      <c r="Z246" s="6"/>
    </row>
    <row r="247" spans="1:26" ht="14.45" customHeight="1">
      <c r="A247">
        <v>289</v>
      </c>
      <c r="B247" t="s">
        <v>2422</v>
      </c>
      <c r="C247" t="s">
        <v>2423</v>
      </c>
      <c r="D247" t="s">
        <v>2003</v>
      </c>
      <c r="E247" s="7">
        <v>45573</v>
      </c>
      <c r="F247">
        <v>9</v>
      </c>
      <c r="G247">
        <f t="shared" si="3"/>
        <v>0.2286</v>
      </c>
      <c r="H247" t="s">
        <v>1804</v>
      </c>
      <c r="J247" t="s">
        <v>2424</v>
      </c>
      <c r="K247" t="s">
        <v>2433</v>
      </c>
      <c r="M247" t="b">
        <v>1</v>
      </c>
      <c r="N247" s="7">
        <v>45573</v>
      </c>
      <c r="O247" t="s">
        <v>2426</v>
      </c>
      <c r="P247">
        <v>35.310392</v>
      </c>
      <c r="Q247">
        <v>-120.6633193</v>
      </c>
      <c r="R247" t="s">
        <v>1808</v>
      </c>
      <c r="S247">
        <v>19687</v>
      </c>
      <c r="T247" t="s">
        <v>1809</v>
      </c>
      <c r="U247" t="s">
        <v>2427</v>
      </c>
      <c r="V247">
        <v>556</v>
      </c>
      <c r="W247" t="s">
        <v>2428</v>
      </c>
      <c r="X247" t="b">
        <v>0</v>
      </c>
      <c r="Y247" t="s">
        <v>1968</v>
      </c>
      <c r="Z247" s="6"/>
    </row>
    <row r="248" spans="1:26" ht="14.45" customHeight="1">
      <c r="A248">
        <v>290</v>
      </c>
      <c r="B248" t="s">
        <v>2422</v>
      </c>
      <c r="C248" t="s">
        <v>2423</v>
      </c>
      <c r="D248" t="s">
        <v>2003</v>
      </c>
      <c r="E248" s="7">
        <v>45573</v>
      </c>
      <c r="F248">
        <v>11</v>
      </c>
      <c r="G248">
        <f t="shared" si="3"/>
        <v>0.27939999999999998</v>
      </c>
      <c r="H248" t="s">
        <v>1804</v>
      </c>
      <c r="J248" t="s">
        <v>2424</v>
      </c>
      <c r="K248" t="s">
        <v>2434</v>
      </c>
      <c r="M248" t="b">
        <v>1</v>
      </c>
      <c r="N248" s="7">
        <v>45573</v>
      </c>
      <c r="O248" t="s">
        <v>2426</v>
      </c>
      <c r="P248">
        <v>35.310375149999999</v>
      </c>
      <c r="Q248">
        <v>-120.6633429</v>
      </c>
      <c r="R248" t="s">
        <v>1808</v>
      </c>
      <c r="S248">
        <v>19683</v>
      </c>
      <c r="T248" t="s">
        <v>1809</v>
      </c>
      <c r="U248" t="s">
        <v>2427</v>
      </c>
      <c r="V248">
        <v>552</v>
      </c>
      <c r="W248" t="s">
        <v>2428</v>
      </c>
      <c r="X248" t="b">
        <v>0</v>
      </c>
      <c r="Y248" t="s">
        <v>1968</v>
      </c>
      <c r="Z248" s="667"/>
    </row>
    <row r="249" spans="1:26" ht="14.45" customHeight="1">
      <c r="A249">
        <v>291</v>
      </c>
      <c r="B249" t="s">
        <v>2422</v>
      </c>
      <c r="C249" t="s">
        <v>2423</v>
      </c>
      <c r="D249" t="s">
        <v>2003</v>
      </c>
      <c r="E249" s="7">
        <v>45573</v>
      </c>
      <c r="F249">
        <v>12</v>
      </c>
      <c r="G249">
        <f t="shared" si="3"/>
        <v>0.30479999999999996</v>
      </c>
      <c r="H249" t="s">
        <v>1855</v>
      </c>
      <c r="J249" t="s">
        <v>2424</v>
      </c>
      <c r="K249" t="s">
        <v>2435</v>
      </c>
      <c r="M249" t="b">
        <v>1</v>
      </c>
      <c r="N249" s="7">
        <v>45573</v>
      </c>
      <c r="O249" t="s">
        <v>2426</v>
      </c>
      <c r="P249">
        <v>35.3104175</v>
      </c>
      <c r="Q249">
        <v>-120.66327099999999</v>
      </c>
      <c r="R249" t="s">
        <v>1808</v>
      </c>
      <c r="S249">
        <v>19681</v>
      </c>
      <c r="T249" t="s">
        <v>1809</v>
      </c>
      <c r="U249" t="s">
        <v>2427</v>
      </c>
      <c r="V249">
        <v>550</v>
      </c>
      <c r="W249" t="s">
        <v>2428</v>
      </c>
      <c r="X249" t="b">
        <v>0</v>
      </c>
      <c r="Y249" t="s">
        <v>1968</v>
      </c>
      <c r="Z249" s="667"/>
    </row>
    <row r="250" spans="1:26" ht="14.45" customHeight="1">
      <c r="A250">
        <v>292</v>
      </c>
      <c r="B250" t="s">
        <v>2422</v>
      </c>
      <c r="C250" t="s">
        <v>2423</v>
      </c>
      <c r="D250" t="s">
        <v>2003</v>
      </c>
      <c r="E250" s="7">
        <v>45573</v>
      </c>
      <c r="F250"/>
      <c r="G250">
        <f t="shared" si="3"/>
        <v>0</v>
      </c>
      <c r="J250" t="s">
        <v>2424</v>
      </c>
      <c r="K250" t="s">
        <v>2436</v>
      </c>
      <c r="M250" t="b">
        <v>0</v>
      </c>
      <c r="N250" s="7">
        <v>45573</v>
      </c>
      <c r="O250" t="s">
        <v>2426</v>
      </c>
      <c r="P250">
        <v>35.31038358</v>
      </c>
      <c r="Q250">
        <v>-120.66333109999999</v>
      </c>
      <c r="R250" t="s">
        <v>1808</v>
      </c>
      <c r="S250">
        <v>19685</v>
      </c>
      <c r="T250" t="s">
        <v>1809</v>
      </c>
      <c r="U250" t="s">
        <v>2427</v>
      </c>
      <c r="V250">
        <v>554</v>
      </c>
      <c r="W250" t="s">
        <v>2428</v>
      </c>
      <c r="X250" t="b">
        <v>0</v>
      </c>
      <c r="Y250" t="s">
        <v>1968</v>
      </c>
      <c r="Z250" s="6"/>
    </row>
    <row r="251" spans="1:26" ht="14.45" customHeight="1">
      <c r="A251">
        <v>278</v>
      </c>
      <c r="B251" t="s">
        <v>2087</v>
      </c>
      <c r="C251" t="s">
        <v>2088</v>
      </c>
      <c r="D251" t="s">
        <v>1826</v>
      </c>
      <c r="E251" s="7">
        <v>45573</v>
      </c>
      <c r="F251">
        <v>9</v>
      </c>
      <c r="G251">
        <f t="shared" si="3"/>
        <v>0.2286</v>
      </c>
      <c r="H251" t="s">
        <v>1804</v>
      </c>
      <c r="I251" t="s">
        <v>2089</v>
      </c>
      <c r="J251" t="s">
        <v>2090</v>
      </c>
      <c r="K251" t="s">
        <v>2437</v>
      </c>
      <c r="M251" t="b">
        <v>1</v>
      </c>
      <c r="N251" s="7">
        <v>45923</v>
      </c>
      <c r="O251" t="s">
        <v>2092</v>
      </c>
      <c r="P251">
        <v>35.309895609999998</v>
      </c>
      <c r="Q251">
        <v>-120.6630179</v>
      </c>
      <c r="R251" t="s">
        <v>1808</v>
      </c>
      <c r="S251">
        <v>19676</v>
      </c>
      <c r="T251" t="s">
        <v>1809</v>
      </c>
      <c r="U251" t="s">
        <v>2132</v>
      </c>
      <c r="V251">
        <v>545</v>
      </c>
      <c r="W251" t="s">
        <v>2040</v>
      </c>
      <c r="X251" t="b">
        <v>0</v>
      </c>
      <c r="Y251" t="s">
        <v>2008</v>
      </c>
      <c r="Z251" s="6"/>
    </row>
    <row r="252" spans="1:26" ht="14.45" customHeight="1">
      <c r="A252">
        <v>280</v>
      </c>
      <c r="B252" t="s">
        <v>2087</v>
      </c>
      <c r="C252" t="s">
        <v>2088</v>
      </c>
      <c r="D252" t="s">
        <v>2003</v>
      </c>
      <c r="E252" s="7">
        <v>45573</v>
      </c>
      <c r="F252">
        <v>20</v>
      </c>
      <c r="G252">
        <f t="shared" si="3"/>
        <v>0.50800000000000001</v>
      </c>
      <c r="H252" t="s">
        <v>1842</v>
      </c>
      <c r="I252" t="s">
        <v>2089</v>
      </c>
      <c r="J252" t="s">
        <v>2090</v>
      </c>
      <c r="K252" t="s">
        <v>2438</v>
      </c>
      <c r="M252" t="b">
        <v>1</v>
      </c>
      <c r="N252" s="7">
        <v>45923</v>
      </c>
      <c r="O252" t="s">
        <v>2092</v>
      </c>
      <c r="P252">
        <v>35.309903689999999</v>
      </c>
      <c r="Q252">
        <v>-120.6630354</v>
      </c>
      <c r="R252" t="s">
        <v>1808</v>
      </c>
      <c r="S252">
        <v>19675</v>
      </c>
      <c r="T252" t="s">
        <v>1809</v>
      </c>
      <c r="U252" t="s">
        <v>2132</v>
      </c>
      <c r="V252">
        <v>544</v>
      </c>
      <c r="W252" t="s">
        <v>2040</v>
      </c>
      <c r="X252" t="b">
        <v>0</v>
      </c>
      <c r="Y252" t="s">
        <v>2008</v>
      </c>
      <c r="Z252" s="6"/>
    </row>
    <row r="253" spans="1:26" ht="14.45" customHeight="1">
      <c r="A253">
        <v>331</v>
      </c>
      <c r="B253" t="s">
        <v>2439</v>
      </c>
      <c r="C253" t="s">
        <v>2440</v>
      </c>
      <c r="D253" t="s">
        <v>2003</v>
      </c>
      <c r="E253" s="7">
        <v>45573</v>
      </c>
      <c r="F253">
        <v>2</v>
      </c>
      <c r="G253">
        <f t="shared" si="3"/>
        <v>5.0799999999999998E-2</v>
      </c>
      <c r="H253" t="s">
        <v>1838</v>
      </c>
      <c r="I253" t="s">
        <v>1971</v>
      </c>
      <c r="J253" t="s">
        <v>2380</v>
      </c>
      <c r="K253" t="s">
        <v>2441</v>
      </c>
      <c r="M253" t="b">
        <v>1</v>
      </c>
      <c r="N253" s="7">
        <v>45637</v>
      </c>
      <c r="O253" t="s">
        <v>2442</v>
      </c>
      <c r="P253">
        <v>35.310211649999999</v>
      </c>
      <c r="Q253">
        <v>-120.66313649999999</v>
      </c>
      <c r="R253" t="s">
        <v>1808</v>
      </c>
      <c r="S253">
        <v>19699</v>
      </c>
      <c r="T253" t="s">
        <v>1809</v>
      </c>
      <c r="U253" t="s">
        <v>2443</v>
      </c>
      <c r="V253">
        <v>568</v>
      </c>
      <c r="W253" t="s">
        <v>2040</v>
      </c>
      <c r="X253" t="b">
        <v>0</v>
      </c>
      <c r="Y253" t="s">
        <v>2008</v>
      </c>
      <c r="Z253" s="6"/>
    </row>
    <row r="254" spans="1:26" ht="14.45" customHeight="1">
      <c r="A254">
        <v>333</v>
      </c>
      <c r="B254" t="s">
        <v>2439</v>
      </c>
      <c r="C254" t="s">
        <v>2440</v>
      </c>
      <c r="D254" t="s">
        <v>2003</v>
      </c>
      <c r="E254" s="7">
        <v>45573</v>
      </c>
      <c r="F254">
        <v>3</v>
      </c>
      <c r="G254">
        <f t="shared" si="3"/>
        <v>7.619999999999999E-2</v>
      </c>
      <c r="H254" t="s">
        <v>1814</v>
      </c>
      <c r="I254" t="s">
        <v>1971</v>
      </c>
      <c r="J254" t="s">
        <v>2380</v>
      </c>
      <c r="K254" t="s">
        <v>2444</v>
      </c>
      <c r="M254" t="b">
        <v>1</v>
      </c>
      <c r="N254" s="7">
        <v>45637</v>
      </c>
      <c r="O254" t="s">
        <v>2442</v>
      </c>
      <c r="P254">
        <v>35.31023158</v>
      </c>
      <c r="Q254">
        <v>-120.6631716</v>
      </c>
      <c r="R254" t="s">
        <v>1808</v>
      </c>
      <c r="S254">
        <v>19701</v>
      </c>
      <c r="T254" t="s">
        <v>1809</v>
      </c>
      <c r="U254" t="s">
        <v>2443</v>
      </c>
      <c r="V254">
        <v>570</v>
      </c>
      <c r="W254" t="s">
        <v>2040</v>
      </c>
      <c r="X254" t="b">
        <v>0</v>
      </c>
      <c r="Y254" t="s">
        <v>2008</v>
      </c>
      <c r="Z254" s="6"/>
    </row>
    <row r="255" spans="1:26" ht="14.45" customHeight="1">
      <c r="A255">
        <v>343</v>
      </c>
      <c r="B255" t="s">
        <v>1987</v>
      </c>
      <c r="C255" t="s">
        <v>1988</v>
      </c>
      <c r="D255" t="s">
        <v>2003</v>
      </c>
      <c r="E255" s="7">
        <v>45573</v>
      </c>
      <c r="F255">
        <v>2</v>
      </c>
      <c r="G255">
        <f t="shared" si="3"/>
        <v>5.0799999999999998E-2</v>
      </c>
      <c r="H255" t="s">
        <v>1838</v>
      </c>
      <c r="I255" t="s">
        <v>1990</v>
      </c>
      <c r="J255" t="s">
        <v>1991</v>
      </c>
      <c r="K255" t="s">
        <v>2445</v>
      </c>
      <c r="M255" t="b">
        <v>1</v>
      </c>
      <c r="N255" s="7">
        <v>45608</v>
      </c>
      <c r="O255" t="s">
        <v>1993</v>
      </c>
      <c r="P255">
        <v>35.30989228</v>
      </c>
      <c r="Q255">
        <v>-120.6630919</v>
      </c>
      <c r="R255" t="s">
        <v>1808</v>
      </c>
      <c r="S255">
        <v>19677</v>
      </c>
      <c r="T255" t="s">
        <v>1809</v>
      </c>
      <c r="V255">
        <v>546</v>
      </c>
      <c r="W255" t="s">
        <v>2040</v>
      </c>
      <c r="X255" t="b">
        <v>0</v>
      </c>
      <c r="Y255" t="s">
        <v>2008</v>
      </c>
      <c r="Z255" s="667"/>
    </row>
    <row r="256" spans="1:26" ht="14.45" customHeight="1">
      <c r="A256">
        <v>346</v>
      </c>
      <c r="B256" t="s">
        <v>1987</v>
      </c>
      <c r="C256" t="s">
        <v>1988</v>
      </c>
      <c r="D256" t="s">
        <v>1989</v>
      </c>
      <c r="E256" s="7">
        <v>45573</v>
      </c>
      <c r="F256">
        <v>4</v>
      </c>
      <c r="G256">
        <f t="shared" si="3"/>
        <v>0.1016</v>
      </c>
      <c r="H256" t="s">
        <v>1814</v>
      </c>
      <c r="I256" t="s">
        <v>1990</v>
      </c>
      <c r="J256" t="s">
        <v>1991</v>
      </c>
      <c r="K256" t="s">
        <v>2446</v>
      </c>
      <c r="M256" t="b">
        <v>1</v>
      </c>
      <c r="N256" s="7">
        <v>45923</v>
      </c>
      <c r="O256" t="s">
        <v>1993</v>
      </c>
      <c r="P256">
        <v>35.309868520000002</v>
      </c>
      <c r="Q256">
        <v>-120.6631146</v>
      </c>
      <c r="R256" t="s">
        <v>1808</v>
      </c>
      <c r="S256">
        <v>19678</v>
      </c>
      <c r="T256" t="s">
        <v>1809</v>
      </c>
      <c r="V256">
        <v>547</v>
      </c>
      <c r="W256" t="s">
        <v>2040</v>
      </c>
      <c r="X256" t="b">
        <v>0</v>
      </c>
      <c r="Y256" t="s">
        <v>2008</v>
      </c>
      <c r="Z256" s="667"/>
    </row>
    <row r="257" spans="1:26" ht="14.45" customHeight="1">
      <c r="A257">
        <v>348</v>
      </c>
      <c r="B257" t="s">
        <v>1987</v>
      </c>
      <c r="C257" t="s">
        <v>1988</v>
      </c>
      <c r="D257" t="s">
        <v>2014</v>
      </c>
      <c r="E257" s="7">
        <v>45573</v>
      </c>
      <c r="F257"/>
      <c r="G257">
        <f t="shared" si="3"/>
        <v>0</v>
      </c>
      <c r="I257" t="s">
        <v>1990</v>
      </c>
      <c r="J257" t="s">
        <v>1991</v>
      </c>
      <c r="K257" t="s">
        <v>2447</v>
      </c>
      <c r="M257" t="b">
        <v>0</v>
      </c>
      <c r="N257" s="7">
        <v>45573</v>
      </c>
      <c r="O257" t="s">
        <v>1993</v>
      </c>
      <c r="P257">
        <v>35.309872319999997</v>
      </c>
      <c r="Q257">
        <v>-120.6632828</v>
      </c>
      <c r="R257" t="s">
        <v>1808</v>
      </c>
      <c r="S257">
        <v>19679</v>
      </c>
      <c r="T257" t="s">
        <v>1809</v>
      </c>
      <c r="V257">
        <v>548</v>
      </c>
      <c r="W257" t="s">
        <v>2040</v>
      </c>
      <c r="X257" t="b">
        <v>0</v>
      </c>
      <c r="Y257" t="s">
        <v>2008</v>
      </c>
      <c r="Z257" s="667"/>
    </row>
    <row r="258" spans="1:26" ht="14.45" customHeight="1">
      <c r="A258">
        <v>350</v>
      </c>
      <c r="B258" t="s">
        <v>2448</v>
      </c>
      <c r="C258" t="s">
        <v>2449</v>
      </c>
      <c r="D258" t="s">
        <v>2003</v>
      </c>
      <c r="E258" s="7">
        <v>45573</v>
      </c>
      <c r="F258"/>
      <c r="G258">
        <f t="shared" si="3"/>
        <v>0</v>
      </c>
      <c r="J258" t="s">
        <v>1997</v>
      </c>
      <c r="K258" t="s">
        <v>2450</v>
      </c>
      <c r="M258" t="b">
        <v>0</v>
      </c>
      <c r="N258" s="7">
        <v>45608</v>
      </c>
      <c r="O258" t="s">
        <v>2451</v>
      </c>
      <c r="P258">
        <v>35.310202310000001</v>
      </c>
      <c r="Q258">
        <v>-120.6631895</v>
      </c>
      <c r="R258" t="s">
        <v>1808</v>
      </c>
      <c r="S258">
        <v>19708</v>
      </c>
      <c r="T258" t="s">
        <v>1809</v>
      </c>
      <c r="U258" t="s">
        <v>2452</v>
      </c>
      <c r="V258">
        <v>577</v>
      </c>
      <c r="W258" t="s">
        <v>2040</v>
      </c>
      <c r="X258" t="b">
        <v>0</v>
      </c>
      <c r="Y258" t="s">
        <v>2008</v>
      </c>
      <c r="Z258" s="6"/>
    </row>
    <row r="259" spans="1:26" ht="14.45" customHeight="1">
      <c r="A259">
        <v>351</v>
      </c>
      <c r="B259" t="s">
        <v>2448</v>
      </c>
      <c r="C259" t="s">
        <v>2449</v>
      </c>
      <c r="D259" t="s">
        <v>2003</v>
      </c>
      <c r="E259" s="7">
        <v>45573</v>
      </c>
      <c r="F259"/>
      <c r="G259">
        <f t="shared" ref="G259:G322" si="4">F259*0.0254</f>
        <v>0</v>
      </c>
      <c r="J259" t="s">
        <v>1997</v>
      </c>
      <c r="K259" t="s">
        <v>2453</v>
      </c>
      <c r="M259" t="b">
        <v>0</v>
      </c>
      <c r="N259" s="7">
        <v>45573</v>
      </c>
      <c r="O259" t="s">
        <v>2451</v>
      </c>
      <c r="P259">
        <v>35.310199060000002</v>
      </c>
      <c r="Q259">
        <v>-120.6632462</v>
      </c>
      <c r="R259" t="s">
        <v>1808</v>
      </c>
      <c r="S259">
        <v>19705</v>
      </c>
      <c r="T259" t="s">
        <v>1809</v>
      </c>
      <c r="V259">
        <v>574</v>
      </c>
      <c r="W259" t="s">
        <v>2040</v>
      </c>
      <c r="X259" t="b">
        <v>0</v>
      </c>
      <c r="Y259" t="s">
        <v>2008</v>
      </c>
      <c r="Z259" s="6"/>
    </row>
    <row r="260" spans="1:26" ht="14.45" customHeight="1">
      <c r="A260">
        <v>352</v>
      </c>
      <c r="B260" t="s">
        <v>2448</v>
      </c>
      <c r="C260" t="s">
        <v>2449</v>
      </c>
      <c r="D260" t="s">
        <v>2003</v>
      </c>
      <c r="E260" s="7">
        <v>45573</v>
      </c>
      <c r="F260"/>
      <c r="G260">
        <f t="shared" si="4"/>
        <v>0</v>
      </c>
      <c r="J260" t="s">
        <v>1997</v>
      </c>
      <c r="K260" t="s">
        <v>2454</v>
      </c>
      <c r="M260" t="b">
        <v>0</v>
      </c>
      <c r="N260" s="7">
        <v>45573</v>
      </c>
      <c r="O260" t="s">
        <v>2451</v>
      </c>
      <c r="P260">
        <v>35.31015309</v>
      </c>
      <c r="Q260">
        <v>-120.6632884</v>
      </c>
      <c r="R260" t="s">
        <v>1808</v>
      </c>
      <c r="S260">
        <v>19704</v>
      </c>
      <c r="T260" t="s">
        <v>1809</v>
      </c>
      <c r="U260" t="s">
        <v>2455</v>
      </c>
      <c r="V260">
        <v>573</v>
      </c>
      <c r="W260" t="s">
        <v>2040</v>
      </c>
      <c r="X260" t="b">
        <v>0</v>
      </c>
      <c r="Y260" t="s">
        <v>2008</v>
      </c>
      <c r="Z260" s="6"/>
    </row>
    <row r="261" spans="1:26" ht="14.45" customHeight="1">
      <c r="A261">
        <v>353</v>
      </c>
      <c r="B261" t="s">
        <v>2448</v>
      </c>
      <c r="C261" t="s">
        <v>2449</v>
      </c>
      <c r="D261" t="s">
        <v>1826</v>
      </c>
      <c r="E261" s="7">
        <v>45573</v>
      </c>
      <c r="F261"/>
      <c r="G261">
        <f t="shared" si="4"/>
        <v>0</v>
      </c>
      <c r="J261" t="s">
        <v>1997</v>
      </c>
      <c r="K261" t="s">
        <v>2456</v>
      </c>
      <c r="M261" t="b">
        <v>0</v>
      </c>
      <c r="N261" s="7">
        <v>45608</v>
      </c>
      <c r="O261" t="s">
        <v>2451</v>
      </c>
      <c r="P261">
        <v>35.31018985</v>
      </c>
      <c r="Q261">
        <v>-120.66316550000001</v>
      </c>
      <c r="R261" t="s">
        <v>1808</v>
      </c>
      <c r="S261">
        <v>19703</v>
      </c>
      <c r="T261" t="s">
        <v>1809</v>
      </c>
      <c r="U261" t="s">
        <v>2452</v>
      </c>
      <c r="V261">
        <v>572</v>
      </c>
      <c r="W261" t="s">
        <v>2040</v>
      </c>
      <c r="X261" t="b">
        <v>0</v>
      </c>
      <c r="Y261" t="s">
        <v>2008</v>
      </c>
      <c r="Z261" s="667"/>
    </row>
    <row r="262" spans="1:26" ht="14.45" customHeight="1">
      <c r="A262">
        <v>354</v>
      </c>
      <c r="B262" t="s">
        <v>2448</v>
      </c>
      <c r="C262" t="s">
        <v>2449</v>
      </c>
      <c r="D262" t="s">
        <v>2003</v>
      </c>
      <c r="E262" s="7">
        <v>45573</v>
      </c>
      <c r="F262"/>
      <c r="G262">
        <f t="shared" si="4"/>
        <v>0</v>
      </c>
      <c r="J262" t="s">
        <v>1997</v>
      </c>
      <c r="K262" t="s">
        <v>2457</v>
      </c>
      <c r="M262" t="b">
        <v>0</v>
      </c>
      <c r="N262" s="7">
        <v>45608</v>
      </c>
      <c r="O262" t="s">
        <v>2451</v>
      </c>
      <c r="P262">
        <v>35.310115740000001</v>
      </c>
      <c r="Q262">
        <v>-120.6632479</v>
      </c>
      <c r="R262" t="s">
        <v>1808</v>
      </c>
      <c r="S262">
        <v>19692</v>
      </c>
      <c r="T262" t="s">
        <v>1809</v>
      </c>
      <c r="U262" t="s">
        <v>2458</v>
      </c>
      <c r="V262">
        <v>561</v>
      </c>
      <c r="W262" t="s">
        <v>2040</v>
      </c>
      <c r="X262" t="b">
        <v>0</v>
      </c>
      <c r="Y262" t="s">
        <v>2008</v>
      </c>
      <c r="Z262" s="667"/>
    </row>
    <row r="263" spans="1:26" ht="14.45" customHeight="1">
      <c r="A263">
        <v>355</v>
      </c>
      <c r="B263" t="s">
        <v>2448</v>
      </c>
      <c r="C263" t="s">
        <v>2449</v>
      </c>
      <c r="D263" t="s">
        <v>2003</v>
      </c>
      <c r="E263" s="7">
        <v>45573</v>
      </c>
      <c r="F263"/>
      <c r="G263">
        <f t="shared" si="4"/>
        <v>0</v>
      </c>
      <c r="J263" t="s">
        <v>1997</v>
      </c>
      <c r="K263" t="s">
        <v>2459</v>
      </c>
      <c r="M263" t="b">
        <v>0</v>
      </c>
      <c r="N263" s="7">
        <v>45608</v>
      </c>
      <c r="O263" t="s">
        <v>2451</v>
      </c>
      <c r="P263">
        <v>35.310097679999998</v>
      </c>
      <c r="Q263">
        <v>-120.66324830000001</v>
      </c>
      <c r="R263" t="s">
        <v>1808</v>
      </c>
      <c r="S263">
        <v>19690</v>
      </c>
      <c r="T263" t="s">
        <v>1809</v>
      </c>
      <c r="U263" t="s">
        <v>2460</v>
      </c>
      <c r="V263">
        <v>559</v>
      </c>
      <c r="W263" t="s">
        <v>2040</v>
      </c>
      <c r="X263" t="b">
        <v>0</v>
      </c>
      <c r="Y263" t="s">
        <v>2008</v>
      </c>
      <c r="Z263" s="667"/>
    </row>
    <row r="264" spans="1:26" ht="14.45" customHeight="1">
      <c r="A264">
        <v>356</v>
      </c>
      <c r="B264" t="s">
        <v>2448</v>
      </c>
      <c r="C264" t="s">
        <v>2449</v>
      </c>
      <c r="D264" t="s">
        <v>2003</v>
      </c>
      <c r="E264" s="7">
        <v>45573</v>
      </c>
      <c r="F264"/>
      <c r="G264">
        <f t="shared" si="4"/>
        <v>0</v>
      </c>
      <c r="J264" t="s">
        <v>1997</v>
      </c>
      <c r="K264" t="s">
        <v>2461</v>
      </c>
      <c r="M264" t="b">
        <v>0</v>
      </c>
      <c r="N264" s="7">
        <v>45608</v>
      </c>
      <c r="O264" t="s">
        <v>2451</v>
      </c>
      <c r="P264">
        <v>35.310107649999999</v>
      </c>
      <c r="Q264">
        <v>-120.663225</v>
      </c>
      <c r="R264" t="s">
        <v>1808</v>
      </c>
      <c r="S264">
        <v>19686</v>
      </c>
      <c r="T264" t="s">
        <v>1809</v>
      </c>
      <c r="U264" t="s">
        <v>2462</v>
      </c>
      <c r="V264">
        <v>555</v>
      </c>
      <c r="W264" t="s">
        <v>2040</v>
      </c>
      <c r="X264" t="b">
        <v>0</v>
      </c>
      <c r="Y264" t="s">
        <v>2008</v>
      </c>
      <c r="Z264" s="6"/>
    </row>
    <row r="265" spans="1:26" ht="14.45" customHeight="1">
      <c r="A265">
        <v>357</v>
      </c>
      <c r="B265" t="s">
        <v>2463</v>
      </c>
      <c r="C265" t="s">
        <v>2464</v>
      </c>
      <c r="D265" t="s">
        <v>1989</v>
      </c>
      <c r="E265" s="7">
        <v>45573</v>
      </c>
      <c r="F265">
        <v>2</v>
      </c>
      <c r="G265">
        <f t="shared" si="4"/>
        <v>5.0799999999999998E-2</v>
      </c>
      <c r="H265" t="s">
        <v>1838</v>
      </c>
      <c r="J265" t="s">
        <v>1991</v>
      </c>
      <c r="K265" t="s">
        <v>2465</v>
      </c>
      <c r="M265" t="b">
        <v>1</v>
      </c>
      <c r="N265" s="7">
        <v>45923</v>
      </c>
      <c r="O265" t="s">
        <v>2466</v>
      </c>
      <c r="P265">
        <v>35.309881830000002</v>
      </c>
      <c r="Q265">
        <v>-120.66302140000001</v>
      </c>
      <c r="R265" t="s">
        <v>1808</v>
      </c>
      <c r="S265">
        <v>19709</v>
      </c>
      <c r="T265" t="s">
        <v>1809</v>
      </c>
      <c r="U265" t="s">
        <v>2467</v>
      </c>
      <c r="V265">
        <v>578</v>
      </c>
      <c r="W265" t="s">
        <v>2387</v>
      </c>
      <c r="X265" t="b">
        <v>0</v>
      </c>
      <c r="Y265" t="s">
        <v>2008</v>
      </c>
      <c r="Z265" s="667"/>
    </row>
    <row r="266" spans="1:26" ht="14.45" customHeight="1">
      <c r="A266">
        <v>584</v>
      </c>
      <c r="D266" t="s">
        <v>2003</v>
      </c>
      <c r="E266" s="7">
        <v>45573</v>
      </c>
      <c r="F266"/>
      <c r="G266">
        <f t="shared" si="4"/>
        <v>0</v>
      </c>
      <c r="K266" t="s">
        <v>2468</v>
      </c>
      <c r="M266" t="b">
        <v>0</v>
      </c>
      <c r="N266" s="7">
        <v>45573</v>
      </c>
      <c r="P266">
        <v>35.31011917</v>
      </c>
      <c r="Q266">
        <v>-120.6632757</v>
      </c>
      <c r="R266" t="s">
        <v>1808</v>
      </c>
      <c r="S266">
        <v>19707</v>
      </c>
      <c r="T266" t="s">
        <v>1809</v>
      </c>
      <c r="V266">
        <v>576</v>
      </c>
      <c r="W266" t="s">
        <v>2040</v>
      </c>
      <c r="X266" t="b">
        <v>0</v>
      </c>
      <c r="Y266" t="s">
        <v>2008</v>
      </c>
      <c r="Z266" s="667"/>
    </row>
    <row r="267" spans="1:26" ht="14.45" customHeight="1">
      <c r="A267">
        <v>585</v>
      </c>
      <c r="D267" t="s">
        <v>1989</v>
      </c>
      <c r="E267" s="7">
        <v>45573</v>
      </c>
      <c r="F267"/>
      <c r="G267">
        <f t="shared" si="4"/>
        <v>0</v>
      </c>
      <c r="K267" t="s">
        <v>2469</v>
      </c>
      <c r="M267" t="b">
        <v>0</v>
      </c>
      <c r="N267" s="7">
        <v>45608</v>
      </c>
      <c r="P267">
        <v>35.310180819999999</v>
      </c>
      <c r="Q267">
        <v>-120.6632704</v>
      </c>
      <c r="R267" t="s">
        <v>1808</v>
      </c>
      <c r="S267">
        <v>19706</v>
      </c>
      <c r="T267" t="s">
        <v>1809</v>
      </c>
      <c r="V267">
        <v>575</v>
      </c>
      <c r="W267" t="s">
        <v>2040</v>
      </c>
      <c r="X267" t="b">
        <v>0</v>
      </c>
      <c r="Y267" t="s">
        <v>2008</v>
      </c>
      <c r="Z267" s="667"/>
    </row>
    <row r="268" spans="1:26" ht="14.45" customHeight="1">
      <c r="A268">
        <v>586</v>
      </c>
      <c r="D268" t="s">
        <v>2003</v>
      </c>
      <c r="E268" s="7">
        <v>45573</v>
      </c>
      <c r="F268"/>
      <c r="G268">
        <f t="shared" si="4"/>
        <v>0</v>
      </c>
      <c r="K268" t="s">
        <v>2470</v>
      </c>
      <c r="M268" t="b">
        <v>0</v>
      </c>
      <c r="N268" s="7">
        <v>45608</v>
      </c>
      <c r="P268">
        <v>35.310218810000002</v>
      </c>
      <c r="Q268">
        <v>-120.66320210000001</v>
      </c>
      <c r="R268" t="s">
        <v>1808</v>
      </c>
      <c r="S268">
        <v>19702</v>
      </c>
      <c r="T268" t="s">
        <v>1809</v>
      </c>
      <c r="V268">
        <v>571</v>
      </c>
      <c r="W268" t="s">
        <v>2040</v>
      </c>
      <c r="X268" t="b">
        <v>0</v>
      </c>
      <c r="Y268" t="s">
        <v>2008</v>
      </c>
      <c r="Z268" s="667"/>
    </row>
    <row r="269" spans="1:26" ht="14.45" customHeight="1">
      <c r="A269">
        <v>587</v>
      </c>
      <c r="D269" t="s">
        <v>2003</v>
      </c>
      <c r="E269" s="7">
        <v>45573</v>
      </c>
      <c r="F269"/>
      <c r="G269">
        <f t="shared" si="4"/>
        <v>0</v>
      </c>
      <c r="K269" t="s">
        <v>2471</v>
      </c>
      <c r="M269" t="b">
        <v>0</v>
      </c>
      <c r="N269" s="7">
        <v>45608</v>
      </c>
      <c r="P269">
        <v>35.310242170000002</v>
      </c>
      <c r="Q269">
        <v>-120.66314029999999</v>
      </c>
      <c r="R269" t="s">
        <v>1808</v>
      </c>
      <c r="S269">
        <v>19700</v>
      </c>
      <c r="T269" t="s">
        <v>1809</v>
      </c>
      <c r="V269">
        <v>569</v>
      </c>
      <c r="W269" t="s">
        <v>2040</v>
      </c>
      <c r="X269" t="b">
        <v>0</v>
      </c>
      <c r="Y269" t="s">
        <v>2008</v>
      </c>
      <c r="Z269" s="6"/>
    </row>
    <row r="270" spans="1:26" ht="14.45" customHeight="1">
      <c r="A270">
        <v>588</v>
      </c>
      <c r="D270" t="s">
        <v>1826</v>
      </c>
      <c r="E270" s="7">
        <v>45573</v>
      </c>
      <c r="F270"/>
      <c r="G270">
        <f t="shared" si="4"/>
        <v>0</v>
      </c>
      <c r="K270" t="s">
        <v>2472</v>
      </c>
      <c r="M270" t="b">
        <v>0</v>
      </c>
      <c r="N270" s="7">
        <v>45608</v>
      </c>
      <c r="P270">
        <v>35.310194520000003</v>
      </c>
      <c r="Q270">
        <v>-120.66313340000001</v>
      </c>
      <c r="R270" t="s">
        <v>1808</v>
      </c>
      <c r="S270">
        <v>19698</v>
      </c>
      <c r="T270" t="s">
        <v>1809</v>
      </c>
      <c r="V270">
        <v>567</v>
      </c>
      <c r="W270" t="s">
        <v>2040</v>
      </c>
      <c r="X270" t="b">
        <v>0</v>
      </c>
      <c r="Y270" t="s">
        <v>2008</v>
      </c>
      <c r="Z270" s="6"/>
    </row>
    <row r="271" spans="1:26" ht="14.45" customHeight="1">
      <c r="A271">
        <v>589</v>
      </c>
      <c r="D271" t="s">
        <v>2003</v>
      </c>
      <c r="E271" s="7">
        <v>45573</v>
      </c>
      <c r="F271"/>
      <c r="G271">
        <f t="shared" si="4"/>
        <v>0</v>
      </c>
      <c r="K271" t="s">
        <v>2473</v>
      </c>
      <c r="M271" t="b">
        <v>0</v>
      </c>
      <c r="N271" s="7">
        <v>45608</v>
      </c>
      <c r="P271">
        <v>35.310155600000002</v>
      </c>
      <c r="Q271">
        <v>-120.66311469999999</v>
      </c>
      <c r="R271" t="s">
        <v>1808</v>
      </c>
      <c r="S271">
        <v>19697</v>
      </c>
      <c r="T271" t="s">
        <v>1809</v>
      </c>
      <c r="V271">
        <v>566</v>
      </c>
      <c r="W271" t="s">
        <v>2040</v>
      </c>
      <c r="X271" t="b">
        <v>0</v>
      </c>
      <c r="Y271" t="s">
        <v>2008</v>
      </c>
      <c r="Z271" s="667"/>
    </row>
    <row r="272" spans="1:26" ht="14.45" customHeight="1">
      <c r="A272">
        <v>590</v>
      </c>
      <c r="D272" t="s">
        <v>2003</v>
      </c>
      <c r="E272" s="7">
        <v>45573</v>
      </c>
      <c r="F272"/>
      <c r="G272">
        <f t="shared" si="4"/>
        <v>0</v>
      </c>
      <c r="K272" t="s">
        <v>2474</v>
      </c>
      <c r="M272" t="b">
        <v>0</v>
      </c>
      <c r="N272" s="7">
        <v>45573</v>
      </c>
      <c r="P272">
        <v>35.310124909999999</v>
      </c>
      <c r="Q272">
        <v>-120.66313599999999</v>
      </c>
      <c r="R272" t="s">
        <v>1808</v>
      </c>
      <c r="S272">
        <v>19696</v>
      </c>
      <c r="T272" t="s">
        <v>1809</v>
      </c>
      <c r="V272">
        <v>565</v>
      </c>
      <c r="W272" t="s">
        <v>2040</v>
      </c>
      <c r="X272" t="b">
        <v>0</v>
      </c>
      <c r="Y272" t="s">
        <v>2008</v>
      </c>
      <c r="Z272" s="667"/>
    </row>
    <row r="273" spans="1:26" ht="14.45" customHeight="1">
      <c r="A273">
        <v>591</v>
      </c>
      <c r="D273" t="s">
        <v>2003</v>
      </c>
      <c r="E273" s="7">
        <v>45573</v>
      </c>
      <c r="F273"/>
      <c r="G273">
        <f t="shared" si="4"/>
        <v>0</v>
      </c>
      <c r="K273" t="s">
        <v>2475</v>
      </c>
      <c r="M273" t="b">
        <v>0</v>
      </c>
      <c r="N273" s="7">
        <v>45608</v>
      </c>
      <c r="P273">
        <v>35.31009426</v>
      </c>
      <c r="Q273">
        <v>-120.6632147</v>
      </c>
      <c r="R273" t="s">
        <v>1808</v>
      </c>
      <c r="S273">
        <v>19684</v>
      </c>
      <c r="T273" t="s">
        <v>1809</v>
      </c>
      <c r="U273" t="s">
        <v>2476</v>
      </c>
      <c r="V273">
        <v>553</v>
      </c>
      <c r="W273" t="s">
        <v>2040</v>
      </c>
      <c r="X273" t="b">
        <v>0</v>
      </c>
      <c r="Y273" t="s">
        <v>2008</v>
      </c>
      <c r="Z273" s="667"/>
    </row>
    <row r="274" spans="1:26" ht="14.45" customHeight="1">
      <c r="A274">
        <v>592</v>
      </c>
      <c r="D274" t="s">
        <v>2003</v>
      </c>
      <c r="E274" s="7">
        <v>45573</v>
      </c>
      <c r="F274"/>
      <c r="G274">
        <f t="shared" si="4"/>
        <v>0</v>
      </c>
      <c r="K274" t="s">
        <v>2477</v>
      </c>
      <c r="M274" t="b">
        <v>0</v>
      </c>
      <c r="N274" s="7">
        <v>45608</v>
      </c>
      <c r="P274">
        <v>35.310107340000002</v>
      </c>
      <c r="Q274">
        <v>-120.6631659</v>
      </c>
      <c r="R274" t="s">
        <v>1808</v>
      </c>
      <c r="S274">
        <v>19682</v>
      </c>
      <c r="T274" t="s">
        <v>1809</v>
      </c>
      <c r="U274" t="s">
        <v>2478</v>
      </c>
      <c r="V274">
        <v>551</v>
      </c>
      <c r="W274" t="s">
        <v>2040</v>
      </c>
      <c r="X274" t="b">
        <v>0</v>
      </c>
      <c r="Y274" t="s">
        <v>2008</v>
      </c>
      <c r="Z274" s="6"/>
    </row>
    <row r="275" spans="1:26" ht="14.45" customHeight="1">
      <c r="A275">
        <v>377</v>
      </c>
      <c r="B275" t="s">
        <v>2479</v>
      </c>
      <c r="C275" t="s">
        <v>2480</v>
      </c>
      <c r="D275" t="s">
        <v>1826</v>
      </c>
      <c r="E275" s="7">
        <v>45573</v>
      </c>
      <c r="F275">
        <v>6</v>
      </c>
      <c r="G275">
        <f t="shared" si="4"/>
        <v>0.15239999999999998</v>
      </c>
      <c r="H275" t="s">
        <v>1804</v>
      </c>
      <c r="J275" t="s">
        <v>2481</v>
      </c>
      <c r="K275" t="s">
        <v>2482</v>
      </c>
      <c r="M275" t="b">
        <v>0</v>
      </c>
      <c r="N275" s="7">
        <v>45593</v>
      </c>
      <c r="O275" t="s">
        <v>1538</v>
      </c>
      <c r="P275">
        <v>35.310287799999998</v>
      </c>
      <c r="Q275">
        <v>-120.6622524</v>
      </c>
      <c r="R275" t="s">
        <v>1808</v>
      </c>
      <c r="S275">
        <v>19726</v>
      </c>
      <c r="T275" t="s">
        <v>1809</v>
      </c>
      <c r="U275" t="s">
        <v>2483</v>
      </c>
      <c r="V275">
        <v>594</v>
      </c>
      <c r="W275" t="s">
        <v>2484</v>
      </c>
      <c r="X275" t="b">
        <v>0</v>
      </c>
      <c r="Y275" t="s">
        <v>2075</v>
      </c>
      <c r="Z275" s="6"/>
    </row>
    <row r="276" spans="1:26" ht="14.45" customHeight="1">
      <c r="A276">
        <v>551</v>
      </c>
      <c r="B276" t="s">
        <v>1876</v>
      </c>
      <c r="C276" t="s">
        <v>1877</v>
      </c>
      <c r="D276" t="s">
        <v>2003</v>
      </c>
      <c r="E276" s="7">
        <v>45559</v>
      </c>
      <c r="F276">
        <v>4</v>
      </c>
      <c r="G276">
        <f t="shared" si="4"/>
        <v>0.1016</v>
      </c>
      <c r="H276" t="s">
        <v>1814</v>
      </c>
      <c r="I276" t="s">
        <v>1815</v>
      </c>
      <c r="J276" t="s">
        <v>1821</v>
      </c>
      <c r="K276" t="s">
        <v>2485</v>
      </c>
      <c r="M276" t="b">
        <v>1</v>
      </c>
      <c r="N276" s="7">
        <v>45608</v>
      </c>
      <c r="O276" t="s">
        <v>1181</v>
      </c>
      <c r="P276">
        <v>35.310869140000001</v>
      </c>
      <c r="Q276">
        <v>-120.6628558</v>
      </c>
      <c r="R276" t="s">
        <v>1808</v>
      </c>
      <c r="S276">
        <v>19569</v>
      </c>
      <c r="T276" t="s">
        <v>1809</v>
      </c>
      <c r="U276" t="s">
        <v>2486</v>
      </c>
      <c r="V276">
        <v>519</v>
      </c>
      <c r="W276" t="s">
        <v>2387</v>
      </c>
      <c r="X276" t="b">
        <v>0</v>
      </c>
      <c r="Y276" t="s">
        <v>1811</v>
      </c>
      <c r="Z276" s="6"/>
    </row>
    <row r="277" spans="1:26" ht="14.45" customHeight="1">
      <c r="A277">
        <v>552</v>
      </c>
      <c r="B277" t="s">
        <v>1876</v>
      </c>
      <c r="C277" t="s">
        <v>1877</v>
      </c>
      <c r="D277" t="s">
        <v>1946</v>
      </c>
      <c r="E277" s="7">
        <v>45559</v>
      </c>
      <c r="F277">
        <v>6</v>
      </c>
      <c r="G277">
        <f t="shared" si="4"/>
        <v>0.15239999999999998</v>
      </c>
      <c r="H277" t="s">
        <v>1804</v>
      </c>
      <c r="I277" t="s">
        <v>1815</v>
      </c>
      <c r="J277" t="s">
        <v>1821</v>
      </c>
      <c r="K277" t="s">
        <v>2487</v>
      </c>
      <c r="M277" t="b">
        <v>1</v>
      </c>
      <c r="N277" s="7">
        <v>45608</v>
      </c>
      <c r="O277" t="s">
        <v>1181</v>
      </c>
      <c r="P277">
        <v>35.31084164</v>
      </c>
      <c r="Q277">
        <v>-120.6628489</v>
      </c>
      <c r="R277" t="s">
        <v>1808</v>
      </c>
      <c r="S277">
        <v>19576</v>
      </c>
      <c r="T277" t="s">
        <v>1809</v>
      </c>
      <c r="U277" t="s">
        <v>2486</v>
      </c>
      <c r="V277">
        <v>524</v>
      </c>
      <c r="W277" t="s">
        <v>2387</v>
      </c>
      <c r="X277" t="b">
        <v>0</v>
      </c>
      <c r="Y277" t="s">
        <v>1811</v>
      </c>
      <c r="Z277" s="667"/>
    </row>
    <row r="278" spans="1:26" ht="14.45" customHeight="1">
      <c r="A278">
        <v>559</v>
      </c>
      <c r="B278" t="s">
        <v>1876</v>
      </c>
      <c r="C278" t="s">
        <v>1877</v>
      </c>
      <c r="D278" t="s">
        <v>2003</v>
      </c>
      <c r="E278" s="7">
        <v>45559</v>
      </c>
      <c r="F278">
        <v>12</v>
      </c>
      <c r="G278">
        <f t="shared" si="4"/>
        <v>0.30479999999999996</v>
      </c>
      <c r="H278" t="s">
        <v>1855</v>
      </c>
      <c r="I278" t="s">
        <v>1815</v>
      </c>
      <c r="J278" t="s">
        <v>1821</v>
      </c>
      <c r="K278" t="s">
        <v>2488</v>
      </c>
      <c r="M278" t="b">
        <v>1</v>
      </c>
      <c r="N278" s="7">
        <v>45930</v>
      </c>
      <c r="O278" t="s">
        <v>1181</v>
      </c>
      <c r="P278">
        <v>35.310888230000003</v>
      </c>
      <c r="Q278">
        <v>-120.66288609999999</v>
      </c>
      <c r="R278" t="s">
        <v>1808</v>
      </c>
      <c r="S278">
        <v>19580</v>
      </c>
      <c r="T278" t="s">
        <v>1809</v>
      </c>
      <c r="U278" t="s">
        <v>2486</v>
      </c>
      <c r="V278">
        <v>528</v>
      </c>
      <c r="W278" t="s">
        <v>2387</v>
      </c>
      <c r="X278" t="b">
        <v>0</v>
      </c>
      <c r="Y278" t="s">
        <v>1811</v>
      </c>
      <c r="Z278" s="667"/>
    </row>
    <row r="279" spans="1:26" ht="14.45" customHeight="1">
      <c r="A279">
        <v>303</v>
      </c>
      <c r="B279" t="s">
        <v>2120</v>
      </c>
      <c r="C279" t="s">
        <v>2121</v>
      </c>
      <c r="D279" t="s">
        <v>2003</v>
      </c>
      <c r="E279" s="7">
        <v>45559</v>
      </c>
      <c r="F279">
        <v>5</v>
      </c>
      <c r="G279">
        <f t="shared" si="4"/>
        <v>0.127</v>
      </c>
      <c r="H279" t="s">
        <v>1814</v>
      </c>
      <c r="I279" t="s">
        <v>2122</v>
      </c>
      <c r="J279" t="s">
        <v>2121</v>
      </c>
      <c r="K279" t="s">
        <v>2489</v>
      </c>
      <c r="M279" t="b">
        <v>1</v>
      </c>
      <c r="N279" s="7">
        <v>45573</v>
      </c>
      <c r="O279" t="s">
        <v>2124</v>
      </c>
      <c r="P279">
        <v>35.310265049999998</v>
      </c>
      <c r="Q279">
        <v>-120.6633384</v>
      </c>
      <c r="R279" t="s">
        <v>1808</v>
      </c>
      <c r="S279">
        <v>19588</v>
      </c>
      <c r="T279" t="s">
        <v>1809</v>
      </c>
      <c r="U279" t="s">
        <v>2125</v>
      </c>
      <c r="V279">
        <v>536</v>
      </c>
      <c r="W279" t="s">
        <v>2419</v>
      </c>
      <c r="X279" t="b">
        <v>0</v>
      </c>
      <c r="Y279" t="s">
        <v>1968</v>
      </c>
      <c r="Z279" s="6"/>
    </row>
    <row r="280" spans="1:26" ht="14.45" customHeight="1">
      <c r="A280">
        <v>304</v>
      </c>
      <c r="B280" t="s">
        <v>2120</v>
      </c>
      <c r="C280" t="s">
        <v>2121</v>
      </c>
      <c r="D280" t="s">
        <v>1826</v>
      </c>
      <c r="E280" s="7">
        <v>45559</v>
      </c>
      <c r="F280">
        <v>7</v>
      </c>
      <c r="G280">
        <f t="shared" si="4"/>
        <v>0.17779999999999999</v>
      </c>
      <c r="H280" t="s">
        <v>1804</v>
      </c>
      <c r="I280" t="s">
        <v>2122</v>
      </c>
      <c r="J280" t="s">
        <v>2121</v>
      </c>
      <c r="K280" t="s">
        <v>2490</v>
      </c>
      <c r="M280" t="b">
        <v>1</v>
      </c>
      <c r="N280" s="7">
        <v>45923</v>
      </c>
      <c r="O280" t="s">
        <v>2124</v>
      </c>
      <c r="P280">
        <v>35.310304360000003</v>
      </c>
      <c r="Q280">
        <v>-120.6633483</v>
      </c>
      <c r="R280" t="s">
        <v>1808</v>
      </c>
      <c r="S280">
        <v>19584</v>
      </c>
      <c r="T280" t="s">
        <v>1809</v>
      </c>
      <c r="U280" t="s">
        <v>2125</v>
      </c>
      <c r="V280">
        <v>532</v>
      </c>
      <c r="W280" t="s">
        <v>2419</v>
      </c>
      <c r="X280" t="b">
        <v>0</v>
      </c>
      <c r="Y280" t="s">
        <v>1968</v>
      </c>
      <c r="Z280" s="667"/>
    </row>
    <row r="281" spans="1:26" ht="14.45" customHeight="1">
      <c r="A281">
        <v>344</v>
      </c>
      <c r="B281" t="s">
        <v>1987</v>
      </c>
      <c r="C281" t="s">
        <v>1988</v>
      </c>
      <c r="D281" t="s">
        <v>2003</v>
      </c>
      <c r="E281" s="7">
        <v>45559</v>
      </c>
      <c r="F281">
        <v>3</v>
      </c>
      <c r="G281">
        <f t="shared" si="4"/>
        <v>7.619999999999999E-2</v>
      </c>
      <c r="H281" t="s">
        <v>1814</v>
      </c>
      <c r="I281" t="s">
        <v>1990</v>
      </c>
      <c r="J281" t="s">
        <v>1991</v>
      </c>
      <c r="K281" t="s">
        <v>2491</v>
      </c>
      <c r="M281" t="b">
        <v>1</v>
      </c>
      <c r="N281" s="7">
        <v>45608</v>
      </c>
      <c r="O281" t="s">
        <v>1993</v>
      </c>
      <c r="P281">
        <v>35.310305300000003</v>
      </c>
      <c r="Q281">
        <v>-120.66318750000001</v>
      </c>
      <c r="R281" t="s">
        <v>1808</v>
      </c>
      <c r="S281">
        <v>19577</v>
      </c>
      <c r="T281" t="s">
        <v>1809</v>
      </c>
      <c r="U281" t="s">
        <v>2492</v>
      </c>
      <c r="V281">
        <v>525</v>
      </c>
      <c r="W281" t="s">
        <v>2419</v>
      </c>
      <c r="X281" t="b">
        <v>0</v>
      </c>
      <c r="Y281" t="s">
        <v>1968</v>
      </c>
      <c r="Z281" s="667"/>
    </row>
    <row r="282" spans="1:26" ht="14.45" customHeight="1">
      <c r="A282">
        <v>504</v>
      </c>
      <c r="B282" t="s">
        <v>1995</v>
      </c>
      <c r="C282" t="s">
        <v>1996</v>
      </c>
      <c r="D282" t="s">
        <v>2003</v>
      </c>
      <c r="E282" s="7">
        <v>45559</v>
      </c>
      <c r="F282">
        <v>5</v>
      </c>
      <c r="G282">
        <f t="shared" si="4"/>
        <v>0.127</v>
      </c>
      <c r="H282" t="s">
        <v>1814</v>
      </c>
      <c r="J282" t="s">
        <v>1997</v>
      </c>
      <c r="K282" t="s">
        <v>2493</v>
      </c>
      <c r="M282" t="b">
        <v>1</v>
      </c>
      <c r="N282" s="7">
        <v>45608</v>
      </c>
      <c r="O282" t="s">
        <v>1999</v>
      </c>
      <c r="P282">
        <v>35.310312879999998</v>
      </c>
      <c r="Q282">
        <v>-120.6632894</v>
      </c>
      <c r="R282" t="s">
        <v>1808</v>
      </c>
      <c r="S282">
        <v>19581</v>
      </c>
      <c r="T282" t="s">
        <v>1809</v>
      </c>
      <c r="U282" t="s">
        <v>2494</v>
      </c>
      <c r="V282">
        <v>529</v>
      </c>
      <c r="W282" t="s">
        <v>2419</v>
      </c>
      <c r="X282" t="b">
        <v>0</v>
      </c>
      <c r="Y282" t="s">
        <v>1968</v>
      </c>
      <c r="Z282" s="667"/>
    </row>
    <row r="283" spans="1:26" ht="14.45" customHeight="1">
      <c r="A283">
        <v>320</v>
      </c>
      <c r="B283" t="s">
        <v>2269</v>
      </c>
      <c r="C283" t="s">
        <v>2270</v>
      </c>
      <c r="D283" t="s">
        <v>2003</v>
      </c>
      <c r="E283" s="7">
        <v>45559</v>
      </c>
      <c r="F283">
        <v>1</v>
      </c>
      <c r="G283">
        <f t="shared" si="4"/>
        <v>2.5399999999999999E-2</v>
      </c>
      <c r="H283" t="s">
        <v>1838</v>
      </c>
      <c r="I283" t="s">
        <v>1971</v>
      </c>
      <c r="J283" t="s">
        <v>2271</v>
      </c>
      <c r="K283" t="s">
        <v>2495</v>
      </c>
      <c r="M283" t="b">
        <v>1</v>
      </c>
      <c r="N283" s="7">
        <v>45604</v>
      </c>
      <c r="O283" t="s">
        <v>2273</v>
      </c>
      <c r="P283">
        <v>35.310103920000003</v>
      </c>
      <c r="Q283">
        <v>-120.6609787</v>
      </c>
      <c r="R283" t="s">
        <v>1808</v>
      </c>
      <c r="S283">
        <v>19559</v>
      </c>
      <c r="T283" t="s">
        <v>1809</v>
      </c>
      <c r="U283" t="s">
        <v>2274</v>
      </c>
      <c r="V283">
        <v>510</v>
      </c>
      <c r="W283" t="s">
        <v>2496</v>
      </c>
      <c r="X283" t="b">
        <v>0</v>
      </c>
      <c r="Y283" t="s">
        <v>2224</v>
      </c>
      <c r="Z283" s="667"/>
    </row>
    <row r="284" spans="1:26" ht="14.45" customHeight="1">
      <c r="A284">
        <v>531</v>
      </c>
      <c r="B284" t="s">
        <v>1657</v>
      </c>
      <c r="C284" t="s">
        <v>2050</v>
      </c>
      <c r="D284" t="s">
        <v>2003</v>
      </c>
      <c r="E284" s="7">
        <v>45559</v>
      </c>
      <c r="F284">
        <v>5</v>
      </c>
      <c r="G284">
        <f t="shared" si="4"/>
        <v>0.127</v>
      </c>
      <c r="H284" t="s">
        <v>1814</v>
      </c>
      <c r="I284" t="s">
        <v>2051</v>
      </c>
      <c r="J284" t="s">
        <v>2052</v>
      </c>
      <c r="K284" t="s">
        <v>2497</v>
      </c>
      <c r="M284" t="b">
        <v>1</v>
      </c>
      <c r="N284" s="7">
        <v>45614</v>
      </c>
      <c r="O284" t="s">
        <v>1435</v>
      </c>
      <c r="P284">
        <v>35.310205740000001</v>
      </c>
      <c r="Q284">
        <v>-120.6613265</v>
      </c>
      <c r="R284" t="s">
        <v>1808</v>
      </c>
      <c r="S284">
        <v>19583</v>
      </c>
      <c r="T284" t="s">
        <v>1809</v>
      </c>
      <c r="U284" t="s">
        <v>2054</v>
      </c>
      <c r="V284">
        <v>531</v>
      </c>
      <c r="W284" t="s">
        <v>2496</v>
      </c>
      <c r="X284" t="b">
        <v>0</v>
      </c>
      <c r="Y284" t="s">
        <v>2224</v>
      </c>
      <c r="Z284" s="6"/>
    </row>
    <row r="285" spans="1:26" ht="14.45" customHeight="1">
      <c r="A285">
        <v>532</v>
      </c>
      <c r="B285" t="s">
        <v>1657</v>
      </c>
      <c r="C285" t="s">
        <v>2050</v>
      </c>
      <c r="D285" t="s">
        <v>2003</v>
      </c>
      <c r="E285" s="7">
        <v>45559</v>
      </c>
      <c r="F285">
        <v>6</v>
      </c>
      <c r="G285">
        <f t="shared" si="4"/>
        <v>0.15239999999999998</v>
      </c>
      <c r="H285" t="s">
        <v>1804</v>
      </c>
      <c r="I285" t="s">
        <v>2051</v>
      </c>
      <c r="J285" t="s">
        <v>2052</v>
      </c>
      <c r="K285" t="s">
        <v>2498</v>
      </c>
      <c r="M285" t="b">
        <v>1</v>
      </c>
      <c r="N285" s="7">
        <v>45589</v>
      </c>
      <c r="O285" t="s">
        <v>1435</v>
      </c>
      <c r="P285">
        <v>35.310229820000004</v>
      </c>
      <c r="Q285">
        <v>-120.6613131</v>
      </c>
      <c r="R285" t="s">
        <v>1808</v>
      </c>
      <c r="S285">
        <v>19586</v>
      </c>
      <c r="T285" t="s">
        <v>1809</v>
      </c>
      <c r="U285" t="s">
        <v>2499</v>
      </c>
      <c r="V285">
        <v>534</v>
      </c>
      <c r="W285" t="s">
        <v>2496</v>
      </c>
      <c r="X285" t="b">
        <v>0</v>
      </c>
      <c r="Y285" t="s">
        <v>2224</v>
      </c>
      <c r="Z285" s="6"/>
    </row>
    <row r="286" spans="1:26" ht="14.45" customHeight="1">
      <c r="A286">
        <v>533</v>
      </c>
      <c r="B286" t="s">
        <v>1657</v>
      </c>
      <c r="C286" t="s">
        <v>2050</v>
      </c>
      <c r="D286" t="s">
        <v>2003</v>
      </c>
      <c r="E286" s="7">
        <v>45559</v>
      </c>
      <c r="F286">
        <v>6</v>
      </c>
      <c r="G286">
        <f t="shared" si="4"/>
        <v>0.15239999999999998</v>
      </c>
      <c r="H286" t="s">
        <v>1804</v>
      </c>
      <c r="I286" t="s">
        <v>2051</v>
      </c>
      <c r="J286" t="s">
        <v>2052</v>
      </c>
      <c r="K286" t="s">
        <v>2500</v>
      </c>
      <c r="M286" t="b">
        <v>1</v>
      </c>
      <c r="N286" s="7">
        <v>45614</v>
      </c>
      <c r="O286" t="s">
        <v>1435</v>
      </c>
      <c r="P286">
        <v>35.310210669999996</v>
      </c>
      <c r="Q286">
        <v>-120.66129650000001</v>
      </c>
      <c r="R286" t="s">
        <v>1808</v>
      </c>
      <c r="S286">
        <v>19582</v>
      </c>
      <c r="T286" t="s">
        <v>1809</v>
      </c>
      <c r="U286" t="s">
        <v>2501</v>
      </c>
      <c r="V286">
        <v>530</v>
      </c>
      <c r="W286" t="s">
        <v>2496</v>
      </c>
      <c r="X286" t="b">
        <v>0</v>
      </c>
      <c r="Y286" t="s">
        <v>2224</v>
      </c>
      <c r="Z286" s="667"/>
    </row>
    <row r="287" spans="1:26" ht="14.45" customHeight="1">
      <c r="A287">
        <v>535</v>
      </c>
      <c r="B287" t="s">
        <v>1657</v>
      </c>
      <c r="C287" t="s">
        <v>2050</v>
      </c>
      <c r="D287" t="s">
        <v>2003</v>
      </c>
      <c r="E287" s="7">
        <v>45559</v>
      </c>
      <c r="F287">
        <v>7</v>
      </c>
      <c r="G287">
        <f t="shared" si="4"/>
        <v>0.17779999999999999</v>
      </c>
      <c r="H287" t="s">
        <v>1804</v>
      </c>
      <c r="I287" t="s">
        <v>2051</v>
      </c>
      <c r="J287" t="s">
        <v>2052</v>
      </c>
      <c r="K287" t="s">
        <v>2502</v>
      </c>
      <c r="M287" t="b">
        <v>1</v>
      </c>
      <c r="N287" s="7">
        <v>45614</v>
      </c>
      <c r="O287" t="s">
        <v>1435</v>
      </c>
      <c r="P287">
        <v>35.310226530000001</v>
      </c>
      <c r="Q287">
        <v>-120.66134529999999</v>
      </c>
      <c r="R287" t="s">
        <v>1808</v>
      </c>
      <c r="S287">
        <v>19587</v>
      </c>
      <c r="T287" t="s">
        <v>1809</v>
      </c>
      <c r="U287" t="s">
        <v>2054</v>
      </c>
      <c r="V287">
        <v>535</v>
      </c>
      <c r="W287" t="s">
        <v>2496</v>
      </c>
      <c r="X287" t="b">
        <v>0</v>
      </c>
      <c r="Y287" t="s">
        <v>2224</v>
      </c>
      <c r="Z287" s="667"/>
    </row>
    <row r="288" spans="1:26" ht="14.45" customHeight="1">
      <c r="A288">
        <v>536</v>
      </c>
      <c r="B288" t="s">
        <v>1657</v>
      </c>
      <c r="C288" t="s">
        <v>2050</v>
      </c>
      <c r="E288" s="7">
        <v>45559</v>
      </c>
      <c r="F288">
        <v>7</v>
      </c>
      <c r="G288">
        <f t="shared" si="4"/>
        <v>0.17779999999999999</v>
      </c>
      <c r="H288" t="s">
        <v>1804</v>
      </c>
      <c r="I288" t="s">
        <v>2051</v>
      </c>
      <c r="J288" t="s">
        <v>2052</v>
      </c>
      <c r="K288" t="s">
        <v>2503</v>
      </c>
      <c r="M288" t="b">
        <v>1</v>
      </c>
      <c r="N288" s="7">
        <v>45614</v>
      </c>
      <c r="O288" t="s">
        <v>1435</v>
      </c>
      <c r="P288">
        <v>35.310210120000001</v>
      </c>
      <c r="Q288">
        <v>-120.66136280000001</v>
      </c>
      <c r="R288" t="s">
        <v>1808</v>
      </c>
      <c r="S288">
        <v>19585</v>
      </c>
      <c r="T288" t="s">
        <v>1809</v>
      </c>
      <c r="U288" t="s">
        <v>2054</v>
      </c>
      <c r="V288">
        <v>533</v>
      </c>
      <c r="W288" t="s">
        <v>2496</v>
      </c>
      <c r="X288" t="b">
        <v>0</v>
      </c>
      <c r="Y288" t="s">
        <v>2224</v>
      </c>
      <c r="Z288" s="6"/>
    </row>
    <row r="289" spans="1:26" ht="14.45" customHeight="1">
      <c r="A289">
        <v>121</v>
      </c>
      <c r="B289" t="s">
        <v>2504</v>
      </c>
      <c r="C289" t="s">
        <v>2505</v>
      </c>
      <c r="D289" t="s">
        <v>1826</v>
      </c>
      <c r="E289" s="7">
        <v>45559</v>
      </c>
      <c r="F289">
        <v>2</v>
      </c>
      <c r="G289">
        <f t="shared" si="4"/>
        <v>5.0799999999999998E-2</v>
      </c>
      <c r="H289" t="s">
        <v>1838</v>
      </c>
      <c r="I289" t="s">
        <v>1982</v>
      </c>
      <c r="J289" t="s">
        <v>1983</v>
      </c>
      <c r="K289" t="s">
        <v>2506</v>
      </c>
      <c r="M289" t="b">
        <v>1</v>
      </c>
      <c r="N289" s="7">
        <v>45608</v>
      </c>
      <c r="O289" t="s">
        <v>2507</v>
      </c>
      <c r="P289">
        <v>35.310193200000001</v>
      </c>
      <c r="Q289">
        <v>-120.66139750000001</v>
      </c>
      <c r="R289" t="s">
        <v>1808</v>
      </c>
      <c r="S289">
        <v>19572</v>
      </c>
      <c r="T289" t="s">
        <v>1809</v>
      </c>
      <c r="U289" t="s">
        <v>2508</v>
      </c>
      <c r="V289">
        <v>522</v>
      </c>
      <c r="W289" t="s">
        <v>2496</v>
      </c>
      <c r="X289" t="b">
        <v>0</v>
      </c>
      <c r="Y289" t="s">
        <v>2224</v>
      </c>
      <c r="Z289" s="6"/>
    </row>
    <row r="290" spans="1:26" ht="14.45" customHeight="1">
      <c r="A290">
        <v>269</v>
      </c>
      <c r="B290" t="s">
        <v>2290</v>
      </c>
      <c r="C290" t="s">
        <v>2291</v>
      </c>
      <c r="D290" t="s">
        <v>1826</v>
      </c>
      <c r="E290" s="7">
        <v>45559</v>
      </c>
      <c r="F290">
        <v>2</v>
      </c>
      <c r="G290">
        <f t="shared" si="4"/>
        <v>5.0799999999999998E-2</v>
      </c>
      <c r="H290" t="s">
        <v>1838</v>
      </c>
      <c r="I290" t="s">
        <v>1982</v>
      </c>
      <c r="J290" t="s">
        <v>1983</v>
      </c>
      <c r="K290" t="s">
        <v>2509</v>
      </c>
      <c r="M290" t="b">
        <v>1</v>
      </c>
      <c r="N290" s="7">
        <v>45604</v>
      </c>
      <c r="O290" t="s">
        <v>1393</v>
      </c>
      <c r="P290">
        <v>35.310125370000002</v>
      </c>
      <c r="Q290">
        <v>-120.6614482</v>
      </c>
      <c r="R290" t="s">
        <v>1808</v>
      </c>
      <c r="S290">
        <v>19571</v>
      </c>
      <c r="T290" t="s">
        <v>1809</v>
      </c>
      <c r="U290" t="s">
        <v>2510</v>
      </c>
      <c r="V290">
        <v>521</v>
      </c>
      <c r="W290" t="s">
        <v>2496</v>
      </c>
      <c r="X290" t="b">
        <v>0</v>
      </c>
      <c r="Y290" t="s">
        <v>2224</v>
      </c>
      <c r="Z290" s="6"/>
    </row>
    <row r="291" spans="1:26" ht="14.45" customHeight="1">
      <c r="A291">
        <v>323</v>
      </c>
      <c r="B291" t="s">
        <v>2511</v>
      </c>
      <c r="C291" t="s">
        <v>2512</v>
      </c>
      <c r="D291" t="s">
        <v>1826</v>
      </c>
      <c r="E291" s="7">
        <v>45559</v>
      </c>
      <c r="F291">
        <v>5</v>
      </c>
      <c r="G291">
        <f t="shared" si="4"/>
        <v>0.127</v>
      </c>
      <c r="H291" t="s">
        <v>1814</v>
      </c>
      <c r="I291" t="s">
        <v>1982</v>
      </c>
      <c r="J291" t="s">
        <v>1983</v>
      </c>
      <c r="K291" t="s">
        <v>2513</v>
      </c>
      <c r="M291" t="b">
        <v>1</v>
      </c>
      <c r="N291" s="7">
        <v>45637</v>
      </c>
      <c r="O291" t="s">
        <v>2514</v>
      </c>
      <c r="P291">
        <v>35.310120019999999</v>
      </c>
      <c r="Q291">
        <v>-120.6613177</v>
      </c>
      <c r="R291" t="s">
        <v>1808</v>
      </c>
      <c r="S291">
        <v>19537</v>
      </c>
      <c r="T291" t="s">
        <v>1809</v>
      </c>
      <c r="U291" t="s">
        <v>2515</v>
      </c>
      <c r="V291">
        <v>492</v>
      </c>
      <c r="W291" t="s">
        <v>2496</v>
      </c>
      <c r="X291" t="b">
        <v>0</v>
      </c>
      <c r="Y291" t="s">
        <v>2224</v>
      </c>
      <c r="Z291" s="6"/>
    </row>
    <row r="292" spans="1:26" ht="14.45" customHeight="1">
      <c r="A292">
        <v>370</v>
      </c>
      <c r="B292" t="s">
        <v>2060</v>
      </c>
      <c r="C292" t="s">
        <v>2061</v>
      </c>
      <c r="D292" t="s">
        <v>2003</v>
      </c>
      <c r="E292" s="7">
        <v>45559</v>
      </c>
      <c r="F292">
        <v>12</v>
      </c>
      <c r="G292">
        <f t="shared" si="4"/>
        <v>0.30479999999999996</v>
      </c>
      <c r="H292" t="s">
        <v>1855</v>
      </c>
      <c r="I292" t="s">
        <v>2062</v>
      </c>
      <c r="J292" t="s">
        <v>2063</v>
      </c>
      <c r="K292" t="s">
        <v>2516</v>
      </c>
      <c r="M292" t="b">
        <v>1</v>
      </c>
      <c r="N292" s="7">
        <v>45637</v>
      </c>
      <c r="O292" t="s">
        <v>1438</v>
      </c>
      <c r="P292">
        <v>35.310232130000003</v>
      </c>
      <c r="Q292">
        <v>-120.6613839</v>
      </c>
      <c r="R292" t="s">
        <v>1808</v>
      </c>
      <c r="S292">
        <v>19579</v>
      </c>
      <c r="T292" t="s">
        <v>1809</v>
      </c>
      <c r="U292" t="s">
        <v>2517</v>
      </c>
      <c r="V292">
        <v>527</v>
      </c>
      <c r="W292" t="s">
        <v>2496</v>
      </c>
      <c r="X292" t="b">
        <v>0</v>
      </c>
      <c r="Y292" t="s">
        <v>2224</v>
      </c>
      <c r="Z292" s="6"/>
    </row>
    <row r="293" spans="1:26" ht="14.45" customHeight="1">
      <c r="A293">
        <v>316</v>
      </c>
      <c r="B293" t="s">
        <v>2226</v>
      </c>
      <c r="C293" t="s">
        <v>2227</v>
      </c>
      <c r="D293" t="s">
        <v>1826</v>
      </c>
      <c r="E293" s="7">
        <v>45559</v>
      </c>
      <c r="F293">
        <v>4</v>
      </c>
      <c r="G293">
        <f t="shared" si="4"/>
        <v>0.1016</v>
      </c>
      <c r="H293" t="s">
        <v>1814</v>
      </c>
      <c r="I293" t="s">
        <v>2228</v>
      </c>
      <c r="J293" t="s">
        <v>2229</v>
      </c>
      <c r="K293" t="s">
        <v>2518</v>
      </c>
      <c r="M293" t="b">
        <v>1</v>
      </c>
      <c r="N293" s="7">
        <v>45637</v>
      </c>
      <c r="O293" t="s">
        <v>2231</v>
      </c>
      <c r="P293">
        <v>35.30992517</v>
      </c>
      <c r="Q293">
        <v>-120.6611413</v>
      </c>
      <c r="R293" t="s">
        <v>1808</v>
      </c>
      <c r="S293">
        <v>19544</v>
      </c>
      <c r="T293" t="s">
        <v>1809</v>
      </c>
      <c r="U293" t="s">
        <v>2519</v>
      </c>
      <c r="V293">
        <v>499</v>
      </c>
      <c r="W293" t="s">
        <v>2496</v>
      </c>
      <c r="X293" t="b">
        <v>0</v>
      </c>
      <c r="Y293" t="s">
        <v>2224</v>
      </c>
      <c r="Z293" s="6"/>
    </row>
    <row r="294" spans="1:26" ht="14.45" customHeight="1">
      <c r="A294">
        <v>317</v>
      </c>
      <c r="B294" t="s">
        <v>2226</v>
      </c>
      <c r="C294" t="s">
        <v>2227</v>
      </c>
      <c r="E294" s="7">
        <v>45559</v>
      </c>
      <c r="F294">
        <v>10</v>
      </c>
      <c r="G294">
        <f t="shared" si="4"/>
        <v>0.254</v>
      </c>
      <c r="H294" t="s">
        <v>1804</v>
      </c>
      <c r="I294" t="s">
        <v>2228</v>
      </c>
      <c r="J294" t="s">
        <v>2229</v>
      </c>
      <c r="K294" t="s">
        <v>2520</v>
      </c>
      <c r="M294" t="b">
        <v>1</v>
      </c>
      <c r="N294" s="7">
        <v>45637</v>
      </c>
      <c r="O294" t="s">
        <v>2231</v>
      </c>
      <c r="P294">
        <v>35.30985656</v>
      </c>
      <c r="Q294">
        <v>-120.6608463</v>
      </c>
      <c r="R294" t="s">
        <v>1808</v>
      </c>
      <c r="S294">
        <v>19552</v>
      </c>
      <c r="T294" t="s">
        <v>1809</v>
      </c>
      <c r="U294" t="s">
        <v>2232</v>
      </c>
      <c r="V294">
        <v>506</v>
      </c>
      <c r="W294" t="s">
        <v>2496</v>
      </c>
      <c r="X294" t="b">
        <v>0</v>
      </c>
      <c r="Y294" t="s">
        <v>2224</v>
      </c>
      <c r="Z294" s="6"/>
    </row>
    <row r="295" spans="1:26" ht="14.45" customHeight="1">
      <c r="A295">
        <v>149</v>
      </c>
      <c r="B295" t="s">
        <v>2094</v>
      </c>
      <c r="C295" t="s">
        <v>2095</v>
      </c>
      <c r="D295" t="s">
        <v>2003</v>
      </c>
      <c r="E295" s="7">
        <v>45559</v>
      </c>
      <c r="F295">
        <v>10</v>
      </c>
      <c r="G295">
        <f t="shared" si="4"/>
        <v>0.254</v>
      </c>
      <c r="H295" t="s">
        <v>1804</v>
      </c>
      <c r="J295" t="s">
        <v>2096</v>
      </c>
      <c r="K295" t="s">
        <v>2521</v>
      </c>
      <c r="M295" t="b">
        <v>1</v>
      </c>
      <c r="N295" s="7">
        <v>45608</v>
      </c>
      <c r="O295" t="s">
        <v>2098</v>
      </c>
      <c r="P295">
        <v>35.310204880000001</v>
      </c>
      <c r="Q295">
        <v>-120.66143769999999</v>
      </c>
      <c r="R295" t="s">
        <v>1808</v>
      </c>
      <c r="S295">
        <v>19578</v>
      </c>
      <c r="T295" t="s">
        <v>1809</v>
      </c>
      <c r="U295" t="s">
        <v>2277</v>
      </c>
      <c r="V295">
        <v>526</v>
      </c>
      <c r="W295" t="s">
        <v>2496</v>
      </c>
      <c r="X295" t="b">
        <v>0</v>
      </c>
      <c r="Y295" t="s">
        <v>2224</v>
      </c>
      <c r="Z295" s="6"/>
    </row>
    <row r="296" spans="1:26" ht="14.45" customHeight="1">
      <c r="A296">
        <v>424</v>
      </c>
      <c r="B296" t="s">
        <v>2027</v>
      </c>
      <c r="C296" t="s">
        <v>2028</v>
      </c>
      <c r="D296" t="s">
        <v>1989</v>
      </c>
      <c r="E296" s="7">
        <v>45559</v>
      </c>
      <c r="F296">
        <v>4</v>
      </c>
      <c r="G296">
        <f t="shared" si="4"/>
        <v>0.1016</v>
      </c>
      <c r="H296" t="s">
        <v>1814</v>
      </c>
      <c r="J296" t="s">
        <v>1983</v>
      </c>
      <c r="K296" t="s">
        <v>2522</v>
      </c>
      <c r="M296" t="b">
        <v>1</v>
      </c>
      <c r="N296" s="7">
        <v>45637</v>
      </c>
      <c r="O296" t="s">
        <v>2030</v>
      </c>
      <c r="P296">
        <v>35.310189319999999</v>
      </c>
      <c r="Q296">
        <v>-120.6613332</v>
      </c>
      <c r="R296" t="s">
        <v>1808</v>
      </c>
      <c r="S296">
        <v>19591</v>
      </c>
      <c r="T296" t="s">
        <v>1809</v>
      </c>
      <c r="U296" t="s">
        <v>2523</v>
      </c>
      <c r="V296">
        <v>539</v>
      </c>
      <c r="W296" t="s">
        <v>2496</v>
      </c>
      <c r="X296" t="b">
        <v>0</v>
      </c>
      <c r="Y296" t="s">
        <v>2224</v>
      </c>
      <c r="Z296" s="6"/>
    </row>
    <row r="297" spans="1:26" ht="14.45" customHeight="1">
      <c r="A297">
        <v>425</v>
      </c>
      <c r="B297" t="s">
        <v>2027</v>
      </c>
      <c r="C297" t="s">
        <v>2028</v>
      </c>
      <c r="D297" t="s">
        <v>2003</v>
      </c>
      <c r="E297" s="7">
        <v>45559</v>
      </c>
      <c r="F297">
        <v>4</v>
      </c>
      <c r="G297">
        <f t="shared" si="4"/>
        <v>0.1016</v>
      </c>
      <c r="H297" t="s">
        <v>1814</v>
      </c>
      <c r="J297" t="s">
        <v>1983</v>
      </c>
      <c r="K297" t="s">
        <v>2524</v>
      </c>
      <c r="M297" t="b">
        <v>1</v>
      </c>
      <c r="N297" s="7">
        <v>45637</v>
      </c>
      <c r="O297" t="s">
        <v>2030</v>
      </c>
      <c r="P297">
        <v>35.310000729999999</v>
      </c>
      <c r="Q297">
        <v>-120.66105469999999</v>
      </c>
      <c r="R297" t="s">
        <v>1808</v>
      </c>
      <c r="S297">
        <v>19568</v>
      </c>
      <c r="T297" t="s">
        <v>1809</v>
      </c>
      <c r="U297" t="s">
        <v>2525</v>
      </c>
      <c r="V297">
        <v>518</v>
      </c>
      <c r="W297" t="s">
        <v>2496</v>
      </c>
      <c r="X297" t="b">
        <v>0</v>
      </c>
      <c r="Y297" t="s">
        <v>2224</v>
      </c>
      <c r="Z297" s="667"/>
    </row>
    <row r="298" spans="1:26" ht="14.45" customHeight="1">
      <c r="A298">
        <v>438</v>
      </c>
      <c r="B298" t="s">
        <v>2027</v>
      </c>
      <c r="C298" t="s">
        <v>2028</v>
      </c>
      <c r="D298" t="s">
        <v>1826</v>
      </c>
      <c r="E298" s="7">
        <v>45559</v>
      </c>
      <c r="F298">
        <v>30</v>
      </c>
      <c r="G298">
        <f t="shared" si="4"/>
        <v>0.76200000000000001</v>
      </c>
      <c r="H298" t="s">
        <v>1881</v>
      </c>
      <c r="J298" t="s">
        <v>1983</v>
      </c>
      <c r="K298" t="s">
        <v>2526</v>
      </c>
      <c r="M298" t="b">
        <v>1</v>
      </c>
      <c r="N298" s="7">
        <v>45637</v>
      </c>
      <c r="O298" t="s">
        <v>2030</v>
      </c>
      <c r="P298">
        <v>35.309970730000003</v>
      </c>
      <c r="Q298">
        <v>-120.6612198</v>
      </c>
      <c r="R298" t="s">
        <v>1808</v>
      </c>
      <c r="S298">
        <v>19540</v>
      </c>
      <c r="T298" t="s">
        <v>1809</v>
      </c>
      <c r="U298" t="s">
        <v>2527</v>
      </c>
      <c r="V298">
        <v>495</v>
      </c>
      <c r="W298" t="s">
        <v>2496</v>
      </c>
      <c r="X298" t="b">
        <v>0</v>
      </c>
      <c r="Y298" t="s">
        <v>2224</v>
      </c>
      <c r="Z298" s="667"/>
    </row>
    <row r="299" spans="1:26" ht="14.45" customHeight="1">
      <c r="A299">
        <v>440</v>
      </c>
      <c r="B299" t="s">
        <v>2027</v>
      </c>
      <c r="C299" t="s">
        <v>2028</v>
      </c>
      <c r="D299" t="s">
        <v>1826</v>
      </c>
      <c r="E299" s="7">
        <v>45559</v>
      </c>
      <c r="F299"/>
      <c r="G299">
        <f t="shared" si="4"/>
        <v>0</v>
      </c>
      <c r="J299" t="s">
        <v>1983</v>
      </c>
      <c r="K299" t="s">
        <v>2528</v>
      </c>
      <c r="M299" t="b">
        <v>0</v>
      </c>
      <c r="N299" s="7">
        <v>45637</v>
      </c>
      <c r="O299" t="s">
        <v>2030</v>
      </c>
      <c r="P299">
        <v>35.310183850000001</v>
      </c>
      <c r="Q299">
        <v>-120.6613601</v>
      </c>
      <c r="R299" t="s">
        <v>1808</v>
      </c>
      <c r="S299">
        <v>19589</v>
      </c>
      <c r="T299" t="s">
        <v>1809</v>
      </c>
      <c r="U299" t="s">
        <v>2529</v>
      </c>
      <c r="V299">
        <v>537</v>
      </c>
      <c r="W299" t="s">
        <v>2496</v>
      </c>
      <c r="X299" t="b">
        <v>0</v>
      </c>
      <c r="Y299" t="s">
        <v>2224</v>
      </c>
      <c r="Z299" s="667"/>
    </row>
    <row r="300" spans="1:26" ht="14.45" customHeight="1">
      <c r="A300">
        <v>525</v>
      </c>
      <c r="B300" t="s">
        <v>2530</v>
      </c>
      <c r="C300" t="s">
        <v>2531</v>
      </c>
      <c r="D300" t="s">
        <v>2003</v>
      </c>
      <c r="E300" s="7">
        <v>45559</v>
      </c>
      <c r="F300">
        <v>8</v>
      </c>
      <c r="G300">
        <f t="shared" si="4"/>
        <v>0.20319999999999999</v>
      </c>
      <c r="H300" t="s">
        <v>1804</v>
      </c>
      <c r="J300" t="s">
        <v>2532</v>
      </c>
      <c r="K300" t="s">
        <v>2533</v>
      </c>
      <c r="M300" t="b">
        <v>1</v>
      </c>
      <c r="N300" s="7">
        <v>45637</v>
      </c>
      <c r="O300" t="s">
        <v>2534</v>
      </c>
      <c r="P300">
        <v>35.309917509999998</v>
      </c>
      <c r="Q300">
        <v>-120.66117010000001</v>
      </c>
      <c r="R300" t="s">
        <v>1808</v>
      </c>
      <c r="S300">
        <v>19542</v>
      </c>
      <c r="T300" t="s">
        <v>1809</v>
      </c>
      <c r="U300" t="s">
        <v>2535</v>
      </c>
      <c r="V300">
        <v>497</v>
      </c>
      <c r="W300" t="s">
        <v>2496</v>
      </c>
      <c r="X300" t="b">
        <v>0</v>
      </c>
      <c r="Y300" t="s">
        <v>2224</v>
      </c>
      <c r="Z300" s="6"/>
    </row>
    <row r="301" spans="1:26" ht="14.45" customHeight="1">
      <c r="A301">
        <v>562</v>
      </c>
      <c r="B301" t="s">
        <v>2263</v>
      </c>
      <c r="C301" t="s">
        <v>2264</v>
      </c>
      <c r="D301" t="s">
        <v>1989</v>
      </c>
      <c r="E301" s="7">
        <v>45559</v>
      </c>
      <c r="F301"/>
      <c r="G301">
        <f t="shared" si="4"/>
        <v>0</v>
      </c>
      <c r="J301" t="s">
        <v>2265</v>
      </c>
      <c r="K301" t="s">
        <v>2536</v>
      </c>
      <c r="M301" t="b">
        <v>0</v>
      </c>
      <c r="N301" s="7">
        <v>45614</v>
      </c>
      <c r="O301" t="s">
        <v>2267</v>
      </c>
      <c r="P301">
        <v>35.30990671</v>
      </c>
      <c r="Q301">
        <v>-120.66108989999999</v>
      </c>
      <c r="R301" t="s">
        <v>1808</v>
      </c>
      <c r="S301">
        <v>19548</v>
      </c>
      <c r="T301" t="s">
        <v>1809</v>
      </c>
      <c r="U301" t="s">
        <v>2537</v>
      </c>
      <c r="V301">
        <v>502</v>
      </c>
      <c r="W301" t="s">
        <v>2496</v>
      </c>
      <c r="X301" t="b">
        <v>0</v>
      </c>
      <c r="Y301" t="s">
        <v>2224</v>
      </c>
      <c r="Z301" s="6"/>
    </row>
    <row r="302" spans="1:26" ht="14.45" customHeight="1">
      <c r="A302">
        <v>299</v>
      </c>
      <c r="B302" t="s">
        <v>2001</v>
      </c>
      <c r="C302" t="s">
        <v>2002</v>
      </c>
      <c r="D302" t="s">
        <v>2003</v>
      </c>
      <c r="E302" s="7">
        <v>45559</v>
      </c>
      <c r="F302">
        <v>5</v>
      </c>
      <c r="G302">
        <f t="shared" si="4"/>
        <v>0.127</v>
      </c>
      <c r="H302" t="s">
        <v>1814</v>
      </c>
      <c r="I302" t="s">
        <v>2004</v>
      </c>
      <c r="J302" t="s">
        <v>2005</v>
      </c>
      <c r="K302" t="s">
        <v>2538</v>
      </c>
      <c r="M302" t="b">
        <v>1</v>
      </c>
      <c r="N302" s="7">
        <v>45637</v>
      </c>
      <c r="O302" t="s">
        <v>2007</v>
      </c>
      <c r="P302">
        <v>35.310027009999999</v>
      </c>
      <c r="Q302">
        <v>-120.6632589</v>
      </c>
      <c r="R302" t="s">
        <v>1808</v>
      </c>
      <c r="S302">
        <v>19564</v>
      </c>
      <c r="T302" t="s">
        <v>1809</v>
      </c>
      <c r="U302" t="s">
        <v>2539</v>
      </c>
      <c r="V302">
        <v>515</v>
      </c>
      <c r="W302" t="s">
        <v>2419</v>
      </c>
      <c r="X302" t="b">
        <v>0</v>
      </c>
      <c r="Y302" t="s">
        <v>2008</v>
      </c>
      <c r="Z302" s="667"/>
    </row>
    <row r="303" spans="1:26" ht="14.45" customHeight="1">
      <c r="A303">
        <v>337</v>
      </c>
      <c r="B303" t="s">
        <v>2439</v>
      </c>
      <c r="C303" t="s">
        <v>2440</v>
      </c>
      <c r="D303" t="s">
        <v>1826</v>
      </c>
      <c r="E303" s="7">
        <v>45559</v>
      </c>
      <c r="F303">
        <v>8</v>
      </c>
      <c r="G303">
        <f t="shared" si="4"/>
        <v>0.20319999999999999</v>
      </c>
      <c r="H303" t="s">
        <v>1804</v>
      </c>
      <c r="I303" t="s">
        <v>1971</v>
      </c>
      <c r="J303" t="s">
        <v>2380</v>
      </c>
      <c r="K303" t="s">
        <v>2540</v>
      </c>
      <c r="M303" t="b">
        <v>1</v>
      </c>
      <c r="N303" s="7">
        <v>45572</v>
      </c>
      <c r="O303" t="s">
        <v>2442</v>
      </c>
      <c r="P303">
        <v>35.310033660000002</v>
      </c>
      <c r="Q303">
        <v>-120.6632134</v>
      </c>
      <c r="R303" t="s">
        <v>1808</v>
      </c>
      <c r="S303">
        <v>19560</v>
      </c>
      <c r="T303" t="s">
        <v>1809</v>
      </c>
      <c r="U303" t="s">
        <v>2443</v>
      </c>
      <c r="V303">
        <v>511</v>
      </c>
      <c r="W303" t="s">
        <v>2419</v>
      </c>
      <c r="X303" t="b">
        <v>0</v>
      </c>
      <c r="Y303" t="s">
        <v>2008</v>
      </c>
      <c r="Z303" s="667"/>
    </row>
    <row r="304" spans="1:26" ht="14.45" customHeight="1">
      <c r="A304">
        <v>338</v>
      </c>
      <c r="B304" t="s">
        <v>2439</v>
      </c>
      <c r="C304" t="s">
        <v>2440</v>
      </c>
      <c r="D304" t="s">
        <v>2003</v>
      </c>
      <c r="E304" s="7">
        <v>45559</v>
      </c>
      <c r="F304">
        <v>9</v>
      </c>
      <c r="G304">
        <f t="shared" si="4"/>
        <v>0.2286</v>
      </c>
      <c r="H304" t="s">
        <v>1804</v>
      </c>
      <c r="I304" t="s">
        <v>1971</v>
      </c>
      <c r="J304" t="s">
        <v>2380</v>
      </c>
      <c r="K304" t="s">
        <v>2541</v>
      </c>
      <c r="M304" t="b">
        <v>1</v>
      </c>
      <c r="N304" s="7">
        <v>45572</v>
      </c>
      <c r="O304" t="s">
        <v>2442</v>
      </c>
      <c r="P304">
        <v>35.31004351</v>
      </c>
      <c r="Q304">
        <v>-120.6631745</v>
      </c>
      <c r="R304" t="s">
        <v>1808</v>
      </c>
      <c r="S304">
        <v>19563</v>
      </c>
      <c r="T304" t="s">
        <v>1809</v>
      </c>
      <c r="U304" t="s">
        <v>2443</v>
      </c>
      <c r="V304">
        <v>514</v>
      </c>
      <c r="W304" t="s">
        <v>2419</v>
      </c>
      <c r="X304" t="b">
        <v>0</v>
      </c>
      <c r="Y304" t="s">
        <v>2008</v>
      </c>
      <c r="Z304" s="667"/>
    </row>
    <row r="305" spans="1:26" ht="14.45" customHeight="1">
      <c r="A305">
        <v>223</v>
      </c>
      <c r="B305" t="s">
        <v>1624</v>
      </c>
      <c r="C305" t="s">
        <v>2072</v>
      </c>
      <c r="D305" t="s">
        <v>1826</v>
      </c>
      <c r="E305" s="7">
        <v>45559</v>
      </c>
      <c r="F305">
        <v>37</v>
      </c>
      <c r="G305">
        <f t="shared" si="4"/>
        <v>0.93979999999999997</v>
      </c>
      <c r="H305" t="s">
        <v>1881</v>
      </c>
      <c r="I305" t="s">
        <v>1982</v>
      </c>
      <c r="J305" t="s">
        <v>1983</v>
      </c>
      <c r="K305" t="s">
        <v>2542</v>
      </c>
      <c r="M305" t="b">
        <v>1</v>
      </c>
      <c r="N305" s="7">
        <v>45602</v>
      </c>
      <c r="O305" t="s">
        <v>2074</v>
      </c>
      <c r="P305">
        <v>35.309790700000001</v>
      </c>
      <c r="Q305">
        <v>-120.6632855</v>
      </c>
      <c r="R305" t="s">
        <v>1808</v>
      </c>
      <c r="S305">
        <v>19536</v>
      </c>
      <c r="T305" t="s">
        <v>1809</v>
      </c>
      <c r="U305" t="s">
        <v>2386</v>
      </c>
      <c r="V305">
        <v>491</v>
      </c>
      <c r="W305" t="s">
        <v>2387</v>
      </c>
      <c r="X305" t="b">
        <v>0</v>
      </c>
      <c r="Y305" t="s">
        <v>2008</v>
      </c>
      <c r="Z305" s="667"/>
    </row>
    <row r="306" spans="1:26" ht="14.45" customHeight="1">
      <c r="A306">
        <v>556</v>
      </c>
      <c r="B306" t="s">
        <v>1876</v>
      </c>
      <c r="C306" t="s">
        <v>1877</v>
      </c>
      <c r="D306" t="s">
        <v>2003</v>
      </c>
      <c r="E306" s="7">
        <v>45559</v>
      </c>
      <c r="F306">
        <v>10</v>
      </c>
      <c r="G306">
        <f t="shared" si="4"/>
        <v>0.254</v>
      </c>
      <c r="H306" t="s">
        <v>1804</v>
      </c>
      <c r="I306" t="s">
        <v>1815</v>
      </c>
      <c r="J306" t="s">
        <v>1821</v>
      </c>
      <c r="K306" t="s">
        <v>2543</v>
      </c>
      <c r="M306" t="b">
        <v>1</v>
      </c>
      <c r="N306" s="7">
        <v>45923</v>
      </c>
      <c r="O306" t="s">
        <v>1181</v>
      </c>
      <c r="P306">
        <v>35.309812600000001</v>
      </c>
      <c r="Q306">
        <v>-120.6629769</v>
      </c>
      <c r="R306" t="s">
        <v>1808</v>
      </c>
      <c r="S306">
        <v>27424</v>
      </c>
      <c r="T306" t="s">
        <v>1809</v>
      </c>
      <c r="U306" t="s">
        <v>2486</v>
      </c>
      <c r="V306">
        <v>746</v>
      </c>
      <c r="W306" t="s">
        <v>1870</v>
      </c>
      <c r="X306" t="b">
        <v>0</v>
      </c>
      <c r="Y306" t="s">
        <v>2008</v>
      </c>
      <c r="Z306" s="667"/>
    </row>
    <row r="307" spans="1:26" ht="14.45" customHeight="1">
      <c r="A307">
        <v>345</v>
      </c>
      <c r="B307" t="s">
        <v>1987</v>
      </c>
      <c r="C307" t="s">
        <v>1988</v>
      </c>
      <c r="D307" t="s">
        <v>2003</v>
      </c>
      <c r="E307" s="7">
        <v>45559</v>
      </c>
      <c r="F307">
        <v>3</v>
      </c>
      <c r="G307">
        <f t="shared" si="4"/>
        <v>7.619999999999999E-2</v>
      </c>
      <c r="H307" t="s">
        <v>1814</v>
      </c>
      <c r="I307" t="s">
        <v>1990</v>
      </c>
      <c r="J307" t="s">
        <v>1991</v>
      </c>
      <c r="K307" t="s">
        <v>2544</v>
      </c>
      <c r="M307" t="b">
        <v>1</v>
      </c>
      <c r="N307" s="7">
        <v>45923</v>
      </c>
      <c r="O307" t="s">
        <v>1993</v>
      </c>
      <c r="P307">
        <v>35.309853310000001</v>
      </c>
      <c r="Q307">
        <v>-120.6631979</v>
      </c>
      <c r="R307" t="s">
        <v>1808</v>
      </c>
      <c r="S307">
        <v>19538</v>
      </c>
      <c r="T307" t="s">
        <v>1809</v>
      </c>
      <c r="U307" t="s">
        <v>2545</v>
      </c>
      <c r="V307">
        <v>493</v>
      </c>
      <c r="W307" t="s">
        <v>2387</v>
      </c>
      <c r="X307" t="b">
        <v>0</v>
      </c>
      <c r="Y307" t="s">
        <v>2008</v>
      </c>
      <c r="Z307" s="667"/>
    </row>
    <row r="308" spans="1:26" ht="14.45" customHeight="1">
      <c r="A308">
        <v>12</v>
      </c>
      <c r="B308" t="s">
        <v>2546</v>
      </c>
      <c r="C308" t="s">
        <v>2547</v>
      </c>
      <c r="D308" t="s">
        <v>1826</v>
      </c>
      <c r="E308" s="7">
        <v>45559</v>
      </c>
      <c r="F308">
        <v>20</v>
      </c>
      <c r="G308">
        <f t="shared" si="4"/>
        <v>0.50800000000000001</v>
      </c>
      <c r="H308" t="s">
        <v>1842</v>
      </c>
      <c r="J308" t="s">
        <v>2481</v>
      </c>
      <c r="K308" t="s">
        <v>2548</v>
      </c>
      <c r="M308" t="b">
        <v>1</v>
      </c>
      <c r="N308" s="7">
        <v>45923</v>
      </c>
      <c r="O308" t="s">
        <v>2549</v>
      </c>
      <c r="P308">
        <v>35.309865189999996</v>
      </c>
      <c r="Q308">
        <v>-120.6630412</v>
      </c>
      <c r="R308" t="s">
        <v>1808</v>
      </c>
      <c r="S308">
        <v>19528</v>
      </c>
      <c r="T308" t="s">
        <v>1809</v>
      </c>
      <c r="U308" t="s">
        <v>2550</v>
      </c>
      <c r="V308">
        <v>486</v>
      </c>
      <c r="W308" t="s">
        <v>2387</v>
      </c>
      <c r="X308" t="b">
        <v>0</v>
      </c>
      <c r="Y308" t="s">
        <v>2008</v>
      </c>
      <c r="Z308" s="667"/>
    </row>
    <row r="309" spans="1:26" ht="14.45" customHeight="1">
      <c r="A309">
        <v>108</v>
      </c>
      <c r="B309" t="s">
        <v>2310</v>
      </c>
      <c r="C309" t="s">
        <v>2311</v>
      </c>
      <c r="D309" t="s">
        <v>1826</v>
      </c>
      <c r="E309" s="7">
        <v>45559</v>
      </c>
      <c r="F309">
        <v>4</v>
      </c>
      <c r="G309">
        <f t="shared" si="4"/>
        <v>0.1016</v>
      </c>
      <c r="H309" t="s">
        <v>1814</v>
      </c>
      <c r="J309" t="s">
        <v>2312</v>
      </c>
      <c r="K309" t="s">
        <v>2551</v>
      </c>
      <c r="M309" t="b">
        <v>1</v>
      </c>
      <c r="N309" s="7">
        <v>45923</v>
      </c>
      <c r="O309" t="s">
        <v>2314</v>
      </c>
      <c r="P309">
        <v>35.309864240000003</v>
      </c>
      <c r="Q309">
        <v>-120.66315419999999</v>
      </c>
      <c r="R309" t="s">
        <v>1808</v>
      </c>
      <c r="S309">
        <v>19543</v>
      </c>
      <c r="T309" t="s">
        <v>1809</v>
      </c>
      <c r="U309" t="s">
        <v>2315</v>
      </c>
      <c r="V309">
        <v>498</v>
      </c>
      <c r="W309" t="s">
        <v>2387</v>
      </c>
      <c r="X309" t="b">
        <v>0</v>
      </c>
      <c r="Y309" t="s">
        <v>2008</v>
      </c>
      <c r="Z309" s="667"/>
    </row>
    <row r="310" spans="1:26" ht="14.45" customHeight="1">
      <c r="A310">
        <v>268</v>
      </c>
      <c r="B310" t="s">
        <v>2552</v>
      </c>
      <c r="C310" t="s">
        <v>2553</v>
      </c>
      <c r="D310" t="s">
        <v>2003</v>
      </c>
      <c r="E310" s="7">
        <v>45559</v>
      </c>
      <c r="F310">
        <v>3</v>
      </c>
      <c r="G310">
        <f t="shared" si="4"/>
        <v>7.619999999999999E-2</v>
      </c>
      <c r="H310" t="s">
        <v>1814</v>
      </c>
      <c r="J310" t="s">
        <v>2265</v>
      </c>
      <c r="K310" t="s">
        <v>2554</v>
      </c>
      <c r="M310" t="b">
        <v>1</v>
      </c>
      <c r="N310" s="7">
        <v>45923</v>
      </c>
      <c r="O310" t="s">
        <v>2555</v>
      </c>
      <c r="P310">
        <v>35.309880939999999</v>
      </c>
      <c r="Q310">
        <v>-120.6631824</v>
      </c>
      <c r="R310" t="s">
        <v>1808</v>
      </c>
      <c r="S310">
        <v>19545</v>
      </c>
      <c r="T310" t="s">
        <v>1809</v>
      </c>
      <c r="U310" t="s">
        <v>2556</v>
      </c>
      <c r="V310">
        <v>500</v>
      </c>
      <c r="W310" t="s">
        <v>2387</v>
      </c>
      <c r="X310" t="b">
        <v>0</v>
      </c>
      <c r="Y310" t="s">
        <v>2008</v>
      </c>
      <c r="Z310" s="667"/>
    </row>
    <row r="311" spans="1:26" ht="14.45" customHeight="1">
      <c r="A311">
        <v>420</v>
      </c>
      <c r="B311" t="s">
        <v>2027</v>
      </c>
      <c r="C311" t="s">
        <v>2028</v>
      </c>
      <c r="D311" t="s">
        <v>1826</v>
      </c>
      <c r="E311" s="7">
        <v>45559</v>
      </c>
      <c r="F311">
        <v>1</v>
      </c>
      <c r="G311">
        <f t="shared" si="4"/>
        <v>2.5399999999999999E-2</v>
      </c>
      <c r="H311" t="s">
        <v>1838</v>
      </c>
      <c r="J311" t="s">
        <v>1983</v>
      </c>
      <c r="K311" t="s">
        <v>2557</v>
      </c>
      <c r="M311" t="b">
        <v>1</v>
      </c>
      <c r="N311" s="7">
        <v>45593</v>
      </c>
      <c r="O311" t="s">
        <v>2030</v>
      </c>
      <c r="P311">
        <v>35.310515979999998</v>
      </c>
      <c r="Q311">
        <v>-120.66189439999999</v>
      </c>
      <c r="R311" t="s">
        <v>1808</v>
      </c>
      <c r="S311">
        <v>19595</v>
      </c>
      <c r="T311" t="s">
        <v>1809</v>
      </c>
      <c r="U311" t="s">
        <v>2558</v>
      </c>
      <c r="V311">
        <v>543</v>
      </c>
      <c r="W311" t="s">
        <v>2387</v>
      </c>
      <c r="X311" t="b">
        <v>0</v>
      </c>
      <c r="Y311" t="s">
        <v>2055</v>
      </c>
      <c r="Z311" s="667"/>
    </row>
    <row r="312" spans="1:26" ht="14.45" customHeight="1">
      <c r="A312">
        <v>393</v>
      </c>
      <c r="B312" t="s">
        <v>2187</v>
      </c>
      <c r="C312" t="s">
        <v>2188</v>
      </c>
      <c r="D312" t="s">
        <v>2003</v>
      </c>
      <c r="E312" s="7">
        <v>45559</v>
      </c>
      <c r="F312">
        <v>18</v>
      </c>
      <c r="G312">
        <f t="shared" si="4"/>
        <v>0.4572</v>
      </c>
      <c r="H312" t="s">
        <v>1842</v>
      </c>
      <c r="I312" t="s">
        <v>2169</v>
      </c>
      <c r="J312" t="s">
        <v>2189</v>
      </c>
      <c r="K312" t="s">
        <v>2559</v>
      </c>
      <c r="M312" t="b">
        <v>1</v>
      </c>
      <c r="N312" s="7">
        <v>45923</v>
      </c>
      <c r="O312" t="s">
        <v>2191</v>
      </c>
      <c r="P312">
        <v>35.30958665</v>
      </c>
      <c r="Q312">
        <v>-120.6629521</v>
      </c>
      <c r="R312" t="s">
        <v>1808</v>
      </c>
      <c r="S312">
        <v>19539</v>
      </c>
      <c r="T312" t="s">
        <v>1809</v>
      </c>
      <c r="U312" t="s">
        <v>2560</v>
      </c>
      <c r="V312">
        <v>494</v>
      </c>
      <c r="W312" t="s">
        <v>2419</v>
      </c>
      <c r="X312" t="b">
        <v>0</v>
      </c>
      <c r="Y312" t="s">
        <v>2032</v>
      </c>
      <c r="Z312" s="667"/>
    </row>
    <row r="313" spans="1:26" ht="14.45" customHeight="1">
      <c r="A313">
        <v>186</v>
      </c>
      <c r="B313" t="s">
        <v>1624</v>
      </c>
      <c r="C313" t="s">
        <v>2072</v>
      </c>
      <c r="D313" t="s">
        <v>2003</v>
      </c>
      <c r="E313" s="7">
        <v>45559</v>
      </c>
      <c r="F313">
        <v>7</v>
      </c>
      <c r="G313">
        <f t="shared" si="4"/>
        <v>0.17779999999999999</v>
      </c>
      <c r="H313" t="s">
        <v>1804</v>
      </c>
      <c r="I313" t="s">
        <v>1982</v>
      </c>
      <c r="J313" t="s">
        <v>1983</v>
      </c>
      <c r="K313" t="s">
        <v>2561</v>
      </c>
      <c r="M313" t="b">
        <v>1</v>
      </c>
      <c r="N313" s="7">
        <v>45923</v>
      </c>
      <c r="O313" t="s">
        <v>2074</v>
      </c>
      <c r="P313">
        <v>35.309617690000003</v>
      </c>
      <c r="Q313">
        <v>-120.6629161</v>
      </c>
      <c r="R313" t="s">
        <v>1808</v>
      </c>
      <c r="S313">
        <v>19533</v>
      </c>
      <c r="T313" t="s">
        <v>1809</v>
      </c>
      <c r="U313" t="s">
        <v>2386</v>
      </c>
      <c r="V313">
        <v>489</v>
      </c>
      <c r="W313" t="s">
        <v>2419</v>
      </c>
      <c r="X313" t="b">
        <v>0</v>
      </c>
      <c r="Y313" t="s">
        <v>2032</v>
      </c>
      <c r="Z313" s="667"/>
    </row>
    <row r="314" spans="1:26" ht="14.45" customHeight="1">
      <c r="A314">
        <v>553</v>
      </c>
      <c r="B314" t="s">
        <v>1876</v>
      </c>
      <c r="C314" t="s">
        <v>1877</v>
      </c>
      <c r="D314" t="s">
        <v>2003</v>
      </c>
      <c r="E314" s="7">
        <v>45559</v>
      </c>
      <c r="F314">
        <v>6</v>
      </c>
      <c r="G314">
        <f t="shared" si="4"/>
        <v>0.15239999999999998</v>
      </c>
      <c r="H314" t="s">
        <v>1804</v>
      </c>
      <c r="I314" t="s">
        <v>1815</v>
      </c>
      <c r="J314" t="s">
        <v>1821</v>
      </c>
      <c r="K314" t="s">
        <v>2562</v>
      </c>
      <c r="M314" t="b">
        <v>1</v>
      </c>
      <c r="N314" s="7">
        <v>45572</v>
      </c>
      <c r="O314" t="s">
        <v>1181</v>
      </c>
      <c r="P314">
        <v>35.309687089999997</v>
      </c>
      <c r="Q314">
        <v>-120.6628712</v>
      </c>
      <c r="R314" t="s">
        <v>1808</v>
      </c>
      <c r="S314">
        <v>19527</v>
      </c>
      <c r="T314" t="s">
        <v>1809</v>
      </c>
      <c r="U314" t="s">
        <v>2486</v>
      </c>
      <c r="V314">
        <v>485</v>
      </c>
      <c r="W314" t="s">
        <v>2419</v>
      </c>
      <c r="X314" t="b">
        <v>0</v>
      </c>
      <c r="Y314" t="s">
        <v>2032</v>
      </c>
      <c r="Z314" s="667"/>
    </row>
    <row r="315" spans="1:26" ht="14.45" customHeight="1">
      <c r="A315">
        <v>557</v>
      </c>
      <c r="B315" t="s">
        <v>1876</v>
      </c>
      <c r="C315" t="s">
        <v>1877</v>
      </c>
      <c r="D315" t="s">
        <v>2003</v>
      </c>
      <c r="E315" s="7">
        <v>45559</v>
      </c>
      <c r="F315">
        <v>10</v>
      </c>
      <c r="G315">
        <f t="shared" si="4"/>
        <v>0.254</v>
      </c>
      <c r="H315" t="s">
        <v>1804</v>
      </c>
      <c r="I315" t="s">
        <v>1815</v>
      </c>
      <c r="J315" t="s">
        <v>1821</v>
      </c>
      <c r="K315" t="s">
        <v>2563</v>
      </c>
      <c r="M315" t="b">
        <v>1</v>
      </c>
      <c r="N315" s="7">
        <v>45923</v>
      </c>
      <c r="O315" t="s">
        <v>1181</v>
      </c>
      <c r="P315">
        <v>35.309672829999997</v>
      </c>
      <c r="Q315">
        <v>-120.66288400000001</v>
      </c>
      <c r="R315" t="s">
        <v>1808</v>
      </c>
      <c r="S315">
        <v>19529</v>
      </c>
      <c r="T315" t="s">
        <v>1809</v>
      </c>
      <c r="U315" t="s">
        <v>2486</v>
      </c>
      <c r="V315">
        <v>487</v>
      </c>
      <c r="W315" t="s">
        <v>2419</v>
      </c>
      <c r="X315" t="b">
        <v>0</v>
      </c>
      <c r="Y315" t="s">
        <v>2032</v>
      </c>
      <c r="Z315" s="667"/>
    </row>
    <row r="316" spans="1:26" ht="14.45" customHeight="1">
      <c r="A316">
        <v>558</v>
      </c>
      <c r="B316" t="s">
        <v>1876</v>
      </c>
      <c r="C316" t="s">
        <v>1877</v>
      </c>
      <c r="D316" t="s">
        <v>2003</v>
      </c>
      <c r="E316" s="7">
        <v>45559</v>
      </c>
      <c r="F316">
        <v>11</v>
      </c>
      <c r="G316">
        <f t="shared" si="4"/>
        <v>0.27939999999999998</v>
      </c>
      <c r="H316" t="s">
        <v>1804</v>
      </c>
      <c r="I316" t="s">
        <v>1815</v>
      </c>
      <c r="J316" t="s">
        <v>1821</v>
      </c>
      <c r="K316" t="s">
        <v>2564</v>
      </c>
      <c r="M316" t="b">
        <v>1</v>
      </c>
      <c r="N316" s="7">
        <v>45572</v>
      </c>
      <c r="O316" t="s">
        <v>1181</v>
      </c>
      <c r="P316">
        <v>35.309684150000002</v>
      </c>
      <c r="Q316">
        <v>-120.6629093</v>
      </c>
      <c r="R316" t="s">
        <v>1808</v>
      </c>
      <c r="S316">
        <v>19522</v>
      </c>
      <c r="T316" t="s">
        <v>1809</v>
      </c>
      <c r="U316" t="s">
        <v>2486</v>
      </c>
      <c r="V316">
        <v>482</v>
      </c>
      <c r="W316" t="s">
        <v>2419</v>
      </c>
      <c r="X316" t="b">
        <v>0</v>
      </c>
      <c r="Y316" t="s">
        <v>2032</v>
      </c>
      <c r="Z316" s="667"/>
    </row>
    <row r="317" spans="1:26" ht="14.45" customHeight="1">
      <c r="A317">
        <v>20</v>
      </c>
      <c r="B317" t="s">
        <v>2565</v>
      </c>
      <c r="C317" t="s">
        <v>2566</v>
      </c>
      <c r="D317" t="s">
        <v>2003</v>
      </c>
      <c r="E317" s="7">
        <v>45559</v>
      </c>
      <c r="F317">
        <v>21</v>
      </c>
      <c r="G317">
        <f t="shared" si="4"/>
        <v>0.53339999999999999</v>
      </c>
      <c r="H317" t="s">
        <v>1842</v>
      </c>
      <c r="I317" t="s">
        <v>2567</v>
      </c>
      <c r="J317" t="s">
        <v>2568</v>
      </c>
      <c r="K317" t="s">
        <v>2569</v>
      </c>
      <c r="M317" t="b">
        <v>1</v>
      </c>
      <c r="N317" s="7">
        <v>45923</v>
      </c>
      <c r="O317" t="s">
        <v>2570</v>
      </c>
      <c r="P317">
        <v>35.309652389999997</v>
      </c>
      <c r="Q317">
        <v>-120.6628786</v>
      </c>
      <c r="R317" t="s">
        <v>1808</v>
      </c>
      <c r="S317">
        <v>19516</v>
      </c>
      <c r="T317" t="s">
        <v>1809</v>
      </c>
      <c r="U317" t="s">
        <v>2571</v>
      </c>
      <c r="V317">
        <v>480</v>
      </c>
      <c r="W317" t="s">
        <v>2419</v>
      </c>
      <c r="X317" t="b">
        <v>0</v>
      </c>
      <c r="Y317" t="s">
        <v>2032</v>
      </c>
      <c r="Z317" s="6"/>
    </row>
    <row r="318" spans="1:26" ht="14.45" customHeight="1">
      <c r="A318">
        <v>136</v>
      </c>
      <c r="B318" t="s">
        <v>2317</v>
      </c>
      <c r="C318" t="s">
        <v>2318</v>
      </c>
      <c r="D318" t="s">
        <v>2003</v>
      </c>
      <c r="E318" s="7">
        <v>45559</v>
      </c>
      <c r="F318"/>
      <c r="G318">
        <f t="shared" si="4"/>
        <v>0</v>
      </c>
      <c r="J318" t="s">
        <v>2229</v>
      </c>
      <c r="K318" t="s">
        <v>2572</v>
      </c>
      <c r="M318" t="b">
        <v>0</v>
      </c>
      <c r="N318" s="7">
        <v>45572</v>
      </c>
      <c r="O318" t="s">
        <v>2320</v>
      </c>
      <c r="P318">
        <v>35.309625349999997</v>
      </c>
      <c r="Q318">
        <v>-120.66290050000001</v>
      </c>
      <c r="R318" t="s">
        <v>1808</v>
      </c>
      <c r="S318">
        <v>19530</v>
      </c>
      <c r="T318" t="s">
        <v>1809</v>
      </c>
      <c r="U318" t="s">
        <v>2321</v>
      </c>
      <c r="V318">
        <v>488</v>
      </c>
      <c r="W318" t="s">
        <v>2419</v>
      </c>
      <c r="X318" t="b">
        <v>0</v>
      </c>
      <c r="Y318" t="s">
        <v>2032</v>
      </c>
      <c r="Z318" s="667"/>
    </row>
    <row r="319" spans="1:26" ht="14.45" customHeight="1">
      <c r="A319">
        <v>281</v>
      </c>
      <c r="B319" t="s">
        <v>2573</v>
      </c>
      <c r="C319" t="s">
        <v>2574</v>
      </c>
      <c r="D319" t="s">
        <v>1826</v>
      </c>
      <c r="E319" s="7">
        <v>45559</v>
      </c>
      <c r="F319">
        <v>10</v>
      </c>
      <c r="G319">
        <f t="shared" si="4"/>
        <v>0.254</v>
      </c>
      <c r="H319" t="s">
        <v>1804</v>
      </c>
      <c r="J319" t="s">
        <v>2575</v>
      </c>
      <c r="K319" t="s">
        <v>2576</v>
      </c>
      <c r="M319" t="b">
        <v>0</v>
      </c>
      <c r="N319" s="7">
        <v>45923</v>
      </c>
      <c r="O319" t="s">
        <v>2577</v>
      </c>
      <c r="P319">
        <v>35.309437189999997</v>
      </c>
      <c r="Q319">
        <v>-120.6627024</v>
      </c>
      <c r="R319" t="s">
        <v>1808</v>
      </c>
      <c r="S319">
        <v>19549</v>
      </c>
      <c r="T319" t="s">
        <v>1809</v>
      </c>
      <c r="U319" t="s">
        <v>2578</v>
      </c>
      <c r="V319">
        <v>503</v>
      </c>
      <c r="W319" t="s">
        <v>2419</v>
      </c>
      <c r="X319" t="b">
        <v>0</v>
      </c>
      <c r="Y319" t="s">
        <v>2032</v>
      </c>
      <c r="Z319" s="667"/>
    </row>
    <row r="320" spans="1:26" ht="14.45" customHeight="1">
      <c r="A320">
        <v>282</v>
      </c>
      <c r="B320" t="s">
        <v>2573</v>
      </c>
      <c r="C320" t="s">
        <v>2574</v>
      </c>
      <c r="D320" t="s">
        <v>1826</v>
      </c>
      <c r="E320" s="7">
        <v>45559</v>
      </c>
      <c r="F320">
        <v>10</v>
      </c>
      <c r="G320">
        <f t="shared" si="4"/>
        <v>0.254</v>
      </c>
      <c r="H320" t="s">
        <v>1804</v>
      </c>
      <c r="J320" t="s">
        <v>2575</v>
      </c>
      <c r="K320" t="s">
        <v>2579</v>
      </c>
      <c r="M320" t="b">
        <v>0</v>
      </c>
      <c r="N320" s="7">
        <v>45923</v>
      </c>
      <c r="O320" t="s">
        <v>2577</v>
      </c>
      <c r="P320">
        <v>35.309468889999998</v>
      </c>
      <c r="Q320">
        <v>-120.662735</v>
      </c>
      <c r="R320" t="s">
        <v>1808</v>
      </c>
      <c r="S320">
        <v>19541</v>
      </c>
      <c r="T320" t="s">
        <v>1809</v>
      </c>
      <c r="U320" t="s">
        <v>2578</v>
      </c>
      <c r="V320">
        <v>496</v>
      </c>
      <c r="W320" t="s">
        <v>2419</v>
      </c>
      <c r="X320" t="b">
        <v>0</v>
      </c>
      <c r="Y320" t="s">
        <v>2032</v>
      </c>
      <c r="Z320" s="667"/>
    </row>
    <row r="321" spans="1:26" ht="14.45" customHeight="1">
      <c r="A321">
        <v>283</v>
      </c>
      <c r="B321" t="s">
        <v>2573</v>
      </c>
      <c r="C321" t="s">
        <v>2574</v>
      </c>
      <c r="D321" t="s">
        <v>1826</v>
      </c>
      <c r="E321" s="7">
        <v>45559</v>
      </c>
      <c r="F321">
        <v>11</v>
      </c>
      <c r="G321">
        <f t="shared" si="4"/>
        <v>0.27939999999999998</v>
      </c>
      <c r="H321" t="s">
        <v>1804</v>
      </c>
      <c r="J321" t="s">
        <v>2575</v>
      </c>
      <c r="K321" t="s">
        <v>2580</v>
      </c>
      <c r="M321" t="b">
        <v>0</v>
      </c>
      <c r="N321" s="7">
        <v>45923</v>
      </c>
      <c r="O321" t="s">
        <v>2577</v>
      </c>
      <c r="P321">
        <v>35.309446530000002</v>
      </c>
      <c r="Q321">
        <v>-120.6626468</v>
      </c>
      <c r="R321" t="s">
        <v>1808</v>
      </c>
      <c r="S321">
        <v>19550</v>
      </c>
      <c r="T321" t="s">
        <v>1809</v>
      </c>
      <c r="U321" t="s">
        <v>2578</v>
      </c>
      <c r="V321">
        <v>504</v>
      </c>
      <c r="W321" t="s">
        <v>2419</v>
      </c>
      <c r="X321" t="b">
        <v>0</v>
      </c>
      <c r="Y321" t="s">
        <v>2032</v>
      </c>
      <c r="Z321" s="667"/>
    </row>
    <row r="322" spans="1:26" ht="14.45" customHeight="1">
      <c r="A322">
        <v>421</v>
      </c>
      <c r="B322" t="s">
        <v>2027</v>
      </c>
      <c r="C322" t="s">
        <v>2028</v>
      </c>
      <c r="D322" t="s">
        <v>1826</v>
      </c>
      <c r="E322" s="7">
        <v>45559</v>
      </c>
      <c r="F322">
        <v>1</v>
      </c>
      <c r="G322">
        <f t="shared" si="4"/>
        <v>2.5399999999999999E-2</v>
      </c>
      <c r="H322" t="s">
        <v>1838</v>
      </c>
      <c r="J322" t="s">
        <v>1983</v>
      </c>
      <c r="K322" t="s">
        <v>2581</v>
      </c>
      <c r="M322" t="b">
        <v>1</v>
      </c>
      <c r="N322" s="7">
        <v>45573</v>
      </c>
      <c r="O322" t="s">
        <v>2030</v>
      </c>
      <c r="P322">
        <v>35.309553780000002</v>
      </c>
      <c r="Q322">
        <v>-120.66251800000001</v>
      </c>
      <c r="R322" t="s">
        <v>1808</v>
      </c>
      <c r="S322">
        <v>19553</v>
      </c>
      <c r="T322" t="s">
        <v>1809</v>
      </c>
      <c r="U322" t="s">
        <v>2031</v>
      </c>
      <c r="V322">
        <v>507</v>
      </c>
      <c r="W322" t="s">
        <v>2419</v>
      </c>
      <c r="X322" t="b">
        <v>0</v>
      </c>
      <c r="Y322" t="s">
        <v>2032</v>
      </c>
      <c r="Z322" s="6"/>
    </row>
    <row r="323" spans="1:26" ht="14.45" customHeight="1">
      <c r="A323">
        <v>423</v>
      </c>
      <c r="B323" t="s">
        <v>2027</v>
      </c>
      <c r="C323" t="s">
        <v>2028</v>
      </c>
      <c r="D323" t="s">
        <v>2003</v>
      </c>
      <c r="E323" s="7">
        <v>45559</v>
      </c>
      <c r="F323">
        <v>2</v>
      </c>
      <c r="G323">
        <f t="shared" ref="G323:G386" si="5">F323*0.0254</f>
        <v>5.0799999999999998E-2</v>
      </c>
      <c r="H323" t="s">
        <v>1838</v>
      </c>
      <c r="J323" t="s">
        <v>1983</v>
      </c>
      <c r="K323" t="s">
        <v>2582</v>
      </c>
      <c r="M323" t="b">
        <v>1</v>
      </c>
      <c r="N323" s="7">
        <v>45923</v>
      </c>
      <c r="O323" t="s">
        <v>2030</v>
      </c>
      <c r="P323">
        <v>35.309526419999997</v>
      </c>
      <c r="Q323">
        <v>-120.66259719999999</v>
      </c>
      <c r="R323" t="s">
        <v>1808</v>
      </c>
      <c r="S323">
        <v>19551</v>
      </c>
      <c r="T323" t="s">
        <v>1809</v>
      </c>
      <c r="U323" t="s">
        <v>2031</v>
      </c>
      <c r="V323">
        <v>505</v>
      </c>
      <c r="W323" t="s">
        <v>2419</v>
      </c>
      <c r="X323" t="b">
        <v>0</v>
      </c>
      <c r="Y323" t="s">
        <v>2032</v>
      </c>
      <c r="Z323" s="6"/>
    </row>
    <row r="324" spans="1:26" ht="14.45" customHeight="1">
      <c r="A324">
        <v>101</v>
      </c>
      <c r="B324" t="s">
        <v>2583</v>
      </c>
      <c r="C324" t="s">
        <v>2584</v>
      </c>
      <c r="D324" t="s">
        <v>2003</v>
      </c>
      <c r="E324" s="7">
        <v>45559</v>
      </c>
      <c r="F324">
        <v>24</v>
      </c>
      <c r="G324">
        <f t="shared" si="5"/>
        <v>0.60959999999999992</v>
      </c>
      <c r="H324" t="s">
        <v>1866</v>
      </c>
      <c r="I324" t="s">
        <v>2169</v>
      </c>
      <c r="J324" t="s">
        <v>2585</v>
      </c>
      <c r="K324" t="s">
        <v>2586</v>
      </c>
      <c r="M324" t="b">
        <v>1</v>
      </c>
      <c r="N324" s="7">
        <v>45637</v>
      </c>
      <c r="O324" t="s">
        <v>2587</v>
      </c>
      <c r="P324">
        <v>35.310722470000002</v>
      </c>
      <c r="Q324">
        <v>-120.6623618</v>
      </c>
      <c r="R324" t="s">
        <v>1808</v>
      </c>
      <c r="S324">
        <v>19593</v>
      </c>
      <c r="T324" t="s">
        <v>1809</v>
      </c>
      <c r="U324" t="s">
        <v>2588</v>
      </c>
      <c r="V324">
        <v>541</v>
      </c>
      <c r="W324" t="s">
        <v>2387</v>
      </c>
      <c r="X324" t="b">
        <v>0</v>
      </c>
      <c r="Y324" t="s">
        <v>2101</v>
      </c>
      <c r="Z324" s="667"/>
    </row>
    <row r="325" spans="1:26" ht="14.45" customHeight="1">
      <c r="A325">
        <v>498</v>
      </c>
      <c r="B325" t="s">
        <v>2589</v>
      </c>
      <c r="C325" t="s">
        <v>2590</v>
      </c>
      <c r="D325" t="s">
        <v>1946</v>
      </c>
      <c r="E325" s="7">
        <v>45559</v>
      </c>
      <c r="F325">
        <v>12</v>
      </c>
      <c r="G325">
        <f t="shared" si="5"/>
        <v>0.30479999999999996</v>
      </c>
      <c r="H325" t="s">
        <v>1855</v>
      </c>
      <c r="J325" t="s">
        <v>2170</v>
      </c>
      <c r="K325" t="s">
        <v>2591</v>
      </c>
      <c r="M325" t="b">
        <v>1</v>
      </c>
      <c r="N325" s="7">
        <v>45604</v>
      </c>
      <c r="O325" t="s">
        <v>2592</v>
      </c>
      <c r="P325">
        <v>35.310686080000004</v>
      </c>
      <c r="Q325">
        <v>-120.6622362</v>
      </c>
      <c r="R325" t="s">
        <v>1808</v>
      </c>
      <c r="S325">
        <v>19594</v>
      </c>
      <c r="T325" t="s">
        <v>1809</v>
      </c>
      <c r="U325" t="s">
        <v>2593</v>
      </c>
      <c r="V325">
        <v>542</v>
      </c>
      <c r="W325" t="s">
        <v>2387</v>
      </c>
      <c r="X325" t="b">
        <v>0</v>
      </c>
      <c r="Y325" t="s">
        <v>2101</v>
      </c>
      <c r="Z325" s="667"/>
    </row>
    <row r="326" spans="1:26" ht="14.45" customHeight="1">
      <c r="A326">
        <v>302</v>
      </c>
      <c r="B326" t="s">
        <v>2120</v>
      </c>
      <c r="C326" t="s">
        <v>2121</v>
      </c>
      <c r="D326" t="s">
        <v>1989</v>
      </c>
      <c r="E326" s="7">
        <v>45559</v>
      </c>
      <c r="F326">
        <v>1</v>
      </c>
      <c r="G326">
        <f t="shared" si="5"/>
        <v>2.5399999999999999E-2</v>
      </c>
      <c r="H326" t="s">
        <v>1838</v>
      </c>
      <c r="I326" t="s">
        <v>2122</v>
      </c>
      <c r="J326" t="s">
        <v>2121</v>
      </c>
      <c r="K326" t="s">
        <v>2594</v>
      </c>
      <c r="M326" t="b">
        <v>1</v>
      </c>
      <c r="N326" s="7">
        <v>45603</v>
      </c>
      <c r="O326" t="s">
        <v>2124</v>
      </c>
      <c r="P326">
        <v>35.310858400000001</v>
      </c>
      <c r="Q326">
        <v>-120.6626256</v>
      </c>
      <c r="R326" t="s">
        <v>1808</v>
      </c>
      <c r="S326">
        <v>19556</v>
      </c>
      <c r="T326" t="s">
        <v>1809</v>
      </c>
      <c r="U326" t="s">
        <v>2125</v>
      </c>
      <c r="V326">
        <v>509</v>
      </c>
      <c r="W326" t="s">
        <v>2387</v>
      </c>
      <c r="X326" t="b">
        <v>0</v>
      </c>
      <c r="Y326" t="s">
        <v>2116</v>
      </c>
      <c r="Z326" s="667"/>
    </row>
    <row r="327" spans="1:26" ht="14.45" customHeight="1">
      <c r="A327">
        <v>119</v>
      </c>
      <c r="B327" t="s">
        <v>2595</v>
      </c>
      <c r="C327" t="s">
        <v>2596</v>
      </c>
      <c r="D327" t="s">
        <v>1946</v>
      </c>
      <c r="E327" s="7">
        <v>45559</v>
      </c>
      <c r="F327">
        <v>1</v>
      </c>
      <c r="G327">
        <f t="shared" si="5"/>
        <v>2.5399999999999999E-2</v>
      </c>
      <c r="H327" t="s">
        <v>1838</v>
      </c>
      <c r="I327" t="s">
        <v>1964</v>
      </c>
      <c r="J327" t="s">
        <v>2597</v>
      </c>
      <c r="K327" t="s">
        <v>2598</v>
      </c>
      <c r="M327" t="b">
        <v>1</v>
      </c>
      <c r="N327" s="7">
        <v>45637</v>
      </c>
      <c r="O327" t="s">
        <v>2599</v>
      </c>
      <c r="P327">
        <v>35.310244920000002</v>
      </c>
      <c r="Q327">
        <v>-120.66079860000001</v>
      </c>
      <c r="R327" t="s">
        <v>1808</v>
      </c>
      <c r="S327">
        <v>19562</v>
      </c>
      <c r="T327" t="s">
        <v>1809</v>
      </c>
      <c r="U327" t="s">
        <v>2600</v>
      </c>
      <c r="V327">
        <v>513</v>
      </c>
      <c r="W327" t="s">
        <v>2496</v>
      </c>
      <c r="X327" t="b">
        <v>0</v>
      </c>
      <c r="Y327" t="s">
        <v>2601</v>
      </c>
      <c r="Z327" s="667"/>
    </row>
    <row r="328" spans="1:26" ht="14.45" customHeight="1">
      <c r="A328">
        <v>563</v>
      </c>
      <c r="B328" t="s">
        <v>2602</v>
      </c>
      <c r="C328" t="s">
        <v>2603</v>
      </c>
      <c r="D328" t="s">
        <v>1946</v>
      </c>
      <c r="E328" s="7">
        <v>45559</v>
      </c>
      <c r="F328">
        <v>1</v>
      </c>
      <c r="G328">
        <f t="shared" si="5"/>
        <v>2.5399999999999999E-2</v>
      </c>
      <c r="H328" t="s">
        <v>1838</v>
      </c>
      <c r="I328" t="s">
        <v>2089</v>
      </c>
      <c r="J328" t="s">
        <v>2604</v>
      </c>
      <c r="K328" t="s">
        <v>2605</v>
      </c>
      <c r="M328" t="b">
        <v>1</v>
      </c>
      <c r="N328" s="7">
        <v>45590</v>
      </c>
      <c r="O328" t="s">
        <v>2606</v>
      </c>
      <c r="P328">
        <v>35.31041038</v>
      </c>
      <c r="Q328">
        <v>-120.6625366</v>
      </c>
      <c r="R328" t="s">
        <v>1808</v>
      </c>
      <c r="S328">
        <v>19565</v>
      </c>
      <c r="T328" t="s">
        <v>1809</v>
      </c>
      <c r="U328" t="s">
        <v>2607</v>
      </c>
      <c r="V328">
        <v>516</v>
      </c>
      <c r="W328" t="s">
        <v>2484</v>
      </c>
      <c r="X328" t="b">
        <v>0</v>
      </c>
      <c r="Y328" t="s">
        <v>2075</v>
      </c>
      <c r="Z328" s="667"/>
    </row>
    <row r="329" spans="1:26" ht="14.45" customHeight="1">
      <c r="A329">
        <v>564</v>
      </c>
      <c r="B329" t="s">
        <v>2602</v>
      </c>
      <c r="C329" t="s">
        <v>2603</v>
      </c>
      <c r="D329" t="s">
        <v>1946</v>
      </c>
      <c r="E329" s="7">
        <v>45559</v>
      </c>
      <c r="F329">
        <v>1</v>
      </c>
      <c r="G329">
        <f t="shared" si="5"/>
        <v>2.5399999999999999E-2</v>
      </c>
      <c r="H329" t="s">
        <v>1838</v>
      </c>
      <c r="I329" t="s">
        <v>2089</v>
      </c>
      <c r="J329" t="s">
        <v>2604</v>
      </c>
      <c r="K329" t="s">
        <v>2608</v>
      </c>
      <c r="M329" t="b">
        <v>1</v>
      </c>
      <c r="N329" s="7">
        <v>45589</v>
      </c>
      <c r="O329" t="s">
        <v>2606</v>
      </c>
      <c r="P329">
        <v>35.31038977</v>
      </c>
      <c r="Q329">
        <v>-120.6624848</v>
      </c>
      <c r="R329" t="s">
        <v>1808</v>
      </c>
      <c r="S329">
        <v>19546</v>
      </c>
      <c r="T329" t="s">
        <v>1809</v>
      </c>
      <c r="U329" t="s">
        <v>2607</v>
      </c>
      <c r="V329">
        <v>501</v>
      </c>
      <c r="W329" t="s">
        <v>2484</v>
      </c>
      <c r="X329" t="b">
        <v>0</v>
      </c>
      <c r="Y329" t="s">
        <v>2075</v>
      </c>
      <c r="Z329" s="667"/>
    </row>
    <row r="330" spans="1:26" ht="14.45" customHeight="1">
      <c r="A330">
        <v>179</v>
      </c>
      <c r="B330" t="s">
        <v>1624</v>
      </c>
      <c r="C330" t="s">
        <v>2072</v>
      </c>
      <c r="D330" t="s">
        <v>2003</v>
      </c>
      <c r="E330" s="7">
        <v>45215</v>
      </c>
      <c r="F330">
        <v>3</v>
      </c>
      <c r="G330">
        <f t="shared" si="5"/>
        <v>7.619999999999999E-2</v>
      </c>
      <c r="H330" t="s">
        <v>1814</v>
      </c>
      <c r="I330" t="s">
        <v>1982</v>
      </c>
      <c r="J330" t="s">
        <v>1983</v>
      </c>
      <c r="K330" t="s">
        <v>2609</v>
      </c>
      <c r="M330" t="b">
        <v>1</v>
      </c>
      <c r="N330" s="7">
        <v>45610</v>
      </c>
      <c r="O330" t="s">
        <v>2074</v>
      </c>
      <c r="P330">
        <v>35.310283759999997</v>
      </c>
      <c r="Q330">
        <v>-120.66233320000001</v>
      </c>
      <c r="R330" t="s">
        <v>1808</v>
      </c>
      <c r="S330">
        <v>18618</v>
      </c>
      <c r="T330" t="s">
        <v>1809</v>
      </c>
      <c r="V330">
        <v>458</v>
      </c>
      <c r="W330" t="s">
        <v>2610</v>
      </c>
      <c r="X330" t="b">
        <v>0</v>
      </c>
      <c r="Y330" t="s">
        <v>2075</v>
      </c>
      <c r="Z330" s="667"/>
    </row>
    <row r="331" spans="1:26" ht="14.45" customHeight="1">
      <c r="A331">
        <v>187</v>
      </c>
      <c r="B331" t="s">
        <v>1624</v>
      </c>
      <c r="C331" t="s">
        <v>2072</v>
      </c>
      <c r="D331" t="s">
        <v>2003</v>
      </c>
      <c r="E331" s="7">
        <v>45215</v>
      </c>
      <c r="F331">
        <v>7</v>
      </c>
      <c r="G331">
        <f t="shared" si="5"/>
        <v>0.17779999999999999</v>
      </c>
      <c r="H331" t="s">
        <v>1804</v>
      </c>
      <c r="I331" t="s">
        <v>1982</v>
      </c>
      <c r="J331" t="s">
        <v>1983</v>
      </c>
      <c r="K331" t="s">
        <v>2611</v>
      </c>
      <c r="M331" t="b">
        <v>1</v>
      </c>
      <c r="N331" s="7">
        <v>45610</v>
      </c>
      <c r="O331" t="s">
        <v>2074</v>
      </c>
      <c r="P331">
        <v>35.310267340000003</v>
      </c>
      <c r="Q331">
        <v>-120.6623493</v>
      </c>
      <c r="R331" t="s">
        <v>1808</v>
      </c>
      <c r="S331">
        <v>18616</v>
      </c>
      <c r="T331" t="s">
        <v>1809</v>
      </c>
      <c r="U331" t="s">
        <v>2386</v>
      </c>
      <c r="V331">
        <v>456</v>
      </c>
      <c r="W331" t="s">
        <v>2610</v>
      </c>
      <c r="X331" t="b">
        <v>0</v>
      </c>
      <c r="Y331" t="s">
        <v>2075</v>
      </c>
      <c r="Z331" s="6"/>
    </row>
    <row r="332" spans="1:26" ht="14.45" customHeight="1">
      <c r="A332">
        <v>190</v>
      </c>
      <c r="B332" t="s">
        <v>1624</v>
      </c>
      <c r="C332" t="s">
        <v>2072</v>
      </c>
      <c r="D332" t="s">
        <v>2003</v>
      </c>
      <c r="E332" s="7">
        <v>45215</v>
      </c>
      <c r="F332">
        <v>8</v>
      </c>
      <c r="G332">
        <f t="shared" si="5"/>
        <v>0.20319999999999999</v>
      </c>
      <c r="H332" t="s">
        <v>1804</v>
      </c>
      <c r="I332" t="s">
        <v>1982</v>
      </c>
      <c r="J332" t="s">
        <v>1983</v>
      </c>
      <c r="K332" t="s">
        <v>2612</v>
      </c>
      <c r="M332" t="b">
        <v>1</v>
      </c>
      <c r="N332" s="7">
        <v>45637</v>
      </c>
      <c r="O332" t="s">
        <v>2074</v>
      </c>
      <c r="P332">
        <v>35.31026481</v>
      </c>
      <c r="Q332">
        <v>-120.662227</v>
      </c>
      <c r="R332" t="s">
        <v>1808</v>
      </c>
      <c r="S332">
        <v>18620</v>
      </c>
      <c r="T332" t="s">
        <v>1809</v>
      </c>
      <c r="U332" t="s">
        <v>2111</v>
      </c>
      <c r="V332">
        <v>460</v>
      </c>
      <c r="W332" t="s">
        <v>2610</v>
      </c>
      <c r="X332" t="b">
        <v>0</v>
      </c>
      <c r="Y332" t="s">
        <v>2075</v>
      </c>
      <c r="Z332" s="6"/>
    </row>
    <row r="333" spans="1:26" ht="14.45" customHeight="1">
      <c r="A333">
        <v>222</v>
      </c>
      <c r="B333" t="s">
        <v>1624</v>
      </c>
      <c r="C333" t="s">
        <v>2072</v>
      </c>
      <c r="D333" t="s">
        <v>1826</v>
      </c>
      <c r="E333" s="7">
        <v>45215</v>
      </c>
      <c r="F333">
        <v>32</v>
      </c>
      <c r="G333">
        <f t="shared" si="5"/>
        <v>0.81279999999999997</v>
      </c>
      <c r="H333" t="s">
        <v>1881</v>
      </c>
      <c r="I333" t="s">
        <v>1982</v>
      </c>
      <c r="J333" t="s">
        <v>1983</v>
      </c>
      <c r="K333" t="s">
        <v>2613</v>
      </c>
      <c r="M333" t="b">
        <v>1</v>
      </c>
      <c r="N333" s="7">
        <v>45637</v>
      </c>
      <c r="O333" t="s">
        <v>2074</v>
      </c>
      <c r="P333">
        <v>35.310283210000001</v>
      </c>
      <c r="Q333">
        <v>-120.66246599999999</v>
      </c>
      <c r="R333" t="s">
        <v>1808</v>
      </c>
      <c r="S333">
        <v>18613</v>
      </c>
      <c r="T333" t="s">
        <v>1809</v>
      </c>
      <c r="U333" t="s">
        <v>2614</v>
      </c>
      <c r="V333">
        <v>454</v>
      </c>
      <c r="W333" t="s">
        <v>2610</v>
      </c>
      <c r="X333" t="b">
        <v>0</v>
      </c>
      <c r="Y333" t="s">
        <v>2075</v>
      </c>
      <c r="Z333" s="6"/>
    </row>
    <row r="334" spans="1:26" ht="14.45" customHeight="1">
      <c r="A334">
        <v>271</v>
      </c>
      <c r="B334" t="s">
        <v>2290</v>
      </c>
      <c r="C334" t="s">
        <v>2291</v>
      </c>
      <c r="D334" t="s">
        <v>2003</v>
      </c>
      <c r="E334" s="7">
        <v>45215</v>
      </c>
      <c r="F334">
        <v>8</v>
      </c>
      <c r="G334">
        <f t="shared" si="5"/>
        <v>0.20319999999999999</v>
      </c>
      <c r="H334" t="s">
        <v>1804</v>
      </c>
      <c r="I334" t="s">
        <v>1982</v>
      </c>
      <c r="J334" t="s">
        <v>1983</v>
      </c>
      <c r="K334" t="s">
        <v>2615</v>
      </c>
      <c r="M334" t="b">
        <v>1</v>
      </c>
      <c r="N334" s="7">
        <v>45603</v>
      </c>
      <c r="O334" t="s">
        <v>1393</v>
      </c>
      <c r="P334">
        <v>35.310202840000002</v>
      </c>
      <c r="Q334">
        <v>-120.6623147</v>
      </c>
      <c r="R334" t="s">
        <v>1808</v>
      </c>
      <c r="S334">
        <v>18615</v>
      </c>
      <c r="T334" t="s">
        <v>1809</v>
      </c>
      <c r="U334" t="s">
        <v>2293</v>
      </c>
      <c r="V334">
        <v>455</v>
      </c>
      <c r="W334" t="s">
        <v>2610</v>
      </c>
      <c r="X334" t="b">
        <v>0</v>
      </c>
      <c r="Y334" t="s">
        <v>2075</v>
      </c>
      <c r="Z334" s="667"/>
    </row>
    <row r="335" spans="1:26" ht="14.45" customHeight="1">
      <c r="A335">
        <v>120</v>
      </c>
      <c r="B335" t="s">
        <v>2616</v>
      </c>
      <c r="C335" t="s">
        <v>2617</v>
      </c>
      <c r="D335" t="s">
        <v>1826</v>
      </c>
      <c r="E335" s="7">
        <v>45215</v>
      </c>
      <c r="F335">
        <v>16</v>
      </c>
      <c r="G335">
        <f t="shared" si="5"/>
        <v>0.40639999999999998</v>
      </c>
      <c r="H335" t="s">
        <v>1855</v>
      </c>
      <c r="I335" t="s">
        <v>2618</v>
      </c>
      <c r="J335" t="s">
        <v>2619</v>
      </c>
      <c r="K335" t="s">
        <v>2620</v>
      </c>
      <c r="M335" t="b">
        <v>1</v>
      </c>
      <c r="N335" s="7">
        <v>45637</v>
      </c>
      <c r="O335" t="s">
        <v>2621</v>
      </c>
      <c r="P335">
        <v>35.310226980000003</v>
      </c>
      <c r="Q335">
        <v>-120.6620156</v>
      </c>
      <c r="R335" t="s">
        <v>1808</v>
      </c>
      <c r="S335">
        <v>18621</v>
      </c>
      <c r="T335" t="s">
        <v>1809</v>
      </c>
      <c r="U335" t="s">
        <v>2622</v>
      </c>
      <c r="V335">
        <v>461</v>
      </c>
      <c r="W335" t="s">
        <v>2610</v>
      </c>
      <c r="X335" t="b">
        <v>0</v>
      </c>
      <c r="Y335" t="s">
        <v>2075</v>
      </c>
      <c r="Z335" s="667"/>
    </row>
    <row r="336" spans="1:26" ht="14.45" customHeight="1">
      <c r="A336">
        <v>4</v>
      </c>
      <c r="B336" t="s">
        <v>1802</v>
      </c>
      <c r="C336" t="s">
        <v>1803</v>
      </c>
      <c r="D336" t="s">
        <v>2003</v>
      </c>
      <c r="E336" s="7">
        <v>45209</v>
      </c>
      <c r="F336">
        <v>4</v>
      </c>
      <c r="G336">
        <f t="shared" si="5"/>
        <v>0.1016</v>
      </c>
      <c r="H336" t="s">
        <v>1814</v>
      </c>
      <c r="I336" t="s">
        <v>1805</v>
      </c>
      <c r="J336" t="s">
        <v>1803</v>
      </c>
      <c r="K336" t="s">
        <v>2623</v>
      </c>
      <c r="M336" t="b">
        <v>1</v>
      </c>
      <c r="N336" s="7">
        <v>45603</v>
      </c>
      <c r="O336" t="s">
        <v>1807</v>
      </c>
      <c r="P336">
        <v>35.310923520000003</v>
      </c>
      <c r="Q336">
        <v>-120.6629616</v>
      </c>
      <c r="R336" t="s">
        <v>1808</v>
      </c>
      <c r="S336">
        <v>18504</v>
      </c>
      <c r="T336" t="s">
        <v>1809</v>
      </c>
      <c r="U336" t="s">
        <v>2141</v>
      </c>
      <c r="V336">
        <v>360</v>
      </c>
      <c r="W336" t="s">
        <v>2624</v>
      </c>
      <c r="X336" t="b">
        <v>0</v>
      </c>
      <c r="Y336" t="s">
        <v>1811</v>
      </c>
      <c r="Z336" s="667"/>
    </row>
    <row r="337" spans="1:26" ht="14.45" customHeight="1">
      <c r="A337">
        <v>258</v>
      </c>
      <c r="B337" t="s">
        <v>1864</v>
      </c>
      <c r="C337" t="s">
        <v>1865</v>
      </c>
      <c r="D337" t="s">
        <v>1826</v>
      </c>
      <c r="E337" s="7">
        <v>45209</v>
      </c>
      <c r="F337">
        <v>6</v>
      </c>
      <c r="G337">
        <f t="shared" si="5"/>
        <v>0.15239999999999998</v>
      </c>
      <c r="H337" t="s">
        <v>1804</v>
      </c>
      <c r="I337" t="s">
        <v>1815</v>
      </c>
      <c r="J337" t="s">
        <v>1825</v>
      </c>
      <c r="K337" t="s">
        <v>2625</v>
      </c>
      <c r="M337" t="b">
        <v>1</v>
      </c>
      <c r="N337" s="7">
        <v>45923</v>
      </c>
      <c r="O337" t="s">
        <v>1868</v>
      </c>
      <c r="P337">
        <v>35.31101237</v>
      </c>
      <c r="Q337">
        <v>-120.66308960000001</v>
      </c>
      <c r="R337" t="s">
        <v>1808</v>
      </c>
      <c r="S337">
        <v>27542</v>
      </c>
      <c r="T337" t="s">
        <v>1809</v>
      </c>
      <c r="U337" t="s">
        <v>2340</v>
      </c>
      <c r="V337">
        <v>855</v>
      </c>
      <c r="W337" t="s">
        <v>1870</v>
      </c>
      <c r="X337" t="b">
        <v>0</v>
      </c>
      <c r="Y337" t="s">
        <v>1811</v>
      </c>
      <c r="Z337" s="6"/>
    </row>
    <row r="338" spans="1:26" ht="14.45" customHeight="1">
      <c r="A338">
        <v>259</v>
      </c>
      <c r="B338" t="s">
        <v>1864</v>
      </c>
      <c r="C338" t="s">
        <v>1865</v>
      </c>
      <c r="D338" t="s">
        <v>1826</v>
      </c>
      <c r="E338" s="7">
        <v>45209</v>
      </c>
      <c r="F338">
        <v>6</v>
      </c>
      <c r="G338">
        <f t="shared" si="5"/>
        <v>0.15239999999999998</v>
      </c>
      <c r="H338" t="s">
        <v>1804</v>
      </c>
      <c r="I338" t="s">
        <v>1815</v>
      </c>
      <c r="J338" t="s">
        <v>1825</v>
      </c>
      <c r="K338" t="s">
        <v>2626</v>
      </c>
      <c r="M338" t="b">
        <v>1</v>
      </c>
      <c r="N338" s="7">
        <v>45637</v>
      </c>
      <c r="O338" t="s">
        <v>1868</v>
      </c>
      <c r="P338">
        <v>35.31094212</v>
      </c>
      <c r="Q338">
        <v>-120.6631149</v>
      </c>
      <c r="R338" t="s">
        <v>1808</v>
      </c>
      <c r="S338">
        <v>18520</v>
      </c>
      <c r="T338" t="s">
        <v>1809</v>
      </c>
      <c r="U338" t="s">
        <v>2340</v>
      </c>
      <c r="V338">
        <v>374</v>
      </c>
      <c r="W338" t="s">
        <v>2624</v>
      </c>
      <c r="X338" t="b">
        <v>0</v>
      </c>
      <c r="Y338" t="s">
        <v>1811</v>
      </c>
      <c r="Z338" s="6"/>
    </row>
    <row r="339" spans="1:26" ht="14.45" customHeight="1">
      <c r="A339">
        <v>260</v>
      </c>
      <c r="B339" t="s">
        <v>1864</v>
      </c>
      <c r="C339" t="s">
        <v>1865</v>
      </c>
      <c r="D339" t="s">
        <v>2003</v>
      </c>
      <c r="E339" s="7">
        <v>45209</v>
      </c>
      <c r="F339">
        <v>17</v>
      </c>
      <c r="G339">
        <f t="shared" si="5"/>
        <v>0.43179999999999996</v>
      </c>
      <c r="H339" t="s">
        <v>1855</v>
      </c>
      <c r="I339" t="s">
        <v>1815</v>
      </c>
      <c r="J339" t="s">
        <v>1825</v>
      </c>
      <c r="K339" t="s">
        <v>2627</v>
      </c>
      <c r="M339" t="b">
        <v>1</v>
      </c>
      <c r="N339" s="7">
        <v>45637</v>
      </c>
      <c r="O339" t="s">
        <v>1868</v>
      </c>
      <c r="P339">
        <v>35.311027770000003</v>
      </c>
      <c r="Q339">
        <v>-120.6630454</v>
      </c>
      <c r="R339" t="s">
        <v>1808</v>
      </c>
      <c r="S339">
        <v>18518</v>
      </c>
      <c r="T339" t="s">
        <v>1809</v>
      </c>
      <c r="U339" t="s">
        <v>2340</v>
      </c>
      <c r="V339">
        <v>372</v>
      </c>
      <c r="W339" t="s">
        <v>2624</v>
      </c>
      <c r="X339" t="b">
        <v>0</v>
      </c>
      <c r="Y339" t="s">
        <v>1811</v>
      </c>
      <c r="Z339" s="6"/>
    </row>
    <row r="340" spans="1:26" ht="14.45" customHeight="1">
      <c r="A340">
        <v>261</v>
      </c>
      <c r="B340" t="s">
        <v>1864</v>
      </c>
      <c r="C340" t="s">
        <v>1865</v>
      </c>
      <c r="D340" t="s">
        <v>2003</v>
      </c>
      <c r="E340" s="7">
        <v>45209</v>
      </c>
      <c r="F340">
        <v>20</v>
      </c>
      <c r="G340">
        <f t="shared" si="5"/>
        <v>0.50800000000000001</v>
      </c>
      <c r="H340" t="s">
        <v>1842</v>
      </c>
      <c r="I340" t="s">
        <v>1815</v>
      </c>
      <c r="J340" t="s">
        <v>1825</v>
      </c>
      <c r="K340" t="s">
        <v>2628</v>
      </c>
      <c r="M340" t="b">
        <v>1</v>
      </c>
      <c r="N340" s="7">
        <v>45923</v>
      </c>
      <c r="O340" t="s">
        <v>1868</v>
      </c>
      <c r="P340">
        <v>35.31104517</v>
      </c>
      <c r="Q340">
        <v>-120.6629867</v>
      </c>
      <c r="R340" t="s">
        <v>1808</v>
      </c>
      <c r="S340">
        <v>27543</v>
      </c>
      <c r="T340" t="s">
        <v>1809</v>
      </c>
      <c r="U340" t="s">
        <v>2340</v>
      </c>
      <c r="V340">
        <v>856</v>
      </c>
      <c r="W340" t="s">
        <v>1870</v>
      </c>
      <c r="X340" t="b">
        <v>0</v>
      </c>
      <c r="Y340" t="s">
        <v>1811</v>
      </c>
      <c r="Z340" s="6"/>
    </row>
    <row r="341" spans="1:26" ht="14.45" customHeight="1">
      <c r="A341">
        <v>262</v>
      </c>
      <c r="B341" t="s">
        <v>1864</v>
      </c>
      <c r="C341" t="s">
        <v>1865</v>
      </c>
      <c r="D341" t="s">
        <v>1826</v>
      </c>
      <c r="E341" s="7">
        <v>45209</v>
      </c>
      <c r="F341">
        <v>20</v>
      </c>
      <c r="G341">
        <f t="shared" si="5"/>
        <v>0.50800000000000001</v>
      </c>
      <c r="H341" t="s">
        <v>1842</v>
      </c>
      <c r="I341" t="s">
        <v>1815</v>
      </c>
      <c r="J341" t="s">
        <v>1825</v>
      </c>
      <c r="K341" t="s">
        <v>2629</v>
      </c>
      <c r="M341" t="b">
        <v>1</v>
      </c>
      <c r="N341" s="7">
        <v>45637</v>
      </c>
      <c r="O341" t="s">
        <v>1868</v>
      </c>
      <c r="P341">
        <v>35.31099494</v>
      </c>
      <c r="Q341">
        <v>-120.6630964</v>
      </c>
      <c r="R341" t="s">
        <v>1808</v>
      </c>
      <c r="S341">
        <v>18525</v>
      </c>
      <c r="T341" t="s">
        <v>1809</v>
      </c>
      <c r="U341" t="s">
        <v>2340</v>
      </c>
      <c r="V341">
        <v>379</v>
      </c>
      <c r="W341" t="s">
        <v>2624</v>
      </c>
      <c r="X341" t="b">
        <v>0</v>
      </c>
      <c r="Y341" t="s">
        <v>1811</v>
      </c>
      <c r="Z341" s="6"/>
    </row>
    <row r="342" spans="1:26" ht="14.45" customHeight="1">
      <c r="A342">
        <v>263</v>
      </c>
      <c r="B342" t="s">
        <v>1864</v>
      </c>
      <c r="C342" t="s">
        <v>1865</v>
      </c>
      <c r="D342" t="s">
        <v>2003</v>
      </c>
      <c r="E342" s="7">
        <v>45209</v>
      </c>
      <c r="F342">
        <v>20</v>
      </c>
      <c r="G342">
        <f t="shared" si="5"/>
        <v>0.50800000000000001</v>
      </c>
      <c r="H342" t="s">
        <v>1842</v>
      </c>
      <c r="I342" t="s">
        <v>1815</v>
      </c>
      <c r="J342" t="s">
        <v>1825</v>
      </c>
      <c r="K342" t="s">
        <v>2630</v>
      </c>
      <c r="M342" t="b">
        <v>1</v>
      </c>
      <c r="N342" s="7">
        <v>45637</v>
      </c>
      <c r="O342" t="s">
        <v>1868</v>
      </c>
      <c r="P342">
        <v>35.311040900000002</v>
      </c>
      <c r="Q342">
        <v>-120.66294480000001</v>
      </c>
      <c r="R342" t="s">
        <v>1808</v>
      </c>
      <c r="S342">
        <v>18514</v>
      </c>
      <c r="T342" t="s">
        <v>1809</v>
      </c>
      <c r="U342" t="s">
        <v>2340</v>
      </c>
      <c r="V342">
        <v>368</v>
      </c>
      <c r="W342" t="s">
        <v>2624</v>
      </c>
      <c r="X342" t="b">
        <v>0</v>
      </c>
      <c r="Y342" t="s">
        <v>1811</v>
      </c>
      <c r="Z342" s="6"/>
    </row>
    <row r="343" spans="1:26" ht="14.45" customHeight="1">
      <c r="A343">
        <v>264</v>
      </c>
      <c r="B343" t="s">
        <v>1864</v>
      </c>
      <c r="C343" t="s">
        <v>1865</v>
      </c>
      <c r="D343" t="s">
        <v>2003</v>
      </c>
      <c r="E343" s="7">
        <v>45209</v>
      </c>
      <c r="F343">
        <v>23</v>
      </c>
      <c r="G343">
        <f t="shared" si="5"/>
        <v>0.58419999999999994</v>
      </c>
      <c r="H343" t="s">
        <v>1842</v>
      </c>
      <c r="I343" t="s">
        <v>1815</v>
      </c>
      <c r="J343" t="s">
        <v>1825</v>
      </c>
      <c r="K343" t="s">
        <v>2631</v>
      </c>
      <c r="M343" t="b">
        <v>1</v>
      </c>
      <c r="N343" s="7">
        <v>45923</v>
      </c>
      <c r="O343" t="s">
        <v>1868</v>
      </c>
      <c r="P343">
        <v>35.31103572</v>
      </c>
      <c r="Q343">
        <v>-120.6630382</v>
      </c>
      <c r="R343" t="s">
        <v>1808</v>
      </c>
      <c r="S343">
        <v>27535</v>
      </c>
      <c r="T343" t="s">
        <v>1809</v>
      </c>
      <c r="U343" t="s">
        <v>2340</v>
      </c>
      <c r="V343">
        <v>850</v>
      </c>
      <c r="W343" t="s">
        <v>1870</v>
      </c>
      <c r="X343" t="b">
        <v>0</v>
      </c>
      <c r="Y343" t="s">
        <v>1811</v>
      </c>
      <c r="Z343" s="6"/>
    </row>
    <row r="344" spans="1:26" ht="14.45" customHeight="1">
      <c r="A344">
        <v>265</v>
      </c>
      <c r="B344" t="s">
        <v>1864</v>
      </c>
      <c r="C344" t="s">
        <v>1865</v>
      </c>
      <c r="D344" t="s">
        <v>2003</v>
      </c>
      <c r="E344" s="7">
        <v>45209</v>
      </c>
      <c r="F344">
        <v>23</v>
      </c>
      <c r="G344">
        <f t="shared" si="5"/>
        <v>0.58419999999999994</v>
      </c>
      <c r="H344" t="s">
        <v>1842</v>
      </c>
      <c r="I344" t="s">
        <v>1815</v>
      </c>
      <c r="J344" t="s">
        <v>1825</v>
      </c>
      <c r="K344" t="s">
        <v>2632</v>
      </c>
      <c r="M344" t="b">
        <v>1</v>
      </c>
      <c r="N344" s="7">
        <v>45923</v>
      </c>
      <c r="O344" t="s">
        <v>1868</v>
      </c>
      <c r="P344">
        <v>35.310972980000003</v>
      </c>
      <c r="Q344">
        <v>-120.66309699999999</v>
      </c>
      <c r="R344" t="s">
        <v>1808</v>
      </c>
      <c r="S344">
        <v>27532</v>
      </c>
      <c r="T344" t="s">
        <v>1809</v>
      </c>
      <c r="U344" t="s">
        <v>2340</v>
      </c>
      <c r="V344">
        <v>848</v>
      </c>
      <c r="W344" t="s">
        <v>1870</v>
      </c>
      <c r="X344" t="b">
        <v>0</v>
      </c>
      <c r="Y344" t="s">
        <v>1811</v>
      </c>
      <c r="Z344" s="6"/>
    </row>
    <row r="345" spans="1:26" ht="14.45" customHeight="1">
      <c r="A345">
        <v>266</v>
      </c>
      <c r="B345" t="s">
        <v>1864</v>
      </c>
      <c r="C345" t="s">
        <v>1865</v>
      </c>
      <c r="D345" t="s">
        <v>2003</v>
      </c>
      <c r="E345" s="7">
        <v>45209</v>
      </c>
      <c r="F345">
        <v>23</v>
      </c>
      <c r="G345">
        <f t="shared" si="5"/>
        <v>0.58419999999999994</v>
      </c>
      <c r="H345" t="s">
        <v>1842</v>
      </c>
      <c r="I345" t="s">
        <v>1815</v>
      </c>
      <c r="J345" t="s">
        <v>1825</v>
      </c>
      <c r="K345" t="s">
        <v>2633</v>
      </c>
      <c r="M345" t="b">
        <v>1</v>
      </c>
      <c r="N345" s="7">
        <v>45637</v>
      </c>
      <c r="O345" t="s">
        <v>1868</v>
      </c>
      <c r="P345">
        <v>35.310958820000003</v>
      </c>
      <c r="Q345">
        <v>-120.66304940000001</v>
      </c>
      <c r="R345" t="s">
        <v>1808</v>
      </c>
      <c r="S345">
        <v>18511</v>
      </c>
      <c r="T345" t="s">
        <v>1809</v>
      </c>
      <c r="U345" t="s">
        <v>2340</v>
      </c>
      <c r="V345">
        <v>365</v>
      </c>
      <c r="W345" t="s">
        <v>2624</v>
      </c>
      <c r="X345" t="b">
        <v>0</v>
      </c>
      <c r="Y345" t="s">
        <v>1811</v>
      </c>
      <c r="Z345" s="6"/>
    </row>
    <row r="346" spans="1:26" ht="14.45" customHeight="1">
      <c r="A346">
        <v>468</v>
      </c>
      <c r="B346" t="s">
        <v>2634</v>
      </c>
      <c r="C346" t="s">
        <v>2635</v>
      </c>
      <c r="D346" t="s">
        <v>2003</v>
      </c>
      <c r="E346" s="7">
        <v>45209</v>
      </c>
      <c r="F346">
        <v>6</v>
      </c>
      <c r="G346">
        <f t="shared" si="5"/>
        <v>0.15239999999999998</v>
      </c>
      <c r="H346" t="s">
        <v>1804</v>
      </c>
      <c r="I346" t="s">
        <v>1815</v>
      </c>
      <c r="J346" t="s">
        <v>1825</v>
      </c>
      <c r="K346" t="s">
        <v>2636</v>
      </c>
      <c r="M346" t="b">
        <v>1</v>
      </c>
      <c r="N346" s="7">
        <v>45575</v>
      </c>
      <c r="O346" t="s">
        <v>2637</v>
      </c>
      <c r="P346">
        <v>35.31099966</v>
      </c>
      <c r="Q346">
        <v>-120.66297369999999</v>
      </c>
      <c r="R346" t="s">
        <v>1808</v>
      </c>
      <c r="S346">
        <v>18506</v>
      </c>
      <c r="T346" t="s">
        <v>1809</v>
      </c>
      <c r="U346" t="s">
        <v>2638</v>
      </c>
      <c r="V346">
        <v>362</v>
      </c>
      <c r="W346" t="s">
        <v>2624</v>
      </c>
      <c r="X346" t="b">
        <v>0</v>
      </c>
      <c r="Y346" t="s">
        <v>1811</v>
      </c>
      <c r="Z346" s="6"/>
    </row>
    <row r="347" spans="1:26" ht="14.45" customHeight="1">
      <c r="A347">
        <v>470</v>
      </c>
      <c r="B347" t="s">
        <v>2634</v>
      </c>
      <c r="C347" t="s">
        <v>2635</v>
      </c>
      <c r="D347" t="s">
        <v>2003</v>
      </c>
      <c r="E347" s="7">
        <v>45209</v>
      </c>
      <c r="F347">
        <v>10</v>
      </c>
      <c r="G347">
        <f t="shared" si="5"/>
        <v>0.254</v>
      </c>
      <c r="H347" t="s">
        <v>1804</v>
      </c>
      <c r="I347" t="s">
        <v>1815</v>
      </c>
      <c r="J347" t="s">
        <v>1825</v>
      </c>
      <c r="K347" t="s">
        <v>2639</v>
      </c>
      <c r="M347" t="b">
        <v>1</v>
      </c>
      <c r="N347" s="7">
        <v>45575</v>
      </c>
      <c r="O347" t="s">
        <v>2637</v>
      </c>
      <c r="P347">
        <v>35.310997360000002</v>
      </c>
      <c r="Q347">
        <v>-120.6629243</v>
      </c>
      <c r="R347" t="s">
        <v>1808</v>
      </c>
      <c r="S347">
        <v>18529</v>
      </c>
      <c r="T347" t="s">
        <v>1809</v>
      </c>
      <c r="U347" t="s">
        <v>2638</v>
      </c>
      <c r="V347">
        <v>383</v>
      </c>
      <c r="W347" t="s">
        <v>2624</v>
      </c>
      <c r="X347" t="b">
        <v>0</v>
      </c>
      <c r="Y347" t="s">
        <v>1811</v>
      </c>
      <c r="Z347" s="6"/>
    </row>
    <row r="348" spans="1:26" ht="14.45" customHeight="1">
      <c r="A348">
        <v>383</v>
      </c>
      <c r="B348" t="s">
        <v>2640</v>
      </c>
      <c r="C348" t="s">
        <v>2641</v>
      </c>
      <c r="D348" t="s">
        <v>1826</v>
      </c>
      <c r="E348" s="7">
        <v>45209</v>
      </c>
      <c r="F348">
        <v>4</v>
      </c>
      <c r="G348">
        <f t="shared" si="5"/>
        <v>0.1016</v>
      </c>
      <c r="H348" t="s">
        <v>1814</v>
      </c>
      <c r="I348" t="s">
        <v>1888</v>
      </c>
      <c r="J348" t="s">
        <v>2642</v>
      </c>
      <c r="K348" t="s">
        <v>2643</v>
      </c>
      <c r="M348" t="b">
        <v>1</v>
      </c>
      <c r="N348" s="7">
        <v>45575</v>
      </c>
      <c r="O348" t="s">
        <v>2644</v>
      </c>
      <c r="P348">
        <v>35.310997129999997</v>
      </c>
      <c r="Q348">
        <v>-120.6630159</v>
      </c>
      <c r="R348" t="s">
        <v>1808</v>
      </c>
      <c r="S348">
        <v>18501</v>
      </c>
      <c r="T348" t="s">
        <v>1809</v>
      </c>
      <c r="U348" t="s">
        <v>2645</v>
      </c>
      <c r="V348">
        <v>357</v>
      </c>
      <c r="W348" t="s">
        <v>2624</v>
      </c>
      <c r="X348" t="b">
        <v>0</v>
      </c>
      <c r="Y348" t="s">
        <v>1811</v>
      </c>
      <c r="Z348" s="6"/>
    </row>
    <row r="349" spans="1:26" ht="14.45" customHeight="1">
      <c r="A349">
        <v>488</v>
      </c>
      <c r="B349" t="s">
        <v>2033</v>
      </c>
      <c r="C349" t="s">
        <v>2034</v>
      </c>
      <c r="D349" t="s">
        <v>2003</v>
      </c>
      <c r="E349" s="7">
        <v>45209</v>
      </c>
      <c r="F349">
        <v>3</v>
      </c>
      <c r="G349">
        <f t="shared" si="5"/>
        <v>7.619999999999999E-2</v>
      </c>
      <c r="H349" t="s">
        <v>1814</v>
      </c>
      <c r="I349" t="s">
        <v>2035</v>
      </c>
      <c r="J349" t="s">
        <v>2036</v>
      </c>
      <c r="K349" t="s">
        <v>2646</v>
      </c>
      <c r="M349" t="b">
        <v>1</v>
      </c>
      <c r="N349" s="7">
        <v>45614</v>
      </c>
      <c r="O349" t="s">
        <v>2038</v>
      </c>
      <c r="P349">
        <v>35.31033875</v>
      </c>
      <c r="Q349">
        <v>-120.6608592</v>
      </c>
      <c r="R349" t="s">
        <v>1808</v>
      </c>
      <c r="S349">
        <v>18608</v>
      </c>
      <c r="T349" t="s">
        <v>1809</v>
      </c>
      <c r="U349" t="s">
        <v>2647</v>
      </c>
      <c r="V349">
        <v>453</v>
      </c>
      <c r="W349" t="s">
        <v>2040</v>
      </c>
      <c r="X349" t="b">
        <v>0</v>
      </c>
      <c r="Y349" t="s">
        <v>2041</v>
      </c>
      <c r="Z349" s="6"/>
    </row>
    <row r="350" spans="1:26" ht="14.45" customHeight="1">
      <c r="A350">
        <v>491</v>
      </c>
      <c r="B350" t="s">
        <v>2033</v>
      </c>
      <c r="C350" t="s">
        <v>2034</v>
      </c>
      <c r="D350" t="s">
        <v>1946</v>
      </c>
      <c r="E350" s="7">
        <v>45209</v>
      </c>
      <c r="F350">
        <v>22</v>
      </c>
      <c r="G350">
        <f t="shared" si="5"/>
        <v>0.55879999999999996</v>
      </c>
      <c r="H350" t="s">
        <v>1842</v>
      </c>
      <c r="I350" t="s">
        <v>2035</v>
      </c>
      <c r="J350" t="s">
        <v>2036</v>
      </c>
      <c r="K350" t="s">
        <v>2648</v>
      </c>
      <c r="M350" t="b">
        <v>1</v>
      </c>
      <c r="N350" s="7">
        <v>45614</v>
      </c>
      <c r="O350" t="s">
        <v>2038</v>
      </c>
      <c r="P350">
        <v>35.310305710000002</v>
      </c>
      <c r="Q350">
        <v>-120.6607795</v>
      </c>
      <c r="R350" t="s">
        <v>1808</v>
      </c>
      <c r="S350">
        <v>18601</v>
      </c>
      <c r="T350" t="s">
        <v>1809</v>
      </c>
      <c r="U350" t="s">
        <v>2649</v>
      </c>
      <c r="V350">
        <v>447</v>
      </c>
      <c r="W350" t="s">
        <v>2040</v>
      </c>
      <c r="X350" t="b">
        <v>0</v>
      </c>
      <c r="Y350" t="s">
        <v>2041</v>
      </c>
      <c r="Z350" s="6"/>
    </row>
    <row r="351" spans="1:26" ht="14.45" customHeight="1">
      <c r="A351">
        <v>430</v>
      </c>
      <c r="B351" t="s">
        <v>2027</v>
      </c>
      <c r="C351" t="s">
        <v>2028</v>
      </c>
      <c r="D351" t="s">
        <v>2003</v>
      </c>
      <c r="E351" s="7">
        <v>45209</v>
      </c>
      <c r="F351">
        <v>10</v>
      </c>
      <c r="G351">
        <f t="shared" si="5"/>
        <v>0.254</v>
      </c>
      <c r="H351" t="s">
        <v>1804</v>
      </c>
      <c r="J351" t="s">
        <v>1983</v>
      </c>
      <c r="K351" t="s">
        <v>2650</v>
      </c>
      <c r="M351" t="b">
        <v>1</v>
      </c>
      <c r="N351" s="7">
        <v>45637</v>
      </c>
      <c r="O351" t="s">
        <v>2030</v>
      </c>
      <c r="P351">
        <v>35.310303230000002</v>
      </c>
      <c r="Q351">
        <v>-120.6607412</v>
      </c>
      <c r="R351" t="s">
        <v>1808</v>
      </c>
      <c r="S351">
        <v>18605</v>
      </c>
      <c r="T351" t="s">
        <v>1809</v>
      </c>
      <c r="U351" t="s">
        <v>2651</v>
      </c>
      <c r="V351">
        <v>450</v>
      </c>
      <c r="W351" t="s">
        <v>2040</v>
      </c>
      <c r="X351" t="b">
        <v>0</v>
      </c>
      <c r="Y351" t="s">
        <v>2041</v>
      </c>
      <c r="Z351" s="6"/>
    </row>
    <row r="352" spans="1:26" ht="14.45" customHeight="1">
      <c r="A352">
        <v>456</v>
      </c>
      <c r="B352" t="s">
        <v>2044</v>
      </c>
      <c r="C352" t="s">
        <v>2045</v>
      </c>
      <c r="D352" t="s">
        <v>2003</v>
      </c>
      <c r="E352" s="7">
        <v>45209</v>
      </c>
      <c r="F352">
        <v>3</v>
      </c>
      <c r="G352">
        <f t="shared" si="5"/>
        <v>7.619999999999999E-2</v>
      </c>
      <c r="H352" t="s">
        <v>1814</v>
      </c>
      <c r="J352" t="s">
        <v>2045</v>
      </c>
      <c r="K352" t="s">
        <v>2652</v>
      </c>
      <c r="M352" t="b">
        <v>1</v>
      </c>
      <c r="N352" s="7">
        <v>45637</v>
      </c>
      <c r="O352" t="s">
        <v>2047</v>
      </c>
      <c r="P352">
        <v>35.310175989999998</v>
      </c>
      <c r="Q352">
        <v>-120.66058049999999</v>
      </c>
      <c r="R352" t="s">
        <v>1808</v>
      </c>
      <c r="S352">
        <v>18590</v>
      </c>
      <c r="T352" t="s">
        <v>1809</v>
      </c>
      <c r="U352" t="s">
        <v>2048</v>
      </c>
      <c r="V352">
        <v>438</v>
      </c>
      <c r="W352" t="s">
        <v>2040</v>
      </c>
      <c r="X352" t="b">
        <v>0</v>
      </c>
      <c r="Y352" t="s">
        <v>2041</v>
      </c>
      <c r="Z352" s="6"/>
    </row>
    <row r="353" spans="1:26" ht="14.45" customHeight="1">
      <c r="A353">
        <v>458</v>
      </c>
      <c r="B353" t="s">
        <v>2044</v>
      </c>
      <c r="C353" t="s">
        <v>2045</v>
      </c>
      <c r="D353" t="s">
        <v>2003</v>
      </c>
      <c r="E353" s="7">
        <v>45209</v>
      </c>
      <c r="F353">
        <v>5</v>
      </c>
      <c r="G353">
        <f t="shared" si="5"/>
        <v>0.127</v>
      </c>
      <c r="H353" t="s">
        <v>1814</v>
      </c>
      <c r="J353" t="s">
        <v>2045</v>
      </c>
      <c r="K353" t="s">
        <v>2653</v>
      </c>
      <c r="M353" t="b">
        <v>1</v>
      </c>
      <c r="N353" s="7">
        <v>45637</v>
      </c>
      <c r="O353" t="s">
        <v>2047</v>
      </c>
      <c r="P353">
        <v>35.310250889999999</v>
      </c>
      <c r="Q353">
        <v>-120.66067940000001</v>
      </c>
      <c r="R353" t="s">
        <v>1808</v>
      </c>
      <c r="S353">
        <v>18597</v>
      </c>
      <c r="T353" t="s">
        <v>1809</v>
      </c>
      <c r="U353" t="s">
        <v>2654</v>
      </c>
      <c r="V353">
        <v>445</v>
      </c>
      <c r="W353" t="s">
        <v>2040</v>
      </c>
      <c r="X353" t="b">
        <v>0</v>
      </c>
      <c r="Y353" t="s">
        <v>2041</v>
      </c>
      <c r="Z353" s="6"/>
    </row>
    <row r="354" spans="1:26" ht="14.45" customHeight="1">
      <c r="A354">
        <v>459</v>
      </c>
      <c r="B354" t="s">
        <v>2044</v>
      </c>
      <c r="C354" t="s">
        <v>2045</v>
      </c>
      <c r="D354" t="s">
        <v>2003</v>
      </c>
      <c r="E354" s="7">
        <v>45209</v>
      </c>
      <c r="F354">
        <v>5</v>
      </c>
      <c r="G354">
        <f t="shared" si="5"/>
        <v>0.127</v>
      </c>
      <c r="H354" t="s">
        <v>1814</v>
      </c>
      <c r="J354" t="s">
        <v>2045</v>
      </c>
      <c r="K354" t="s">
        <v>2655</v>
      </c>
      <c r="M354" t="b">
        <v>1</v>
      </c>
      <c r="N354" s="7">
        <v>45637</v>
      </c>
      <c r="O354" t="s">
        <v>2047</v>
      </c>
      <c r="P354">
        <v>35.310258670000003</v>
      </c>
      <c r="Q354">
        <v>-120.66064849999999</v>
      </c>
      <c r="R354" t="s">
        <v>1808</v>
      </c>
      <c r="S354">
        <v>18596</v>
      </c>
      <c r="T354" t="s">
        <v>1809</v>
      </c>
      <c r="U354" t="s">
        <v>2048</v>
      </c>
      <c r="V354">
        <v>444</v>
      </c>
      <c r="W354" t="s">
        <v>2040</v>
      </c>
      <c r="X354" t="b">
        <v>0</v>
      </c>
      <c r="Y354" t="s">
        <v>2041</v>
      </c>
      <c r="Z354" s="6"/>
    </row>
    <row r="355" spans="1:26" ht="14.45" customHeight="1">
      <c r="A355">
        <v>460</v>
      </c>
      <c r="B355" t="s">
        <v>2044</v>
      </c>
      <c r="C355" t="s">
        <v>2045</v>
      </c>
      <c r="D355" t="s">
        <v>2003</v>
      </c>
      <c r="E355" s="7">
        <v>45209</v>
      </c>
      <c r="F355">
        <v>7</v>
      </c>
      <c r="G355">
        <f t="shared" si="5"/>
        <v>0.17779999999999999</v>
      </c>
      <c r="H355" t="s">
        <v>1804</v>
      </c>
      <c r="J355" t="s">
        <v>2045</v>
      </c>
      <c r="K355" t="s">
        <v>2656</v>
      </c>
      <c r="M355" t="b">
        <v>1</v>
      </c>
      <c r="N355" s="7">
        <v>45637</v>
      </c>
      <c r="O355" t="s">
        <v>2047</v>
      </c>
      <c r="P355">
        <v>35.31015507</v>
      </c>
      <c r="Q355">
        <v>-120.6605847</v>
      </c>
      <c r="R355" t="s">
        <v>1808</v>
      </c>
      <c r="S355">
        <v>18582</v>
      </c>
      <c r="T355" t="s">
        <v>1809</v>
      </c>
      <c r="U355" t="s">
        <v>2048</v>
      </c>
      <c r="V355">
        <v>430</v>
      </c>
      <c r="W355" t="s">
        <v>2040</v>
      </c>
      <c r="X355" t="b">
        <v>0</v>
      </c>
      <c r="Y355" t="s">
        <v>2041</v>
      </c>
      <c r="Z355" s="6"/>
    </row>
    <row r="356" spans="1:26" ht="14.45" customHeight="1">
      <c r="A356">
        <v>461</v>
      </c>
      <c r="B356" t="s">
        <v>2044</v>
      </c>
      <c r="C356" t="s">
        <v>2045</v>
      </c>
      <c r="D356" t="s">
        <v>1946</v>
      </c>
      <c r="E356" s="7">
        <v>45209</v>
      </c>
      <c r="F356">
        <v>9</v>
      </c>
      <c r="G356">
        <f t="shared" si="5"/>
        <v>0.2286</v>
      </c>
      <c r="H356" t="s">
        <v>1804</v>
      </c>
      <c r="J356" t="s">
        <v>2045</v>
      </c>
      <c r="K356" t="s">
        <v>2657</v>
      </c>
      <c r="M356" t="b">
        <v>1</v>
      </c>
      <c r="N356" s="7">
        <v>45637</v>
      </c>
      <c r="O356" t="s">
        <v>2047</v>
      </c>
      <c r="P356">
        <v>35.310231430000002</v>
      </c>
      <c r="Q356">
        <v>-120.6606115</v>
      </c>
      <c r="R356" t="s">
        <v>1808</v>
      </c>
      <c r="S356">
        <v>18593</v>
      </c>
      <c r="T356" t="s">
        <v>1809</v>
      </c>
      <c r="U356" t="s">
        <v>2048</v>
      </c>
      <c r="V356">
        <v>441</v>
      </c>
      <c r="W356" t="s">
        <v>2040</v>
      </c>
      <c r="X356" t="b">
        <v>0</v>
      </c>
      <c r="Y356" t="s">
        <v>2041</v>
      </c>
      <c r="Z356" s="6"/>
    </row>
    <row r="357" spans="1:26" ht="14.45" customHeight="1">
      <c r="A357">
        <v>462</v>
      </c>
      <c r="B357" t="s">
        <v>2044</v>
      </c>
      <c r="C357" t="s">
        <v>2045</v>
      </c>
      <c r="D357" t="s">
        <v>2003</v>
      </c>
      <c r="E357" s="7">
        <v>45209</v>
      </c>
      <c r="F357">
        <v>10</v>
      </c>
      <c r="G357">
        <f t="shared" si="5"/>
        <v>0.254</v>
      </c>
      <c r="H357" t="s">
        <v>1804</v>
      </c>
      <c r="J357" t="s">
        <v>2045</v>
      </c>
      <c r="K357" t="s">
        <v>2658</v>
      </c>
      <c r="M357" t="b">
        <v>1</v>
      </c>
      <c r="N357" s="7">
        <v>45637</v>
      </c>
      <c r="O357" t="s">
        <v>2047</v>
      </c>
      <c r="P357">
        <v>35.31022316</v>
      </c>
      <c r="Q357">
        <v>-120.66065260000001</v>
      </c>
      <c r="R357" t="s">
        <v>1808</v>
      </c>
      <c r="S357">
        <v>18595</v>
      </c>
      <c r="T357" t="s">
        <v>1809</v>
      </c>
      <c r="U357" t="s">
        <v>2048</v>
      </c>
      <c r="V357">
        <v>443</v>
      </c>
      <c r="W357" t="s">
        <v>2040</v>
      </c>
      <c r="X357" t="b">
        <v>0</v>
      </c>
      <c r="Y357" t="s">
        <v>2041</v>
      </c>
      <c r="Z357" s="6"/>
    </row>
    <row r="358" spans="1:26" ht="14.45" customHeight="1">
      <c r="A358">
        <v>537</v>
      </c>
      <c r="B358" t="s">
        <v>2659</v>
      </c>
      <c r="C358" t="s">
        <v>2660</v>
      </c>
      <c r="D358" t="s">
        <v>1826</v>
      </c>
      <c r="E358" s="7">
        <v>45209</v>
      </c>
      <c r="F358">
        <v>14</v>
      </c>
      <c r="G358">
        <f t="shared" si="5"/>
        <v>0.35559999999999997</v>
      </c>
      <c r="H358" t="s">
        <v>1855</v>
      </c>
      <c r="J358" t="s">
        <v>1803</v>
      </c>
      <c r="K358" t="s">
        <v>2661</v>
      </c>
      <c r="M358" t="b">
        <v>1</v>
      </c>
      <c r="N358" s="7">
        <v>45637</v>
      </c>
      <c r="O358" t="s">
        <v>2662</v>
      </c>
      <c r="P358">
        <v>35.310276420000001</v>
      </c>
      <c r="Q358">
        <v>-120.6607194</v>
      </c>
      <c r="R358" t="s">
        <v>1808</v>
      </c>
      <c r="S358">
        <v>18603</v>
      </c>
      <c r="T358" t="s">
        <v>1809</v>
      </c>
      <c r="U358" t="s">
        <v>2663</v>
      </c>
      <c r="V358">
        <v>449</v>
      </c>
      <c r="W358" t="s">
        <v>2040</v>
      </c>
      <c r="X358" t="b">
        <v>0</v>
      </c>
      <c r="Y358" t="s">
        <v>2041</v>
      </c>
      <c r="Z358" s="6"/>
    </row>
    <row r="359" spans="1:26" ht="14.45" customHeight="1">
      <c r="A359">
        <v>193</v>
      </c>
      <c r="B359" t="s">
        <v>1624</v>
      </c>
      <c r="C359" t="s">
        <v>2072</v>
      </c>
      <c r="D359" t="s">
        <v>1826</v>
      </c>
      <c r="E359" s="7">
        <v>45209</v>
      </c>
      <c r="F359">
        <v>12</v>
      </c>
      <c r="G359">
        <f t="shared" si="5"/>
        <v>0.30479999999999996</v>
      </c>
      <c r="H359" t="s">
        <v>1855</v>
      </c>
      <c r="I359" t="s">
        <v>1982</v>
      </c>
      <c r="J359" t="s">
        <v>1983</v>
      </c>
      <c r="K359" t="s">
        <v>2664</v>
      </c>
      <c r="M359" t="b">
        <v>1</v>
      </c>
      <c r="N359" s="7">
        <v>45575</v>
      </c>
      <c r="O359" t="s">
        <v>2074</v>
      </c>
      <c r="P359">
        <v>35.310259500000001</v>
      </c>
      <c r="Q359">
        <v>-120.6634124</v>
      </c>
      <c r="R359" t="s">
        <v>1808</v>
      </c>
      <c r="S359">
        <v>18567</v>
      </c>
      <c r="T359" t="s">
        <v>1809</v>
      </c>
      <c r="U359" t="s">
        <v>2386</v>
      </c>
      <c r="V359">
        <v>415</v>
      </c>
      <c r="W359" t="s">
        <v>2665</v>
      </c>
      <c r="X359" t="b">
        <v>0</v>
      </c>
      <c r="Y359" t="s">
        <v>1968</v>
      </c>
      <c r="Z359" s="6"/>
    </row>
    <row r="360" spans="1:26" ht="14.45" customHeight="1">
      <c r="A360">
        <v>214</v>
      </c>
      <c r="B360" t="s">
        <v>1624</v>
      </c>
      <c r="C360" t="s">
        <v>2072</v>
      </c>
      <c r="D360" t="s">
        <v>2003</v>
      </c>
      <c r="E360" s="7">
        <v>45209</v>
      </c>
      <c r="F360">
        <v>21</v>
      </c>
      <c r="G360">
        <f t="shared" si="5"/>
        <v>0.53339999999999999</v>
      </c>
      <c r="H360" t="s">
        <v>1842</v>
      </c>
      <c r="I360" t="s">
        <v>1982</v>
      </c>
      <c r="J360" t="s">
        <v>1983</v>
      </c>
      <c r="K360" t="s">
        <v>2666</v>
      </c>
      <c r="M360" t="b">
        <v>1</v>
      </c>
      <c r="N360" s="7">
        <v>45575</v>
      </c>
      <c r="O360" t="s">
        <v>2074</v>
      </c>
      <c r="P360">
        <v>35.310223389999997</v>
      </c>
      <c r="Q360">
        <v>-120.6633252</v>
      </c>
      <c r="R360" t="s">
        <v>1808</v>
      </c>
      <c r="S360">
        <v>18561</v>
      </c>
      <c r="T360" t="s">
        <v>1809</v>
      </c>
      <c r="U360" t="s">
        <v>2386</v>
      </c>
      <c r="V360">
        <v>409</v>
      </c>
      <c r="W360" t="s">
        <v>2665</v>
      </c>
      <c r="X360" t="b">
        <v>0</v>
      </c>
      <c r="Y360" t="s">
        <v>1968</v>
      </c>
      <c r="Z360" s="6"/>
    </row>
    <row r="361" spans="1:26" ht="14.45" customHeight="1">
      <c r="A361">
        <v>221</v>
      </c>
      <c r="B361" t="s">
        <v>1624</v>
      </c>
      <c r="C361" t="s">
        <v>2072</v>
      </c>
      <c r="D361" t="s">
        <v>2003</v>
      </c>
      <c r="E361" s="7">
        <v>45209</v>
      </c>
      <c r="F361">
        <v>30</v>
      </c>
      <c r="G361">
        <f t="shared" si="5"/>
        <v>0.76200000000000001</v>
      </c>
      <c r="H361" t="s">
        <v>1881</v>
      </c>
      <c r="I361" t="s">
        <v>1982</v>
      </c>
      <c r="J361" t="s">
        <v>1983</v>
      </c>
      <c r="K361" t="s">
        <v>2667</v>
      </c>
      <c r="M361" t="b">
        <v>1</v>
      </c>
      <c r="N361" s="7">
        <v>45923</v>
      </c>
      <c r="O361" t="s">
        <v>2074</v>
      </c>
      <c r="P361">
        <v>35.310258410000003</v>
      </c>
      <c r="Q361">
        <v>-120.6633842</v>
      </c>
      <c r="R361" t="s">
        <v>1808</v>
      </c>
      <c r="S361">
        <v>18565</v>
      </c>
      <c r="T361" t="s">
        <v>1809</v>
      </c>
      <c r="U361" t="s">
        <v>2386</v>
      </c>
      <c r="V361">
        <v>413</v>
      </c>
      <c r="W361" t="s">
        <v>2665</v>
      </c>
      <c r="X361" t="b">
        <v>0</v>
      </c>
      <c r="Y361" t="s">
        <v>1968</v>
      </c>
      <c r="Z361" s="6"/>
    </row>
    <row r="362" spans="1:26" ht="14.45" customHeight="1">
      <c r="A362">
        <v>175</v>
      </c>
      <c r="B362" t="s">
        <v>1624</v>
      </c>
      <c r="C362" t="s">
        <v>2072</v>
      </c>
      <c r="D362" t="s">
        <v>2003</v>
      </c>
      <c r="E362" s="7">
        <v>45209</v>
      </c>
      <c r="F362">
        <v>2</v>
      </c>
      <c r="G362">
        <f t="shared" si="5"/>
        <v>5.0799999999999998E-2</v>
      </c>
      <c r="H362" t="s">
        <v>1838</v>
      </c>
      <c r="I362" t="s">
        <v>1982</v>
      </c>
      <c r="J362" t="s">
        <v>1983</v>
      </c>
      <c r="K362" t="s">
        <v>2668</v>
      </c>
      <c r="M362" t="b">
        <v>1</v>
      </c>
      <c r="N362" s="7">
        <v>45575</v>
      </c>
      <c r="O362" t="s">
        <v>2074</v>
      </c>
      <c r="P362">
        <v>35.310177420000002</v>
      </c>
      <c r="Q362">
        <v>-120.66332250000001</v>
      </c>
      <c r="R362" t="s">
        <v>1808</v>
      </c>
      <c r="S362">
        <v>18552</v>
      </c>
      <c r="T362" t="s">
        <v>1809</v>
      </c>
      <c r="U362" t="s">
        <v>2386</v>
      </c>
      <c r="V362">
        <v>400</v>
      </c>
      <c r="W362" t="s">
        <v>2665</v>
      </c>
      <c r="X362" t="b">
        <v>0</v>
      </c>
      <c r="Y362" t="s">
        <v>2008</v>
      </c>
      <c r="Z362" s="6"/>
    </row>
    <row r="363" spans="1:26" ht="14.45" customHeight="1">
      <c r="A363">
        <v>188</v>
      </c>
      <c r="B363" t="s">
        <v>1624</v>
      </c>
      <c r="C363" t="s">
        <v>2072</v>
      </c>
      <c r="D363" t="s">
        <v>1826</v>
      </c>
      <c r="E363" s="7">
        <v>45209</v>
      </c>
      <c r="F363">
        <v>7</v>
      </c>
      <c r="G363">
        <f t="shared" si="5"/>
        <v>0.17779999999999999</v>
      </c>
      <c r="H363" t="s">
        <v>1804</v>
      </c>
      <c r="I363" t="s">
        <v>1982</v>
      </c>
      <c r="J363" t="s">
        <v>1983</v>
      </c>
      <c r="K363" t="s">
        <v>2669</v>
      </c>
      <c r="M363" t="b">
        <v>1</v>
      </c>
      <c r="N363" s="7">
        <v>45575</v>
      </c>
      <c r="O363" t="s">
        <v>2074</v>
      </c>
      <c r="P363">
        <v>35.310199310000002</v>
      </c>
      <c r="Q363">
        <v>-120.6633346</v>
      </c>
      <c r="R363" t="s">
        <v>1808</v>
      </c>
      <c r="S363">
        <v>18559</v>
      </c>
      <c r="T363" t="s">
        <v>1809</v>
      </c>
      <c r="U363" t="s">
        <v>2386</v>
      </c>
      <c r="V363">
        <v>407</v>
      </c>
      <c r="W363" t="s">
        <v>2665</v>
      </c>
      <c r="X363" t="b">
        <v>0</v>
      </c>
      <c r="Y363" t="s">
        <v>2008</v>
      </c>
      <c r="Z363" s="6"/>
    </row>
    <row r="364" spans="1:26" ht="14.45" customHeight="1">
      <c r="A364">
        <v>194</v>
      </c>
      <c r="B364" t="s">
        <v>1624</v>
      </c>
      <c r="C364" t="s">
        <v>2072</v>
      </c>
      <c r="D364" t="s">
        <v>1826</v>
      </c>
      <c r="E364" s="7">
        <v>45209</v>
      </c>
      <c r="F364">
        <v>13</v>
      </c>
      <c r="G364">
        <f t="shared" si="5"/>
        <v>0.33019999999999999</v>
      </c>
      <c r="H364" t="s">
        <v>1855</v>
      </c>
      <c r="I364" t="s">
        <v>1982</v>
      </c>
      <c r="J364" t="s">
        <v>1983</v>
      </c>
      <c r="K364" t="s">
        <v>2670</v>
      </c>
      <c r="M364" t="b">
        <v>1</v>
      </c>
      <c r="N364" s="7">
        <v>45923</v>
      </c>
      <c r="O364" t="s">
        <v>2074</v>
      </c>
      <c r="P364">
        <v>35.310174109999998</v>
      </c>
      <c r="Q364">
        <v>-120.6633507</v>
      </c>
      <c r="R364" t="s">
        <v>1808</v>
      </c>
      <c r="S364">
        <v>18555</v>
      </c>
      <c r="T364" t="s">
        <v>1809</v>
      </c>
      <c r="U364" t="s">
        <v>2386</v>
      </c>
      <c r="V364">
        <v>403</v>
      </c>
      <c r="W364" t="s">
        <v>2665</v>
      </c>
      <c r="X364" t="b">
        <v>0</v>
      </c>
      <c r="Y364" t="s">
        <v>2008</v>
      </c>
      <c r="Z364" s="6"/>
    </row>
    <row r="365" spans="1:26" ht="14.45" customHeight="1">
      <c r="A365">
        <v>207</v>
      </c>
      <c r="B365" t="s">
        <v>1624</v>
      </c>
      <c r="C365" t="s">
        <v>2072</v>
      </c>
      <c r="D365" t="s">
        <v>1826</v>
      </c>
      <c r="E365" s="7">
        <v>45209</v>
      </c>
      <c r="F365">
        <v>18</v>
      </c>
      <c r="G365">
        <f t="shared" si="5"/>
        <v>0.4572</v>
      </c>
      <c r="H365" t="s">
        <v>1842</v>
      </c>
      <c r="I365" t="s">
        <v>1982</v>
      </c>
      <c r="J365" t="s">
        <v>1983</v>
      </c>
      <c r="K365" t="s">
        <v>2671</v>
      </c>
      <c r="M365" t="b">
        <v>1</v>
      </c>
      <c r="N365" s="7">
        <v>45923</v>
      </c>
      <c r="O365" t="s">
        <v>2074</v>
      </c>
      <c r="P365">
        <v>35.310156859999999</v>
      </c>
      <c r="Q365">
        <v>-120.6633305</v>
      </c>
      <c r="R365" t="s">
        <v>1808</v>
      </c>
      <c r="S365">
        <v>18548</v>
      </c>
      <c r="T365" t="s">
        <v>1809</v>
      </c>
      <c r="U365" t="s">
        <v>2386</v>
      </c>
      <c r="V365">
        <v>399</v>
      </c>
      <c r="W365" t="s">
        <v>2665</v>
      </c>
      <c r="X365" t="b">
        <v>0</v>
      </c>
      <c r="Y365" t="s">
        <v>2008</v>
      </c>
      <c r="Z365" s="667"/>
    </row>
    <row r="366" spans="1:26" ht="14.45" customHeight="1">
      <c r="A366">
        <v>208</v>
      </c>
      <c r="B366" t="s">
        <v>1624</v>
      </c>
      <c r="C366" t="s">
        <v>2072</v>
      </c>
      <c r="D366" t="s">
        <v>2003</v>
      </c>
      <c r="E366" s="7">
        <v>45209</v>
      </c>
      <c r="F366">
        <v>18</v>
      </c>
      <c r="G366">
        <f t="shared" si="5"/>
        <v>0.4572</v>
      </c>
      <c r="H366" t="s">
        <v>1842</v>
      </c>
      <c r="I366" t="s">
        <v>1982</v>
      </c>
      <c r="J366" t="s">
        <v>1983</v>
      </c>
      <c r="K366" t="s">
        <v>2672</v>
      </c>
      <c r="M366" t="b">
        <v>1</v>
      </c>
      <c r="N366" s="7">
        <v>45923</v>
      </c>
      <c r="O366" t="s">
        <v>2074</v>
      </c>
      <c r="P366">
        <v>35.310091999999997</v>
      </c>
      <c r="Q366">
        <v>-120.66330000000001</v>
      </c>
      <c r="R366" t="s">
        <v>1808</v>
      </c>
      <c r="S366">
        <v>18524</v>
      </c>
      <c r="T366" t="s">
        <v>1809</v>
      </c>
      <c r="U366" t="s">
        <v>2386</v>
      </c>
      <c r="V366">
        <v>378</v>
      </c>
      <c r="W366" t="s">
        <v>2665</v>
      </c>
      <c r="X366" t="b">
        <v>0</v>
      </c>
      <c r="Y366" t="s">
        <v>2008</v>
      </c>
      <c r="Z366" s="667"/>
    </row>
    <row r="367" spans="1:26" ht="14.45" customHeight="1">
      <c r="A367">
        <v>210</v>
      </c>
      <c r="B367" t="s">
        <v>1624</v>
      </c>
      <c r="C367" t="s">
        <v>2072</v>
      </c>
      <c r="D367" t="s">
        <v>2003</v>
      </c>
      <c r="E367" s="7">
        <v>45209</v>
      </c>
      <c r="F367">
        <v>20</v>
      </c>
      <c r="G367">
        <f t="shared" si="5"/>
        <v>0.50800000000000001</v>
      </c>
      <c r="H367" t="s">
        <v>1842</v>
      </c>
      <c r="I367" t="s">
        <v>1982</v>
      </c>
      <c r="J367" t="s">
        <v>1983</v>
      </c>
      <c r="K367" t="s">
        <v>2673</v>
      </c>
      <c r="M367" t="b">
        <v>1</v>
      </c>
      <c r="N367" s="7">
        <v>45923</v>
      </c>
      <c r="O367" t="s">
        <v>2074</v>
      </c>
      <c r="P367">
        <v>35.31013119</v>
      </c>
      <c r="Q367">
        <v>-120.6633233</v>
      </c>
      <c r="R367" t="s">
        <v>1808</v>
      </c>
      <c r="S367">
        <v>18543</v>
      </c>
      <c r="T367" t="s">
        <v>1809</v>
      </c>
      <c r="U367" t="s">
        <v>2386</v>
      </c>
      <c r="V367">
        <v>395</v>
      </c>
      <c r="W367" t="s">
        <v>2665</v>
      </c>
      <c r="X367" t="b">
        <v>0</v>
      </c>
      <c r="Y367" t="s">
        <v>2008</v>
      </c>
      <c r="Z367" s="6"/>
    </row>
    <row r="368" spans="1:26" ht="14.45" customHeight="1">
      <c r="A368">
        <v>215</v>
      </c>
      <c r="B368" t="s">
        <v>1624</v>
      </c>
      <c r="C368" t="s">
        <v>2072</v>
      </c>
      <c r="D368" t="s">
        <v>1826</v>
      </c>
      <c r="E368" s="7">
        <v>45209</v>
      </c>
      <c r="F368">
        <v>22</v>
      </c>
      <c r="G368">
        <f t="shared" si="5"/>
        <v>0.55879999999999996</v>
      </c>
      <c r="H368" t="s">
        <v>1842</v>
      </c>
      <c r="I368" t="s">
        <v>1982</v>
      </c>
      <c r="J368" t="s">
        <v>1983</v>
      </c>
      <c r="K368" t="s">
        <v>2674</v>
      </c>
      <c r="M368" t="b">
        <v>1</v>
      </c>
      <c r="N368" s="7">
        <v>45923</v>
      </c>
      <c r="O368" t="s">
        <v>2074</v>
      </c>
      <c r="P368">
        <v>35.310078679999997</v>
      </c>
      <c r="Q368">
        <v>-120.6632924</v>
      </c>
      <c r="R368" t="s">
        <v>1808</v>
      </c>
      <c r="S368">
        <v>18533</v>
      </c>
      <c r="T368" t="s">
        <v>1809</v>
      </c>
      <c r="U368" t="s">
        <v>2675</v>
      </c>
      <c r="V368">
        <v>385</v>
      </c>
      <c r="W368" t="s">
        <v>2665</v>
      </c>
      <c r="X368" t="b">
        <v>0</v>
      </c>
      <c r="Y368" t="s">
        <v>2008</v>
      </c>
      <c r="Z368" s="6"/>
    </row>
    <row r="369" spans="1:26" ht="14.45" customHeight="1">
      <c r="A369">
        <v>220</v>
      </c>
      <c r="B369" t="s">
        <v>1624</v>
      </c>
      <c r="C369" t="s">
        <v>2072</v>
      </c>
      <c r="D369" t="s">
        <v>2003</v>
      </c>
      <c r="E369" s="7">
        <v>45209</v>
      </c>
      <c r="F369">
        <v>29</v>
      </c>
      <c r="G369">
        <f t="shared" si="5"/>
        <v>0.73659999999999992</v>
      </c>
      <c r="H369" t="s">
        <v>1866</v>
      </c>
      <c r="I369" t="s">
        <v>1982</v>
      </c>
      <c r="J369" t="s">
        <v>1983</v>
      </c>
      <c r="K369" t="s">
        <v>2676</v>
      </c>
      <c r="M369" t="b">
        <v>1</v>
      </c>
      <c r="N369" s="7">
        <v>45923</v>
      </c>
      <c r="O369" t="s">
        <v>2074</v>
      </c>
      <c r="P369">
        <v>35.31010947</v>
      </c>
      <c r="Q369">
        <v>-120.6633133</v>
      </c>
      <c r="R369" t="s">
        <v>1808</v>
      </c>
      <c r="S369">
        <v>18539</v>
      </c>
      <c r="T369" t="s">
        <v>1809</v>
      </c>
      <c r="U369" t="s">
        <v>2386</v>
      </c>
      <c r="V369">
        <v>391</v>
      </c>
      <c r="W369" t="s">
        <v>2665</v>
      </c>
      <c r="X369" t="b">
        <v>0</v>
      </c>
      <c r="Y369" t="s">
        <v>2008</v>
      </c>
      <c r="Z369" s="6"/>
    </row>
    <row r="370" spans="1:26" ht="14.45" customHeight="1">
      <c r="A370">
        <v>224</v>
      </c>
      <c r="B370" t="s">
        <v>1624</v>
      </c>
      <c r="C370" t="s">
        <v>2072</v>
      </c>
      <c r="D370" t="s">
        <v>1989</v>
      </c>
      <c r="E370" s="7">
        <v>45209</v>
      </c>
      <c r="F370">
        <v>41</v>
      </c>
      <c r="G370">
        <f t="shared" si="5"/>
        <v>1.0413999999999999</v>
      </c>
      <c r="H370" t="s">
        <v>1881</v>
      </c>
      <c r="I370" t="s">
        <v>1982</v>
      </c>
      <c r="J370" t="s">
        <v>1983</v>
      </c>
      <c r="K370" t="s">
        <v>2677</v>
      </c>
      <c r="M370" t="b">
        <v>1</v>
      </c>
      <c r="N370" s="7">
        <v>45923</v>
      </c>
      <c r="O370" t="s">
        <v>2074</v>
      </c>
      <c r="P370">
        <v>35.309925939999999</v>
      </c>
      <c r="Q370">
        <v>-120.66332250000001</v>
      </c>
      <c r="R370" t="s">
        <v>1808</v>
      </c>
      <c r="S370">
        <v>18519</v>
      </c>
      <c r="T370" t="s">
        <v>1809</v>
      </c>
      <c r="U370" t="s">
        <v>2386</v>
      </c>
      <c r="V370">
        <v>373</v>
      </c>
      <c r="W370" t="s">
        <v>2665</v>
      </c>
      <c r="X370" t="b">
        <v>0</v>
      </c>
      <c r="Y370" t="s">
        <v>2008</v>
      </c>
      <c r="Z370" s="6"/>
    </row>
    <row r="371" spans="1:26" ht="14.45" customHeight="1">
      <c r="A371">
        <v>115</v>
      </c>
      <c r="B371" t="s">
        <v>2678</v>
      </c>
      <c r="C371" t="s">
        <v>2679</v>
      </c>
      <c r="D371" t="s">
        <v>2003</v>
      </c>
      <c r="E371" s="7">
        <v>45209</v>
      </c>
      <c r="F371">
        <v>1</v>
      </c>
      <c r="G371">
        <f t="shared" si="5"/>
        <v>2.5399999999999999E-2</v>
      </c>
      <c r="H371" t="s">
        <v>1838</v>
      </c>
      <c r="I371" t="s">
        <v>2062</v>
      </c>
      <c r="J371" t="s">
        <v>2680</v>
      </c>
      <c r="K371" t="s">
        <v>2681</v>
      </c>
      <c r="M371" t="b">
        <v>1</v>
      </c>
      <c r="N371" s="7">
        <v>45923</v>
      </c>
      <c r="O371" t="s">
        <v>2682</v>
      </c>
      <c r="P371">
        <v>35.310163439999997</v>
      </c>
      <c r="Q371">
        <v>-120.663314</v>
      </c>
      <c r="R371" t="s">
        <v>1808</v>
      </c>
      <c r="S371">
        <v>18538</v>
      </c>
      <c r="T371" t="s">
        <v>1809</v>
      </c>
      <c r="V371">
        <v>390</v>
      </c>
      <c r="W371" t="s">
        <v>2665</v>
      </c>
      <c r="X371" t="b">
        <v>0</v>
      </c>
      <c r="Y371" t="s">
        <v>2008</v>
      </c>
      <c r="Z371" s="6"/>
    </row>
    <row r="372" spans="1:26" ht="14.45" customHeight="1">
      <c r="A372">
        <v>529</v>
      </c>
      <c r="B372" t="s">
        <v>1657</v>
      </c>
      <c r="C372" t="s">
        <v>2050</v>
      </c>
      <c r="D372" t="s">
        <v>1826</v>
      </c>
      <c r="E372" s="7">
        <v>45209</v>
      </c>
      <c r="F372">
        <v>4</v>
      </c>
      <c r="G372">
        <f t="shared" si="5"/>
        <v>0.1016</v>
      </c>
      <c r="H372" t="s">
        <v>1814</v>
      </c>
      <c r="I372" t="s">
        <v>2051</v>
      </c>
      <c r="J372" t="s">
        <v>2052</v>
      </c>
      <c r="K372" t="s">
        <v>2683</v>
      </c>
      <c r="M372" t="b">
        <v>1</v>
      </c>
      <c r="N372" s="7">
        <v>45614</v>
      </c>
      <c r="O372" t="s">
        <v>1435</v>
      </c>
      <c r="P372">
        <v>35.310461699999998</v>
      </c>
      <c r="Q372">
        <v>-120.6613633</v>
      </c>
      <c r="R372" t="s">
        <v>1808</v>
      </c>
      <c r="S372">
        <v>18523</v>
      </c>
      <c r="T372" t="s">
        <v>1809</v>
      </c>
      <c r="U372" t="s">
        <v>2054</v>
      </c>
      <c r="V372">
        <v>377</v>
      </c>
      <c r="W372" t="s">
        <v>2684</v>
      </c>
      <c r="X372" t="b">
        <v>0</v>
      </c>
      <c r="Y372" t="s">
        <v>2055</v>
      </c>
      <c r="Z372" s="6"/>
    </row>
    <row r="373" spans="1:26" ht="14.45" customHeight="1">
      <c r="A373">
        <v>530</v>
      </c>
      <c r="B373" t="s">
        <v>1657</v>
      </c>
      <c r="C373" t="s">
        <v>2050</v>
      </c>
      <c r="D373" t="s">
        <v>1826</v>
      </c>
      <c r="E373" s="7">
        <v>45209</v>
      </c>
      <c r="F373">
        <v>4</v>
      </c>
      <c r="G373">
        <f t="shared" si="5"/>
        <v>0.1016</v>
      </c>
      <c r="H373" t="s">
        <v>1814</v>
      </c>
      <c r="I373" t="s">
        <v>2051</v>
      </c>
      <c r="J373" t="s">
        <v>2052</v>
      </c>
      <c r="K373" t="s">
        <v>2685</v>
      </c>
      <c r="M373" t="b">
        <v>1</v>
      </c>
      <c r="N373" s="7">
        <v>45614</v>
      </c>
      <c r="O373" t="s">
        <v>1435</v>
      </c>
      <c r="P373">
        <v>35.310325329999998</v>
      </c>
      <c r="Q373">
        <v>-120.6614017</v>
      </c>
      <c r="R373" t="s">
        <v>1808</v>
      </c>
      <c r="S373">
        <v>18513</v>
      </c>
      <c r="T373" t="s">
        <v>1809</v>
      </c>
      <c r="U373" t="s">
        <v>2054</v>
      </c>
      <c r="V373">
        <v>367</v>
      </c>
      <c r="W373" t="s">
        <v>2684</v>
      </c>
      <c r="X373" t="b">
        <v>0</v>
      </c>
      <c r="Y373" t="s">
        <v>2055</v>
      </c>
      <c r="Z373" s="6"/>
    </row>
    <row r="374" spans="1:26" ht="14.45" customHeight="1">
      <c r="A374">
        <v>534</v>
      </c>
      <c r="B374" t="s">
        <v>1657</v>
      </c>
      <c r="C374" t="s">
        <v>2050</v>
      </c>
      <c r="D374" t="s">
        <v>2003</v>
      </c>
      <c r="E374" s="7">
        <v>45209</v>
      </c>
      <c r="F374">
        <v>6</v>
      </c>
      <c r="G374">
        <f t="shared" si="5"/>
        <v>0.15239999999999998</v>
      </c>
      <c r="H374" t="s">
        <v>1804</v>
      </c>
      <c r="I374" t="s">
        <v>2051</v>
      </c>
      <c r="J374" t="s">
        <v>2052</v>
      </c>
      <c r="K374" t="s">
        <v>2686</v>
      </c>
      <c r="M374" t="b">
        <v>1</v>
      </c>
      <c r="N374" s="7">
        <v>45610</v>
      </c>
      <c r="O374" t="s">
        <v>1435</v>
      </c>
      <c r="P374">
        <v>35.310332420000002</v>
      </c>
      <c r="Q374">
        <v>-120.6616952</v>
      </c>
      <c r="R374" t="s">
        <v>1808</v>
      </c>
      <c r="S374">
        <v>18498</v>
      </c>
      <c r="T374" t="s">
        <v>1809</v>
      </c>
      <c r="U374" t="s">
        <v>2687</v>
      </c>
      <c r="V374">
        <v>355</v>
      </c>
      <c r="W374" t="s">
        <v>2684</v>
      </c>
      <c r="X374" t="b">
        <v>0</v>
      </c>
      <c r="Y374" t="s">
        <v>2055</v>
      </c>
      <c r="Z374" s="6"/>
    </row>
    <row r="375" spans="1:26" ht="14.45" customHeight="1">
      <c r="A375">
        <v>361</v>
      </c>
      <c r="B375" t="s">
        <v>2060</v>
      </c>
      <c r="C375" t="s">
        <v>2061</v>
      </c>
      <c r="D375" t="s">
        <v>2003</v>
      </c>
      <c r="E375" s="7">
        <v>45209</v>
      </c>
      <c r="F375">
        <v>3</v>
      </c>
      <c r="G375">
        <f t="shared" si="5"/>
        <v>7.619999999999999E-2</v>
      </c>
      <c r="H375" t="s">
        <v>1814</v>
      </c>
      <c r="I375" t="s">
        <v>2062</v>
      </c>
      <c r="J375" t="s">
        <v>2063</v>
      </c>
      <c r="K375" t="s">
        <v>2688</v>
      </c>
      <c r="M375" t="b">
        <v>1</v>
      </c>
      <c r="N375" s="7">
        <v>45597</v>
      </c>
      <c r="O375" t="s">
        <v>1438</v>
      </c>
      <c r="P375">
        <v>35.310487960000003</v>
      </c>
      <c r="Q375">
        <v>-120.6614357</v>
      </c>
      <c r="R375" t="s">
        <v>1808</v>
      </c>
      <c r="S375">
        <v>18536</v>
      </c>
      <c r="T375" t="s">
        <v>1809</v>
      </c>
      <c r="V375">
        <v>388</v>
      </c>
      <c r="W375" t="s">
        <v>2684</v>
      </c>
      <c r="X375" t="b">
        <v>0</v>
      </c>
      <c r="Y375" t="s">
        <v>2055</v>
      </c>
      <c r="Z375" s="6"/>
    </row>
    <row r="376" spans="1:26" ht="14.45" customHeight="1">
      <c r="A376">
        <v>362</v>
      </c>
      <c r="B376" t="s">
        <v>2060</v>
      </c>
      <c r="C376" t="s">
        <v>2061</v>
      </c>
      <c r="D376" t="s">
        <v>2003</v>
      </c>
      <c r="E376" s="7">
        <v>45209</v>
      </c>
      <c r="F376">
        <v>3</v>
      </c>
      <c r="G376">
        <f t="shared" si="5"/>
        <v>7.619999999999999E-2</v>
      </c>
      <c r="H376" t="s">
        <v>1814</v>
      </c>
      <c r="I376" t="s">
        <v>2062</v>
      </c>
      <c r="J376" t="s">
        <v>2063</v>
      </c>
      <c r="K376" t="s">
        <v>2689</v>
      </c>
      <c r="M376" t="b">
        <v>1</v>
      </c>
      <c r="N376" s="7">
        <v>45597</v>
      </c>
      <c r="O376" t="s">
        <v>1438</v>
      </c>
      <c r="P376">
        <v>35.310496720000003</v>
      </c>
      <c r="Q376">
        <v>-120.6614706</v>
      </c>
      <c r="R376" t="s">
        <v>1808</v>
      </c>
      <c r="S376">
        <v>18528</v>
      </c>
      <c r="T376" t="s">
        <v>1809</v>
      </c>
      <c r="V376">
        <v>382</v>
      </c>
      <c r="W376" t="s">
        <v>2684</v>
      </c>
      <c r="X376" t="b">
        <v>0</v>
      </c>
      <c r="Y376" t="s">
        <v>2055</v>
      </c>
      <c r="Z376" s="6"/>
    </row>
    <row r="377" spans="1:26" ht="14.45" customHeight="1">
      <c r="A377">
        <v>365</v>
      </c>
      <c r="B377" t="s">
        <v>2060</v>
      </c>
      <c r="C377" t="s">
        <v>2061</v>
      </c>
      <c r="D377" t="s">
        <v>2003</v>
      </c>
      <c r="E377" s="7">
        <v>45209</v>
      </c>
      <c r="F377">
        <v>4</v>
      </c>
      <c r="G377">
        <f t="shared" si="5"/>
        <v>0.1016</v>
      </c>
      <c r="H377" t="s">
        <v>1814</v>
      </c>
      <c r="I377" t="s">
        <v>2062</v>
      </c>
      <c r="J377" t="s">
        <v>2063</v>
      </c>
      <c r="K377" t="s">
        <v>2690</v>
      </c>
      <c r="M377" t="b">
        <v>1</v>
      </c>
      <c r="N377" s="7">
        <v>45637</v>
      </c>
      <c r="O377" t="s">
        <v>1438</v>
      </c>
      <c r="P377">
        <v>35.310337789999998</v>
      </c>
      <c r="Q377">
        <v>-120.6615747</v>
      </c>
      <c r="R377" t="s">
        <v>1808</v>
      </c>
      <c r="S377">
        <v>18502</v>
      </c>
      <c r="T377" t="s">
        <v>1809</v>
      </c>
      <c r="U377" t="s">
        <v>2065</v>
      </c>
      <c r="V377">
        <v>358</v>
      </c>
      <c r="W377" t="s">
        <v>2684</v>
      </c>
      <c r="X377" t="b">
        <v>0</v>
      </c>
      <c r="Y377" t="s">
        <v>2055</v>
      </c>
      <c r="Z377" s="6"/>
    </row>
    <row r="378" spans="1:26" ht="14.45" customHeight="1">
      <c r="A378">
        <v>538</v>
      </c>
      <c r="B378" t="s">
        <v>2691</v>
      </c>
      <c r="C378" t="s">
        <v>2692</v>
      </c>
      <c r="D378" t="s">
        <v>1989</v>
      </c>
      <c r="E378" s="7">
        <v>45209</v>
      </c>
      <c r="F378">
        <v>7</v>
      </c>
      <c r="G378">
        <f t="shared" si="5"/>
        <v>0.17779999999999999</v>
      </c>
      <c r="H378" t="s">
        <v>1804</v>
      </c>
      <c r="I378" t="s">
        <v>2228</v>
      </c>
      <c r="J378" t="s">
        <v>2229</v>
      </c>
      <c r="K378" t="s">
        <v>2693</v>
      </c>
      <c r="M378" t="b">
        <v>1</v>
      </c>
      <c r="N378" s="7">
        <v>45610</v>
      </c>
      <c r="O378" t="s">
        <v>2694</v>
      </c>
      <c r="P378">
        <v>35.310478799999999</v>
      </c>
      <c r="Q378">
        <v>-120.6616913</v>
      </c>
      <c r="R378" t="s">
        <v>1808</v>
      </c>
      <c r="S378">
        <v>18542</v>
      </c>
      <c r="T378" t="s">
        <v>1809</v>
      </c>
      <c r="U378" t="s">
        <v>2695</v>
      </c>
      <c r="V378">
        <v>394</v>
      </c>
      <c r="W378" t="s">
        <v>2684</v>
      </c>
      <c r="X378" t="b">
        <v>0</v>
      </c>
      <c r="Y378" t="s">
        <v>2055</v>
      </c>
      <c r="Z378" s="6"/>
    </row>
    <row r="379" spans="1:26" ht="14.45" customHeight="1">
      <c r="A379">
        <v>142</v>
      </c>
      <c r="B379" t="s">
        <v>2203</v>
      </c>
      <c r="C379" t="s">
        <v>2204</v>
      </c>
      <c r="D379" t="s">
        <v>1826</v>
      </c>
      <c r="E379" s="7">
        <v>45209</v>
      </c>
      <c r="F379">
        <v>6</v>
      </c>
      <c r="G379">
        <f t="shared" si="5"/>
        <v>0.15239999999999998</v>
      </c>
      <c r="H379" t="s">
        <v>1804</v>
      </c>
      <c r="J379" t="s">
        <v>2205</v>
      </c>
      <c r="K379" t="s">
        <v>2696</v>
      </c>
      <c r="M379" t="b">
        <v>1</v>
      </c>
      <c r="N379" s="7">
        <v>45610</v>
      </c>
      <c r="O379" t="s">
        <v>1519</v>
      </c>
      <c r="P379">
        <v>35.310324889999997</v>
      </c>
      <c r="Q379">
        <v>-120.6614802</v>
      </c>
      <c r="R379" t="s">
        <v>1808</v>
      </c>
      <c r="S379">
        <v>18510</v>
      </c>
      <c r="T379" t="s">
        <v>1809</v>
      </c>
      <c r="U379" t="s">
        <v>2697</v>
      </c>
      <c r="V379">
        <v>364</v>
      </c>
      <c r="W379" t="s">
        <v>2684</v>
      </c>
      <c r="X379" t="b">
        <v>0</v>
      </c>
      <c r="Y379" t="s">
        <v>2055</v>
      </c>
      <c r="Z379" s="6"/>
    </row>
    <row r="380" spans="1:26" ht="14.45" customHeight="1">
      <c r="A380">
        <v>384</v>
      </c>
      <c r="B380" t="s">
        <v>2698</v>
      </c>
      <c r="C380" t="s">
        <v>2699</v>
      </c>
      <c r="D380" t="s">
        <v>2003</v>
      </c>
      <c r="E380" s="7">
        <v>45209</v>
      </c>
      <c r="F380">
        <v>6</v>
      </c>
      <c r="G380">
        <f t="shared" si="5"/>
        <v>0.15239999999999998</v>
      </c>
      <c r="H380" t="s">
        <v>1804</v>
      </c>
      <c r="J380" t="s">
        <v>2052</v>
      </c>
      <c r="K380" t="s">
        <v>2700</v>
      </c>
      <c r="M380" t="b">
        <v>1</v>
      </c>
      <c r="N380" s="7">
        <v>45637</v>
      </c>
      <c r="O380" t="s">
        <v>2701</v>
      </c>
      <c r="P380">
        <v>35.31044979</v>
      </c>
      <c r="Q380">
        <v>-120.6616978</v>
      </c>
      <c r="R380" t="s">
        <v>1808</v>
      </c>
      <c r="S380">
        <v>18554</v>
      </c>
      <c r="T380" t="s">
        <v>1809</v>
      </c>
      <c r="U380" t="s">
        <v>2702</v>
      </c>
      <c r="V380">
        <v>402</v>
      </c>
      <c r="W380" t="s">
        <v>2684</v>
      </c>
      <c r="X380" t="b">
        <v>0</v>
      </c>
      <c r="Y380" t="s">
        <v>2055</v>
      </c>
      <c r="Z380" s="6"/>
    </row>
    <row r="381" spans="1:26" ht="14.45" customHeight="1">
      <c r="A381">
        <v>385</v>
      </c>
      <c r="B381" t="s">
        <v>2698</v>
      </c>
      <c r="C381" t="s">
        <v>2699</v>
      </c>
      <c r="D381" t="s">
        <v>2003</v>
      </c>
      <c r="E381" s="7">
        <v>45209</v>
      </c>
      <c r="F381">
        <v>9</v>
      </c>
      <c r="G381">
        <f t="shared" si="5"/>
        <v>0.2286</v>
      </c>
      <c r="H381" t="s">
        <v>1804</v>
      </c>
      <c r="J381" t="s">
        <v>2052</v>
      </c>
      <c r="K381" t="s">
        <v>2703</v>
      </c>
      <c r="M381" t="b">
        <v>1</v>
      </c>
      <c r="N381" s="7">
        <v>45637</v>
      </c>
      <c r="O381" t="s">
        <v>2701</v>
      </c>
      <c r="P381">
        <v>35.310479870000002</v>
      </c>
      <c r="Q381">
        <v>-120.66173139999999</v>
      </c>
      <c r="R381" t="s">
        <v>1808</v>
      </c>
      <c r="S381">
        <v>18547</v>
      </c>
      <c r="T381" t="s">
        <v>1809</v>
      </c>
      <c r="U381" t="s">
        <v>2702</v>
      </c>
      <c r="V381">
        <v>398</v>
      </c>
      <c r="W381" t="s">
        <v>2684</v>
      </c>
      <c r="X381" t="b">
        <v>0</v>
      </c>
      <c r="Y381" t="s">
        <v>2055</v>
      </c>
      <c r="Z381" s="6"/>
    </row>
    <row r="382" spans="1:26" ht="14.45" customHeight="1">
      <c r="A382">
        <v>386</v>
      </c>
      <c r="B382" t="s">
        <v>2698</v>
      </c>
      <c r="C382" t="s">
        <v>2699</v>
      </c>
      <c r="D382" t="s">
        <v>2003</v>
      </c>
      <c r="E382" s="7">
        <v>45209</v>
      </c>
      <c r="F382">
        <v>10</v>
      </c>
      <c r="G382">
        <f t="shared" si="5"/>
        <v>0.254</v>
      </c>
      <c r="H382" t="s">
        <v>1804</v>
      </c>
      <c r="J382" t="s">
        <v>2052</v>
      </c>
      <c r="K382" t="s">
        <v>2704</v>
      </c>
      <c r="M382" t="b">
        <v>1</v>
      </c>
      <c r="N382" s="7">
        <v>45637</v>
      </c>
      <c r="O382" t="s">
        <v>2701</v>
      </c>
      <c r="P382">
        <v>35.31045838</v>
      </c>
      <c r="Q382">
        <v>-120.66175579999999</v>
      </c>
      <c r="R382" t="s">
        <v>1808</v>
      </c>
      <c r="S382">
        <v>18564</v>
      </c>
      <c r="T382" t="s">
        <v>1809</v>
      </c>
      <c r="U382" t="s">
        <v>2702</v>
      </c>
      <c r="V382">
        <v>412</v>
      </c>
      <c r="W382" t="s">
        <v>2684</v>
      </c>
      <c r="X382" t="b">
        <v>0</v>
      </c>
      <c r="Y382" t="s">
        <v>2055</v>
      </c>
      <c r="Z382" s="6"/>
    </row>
    <row r="383" spans="1:26" ht="14.45" customHeight="1">
      <c r="A383">
        <v>117</v>
      </c>
      <c r="B383" t="s">
        <v>2705</v>
      </c>
      <c r="C383" t="s">
        <v>2706</v>
      </c>
      <c r="D383" t="s">
        <v>1826</v>
      </c>
      <c r="E383" s="7">
        <v>45209</v>
      </c>
      <c r="F383">
        <v>27</v>
      </c>
      <c r="G383">
        <f t="shared" si="5"/>
        <v>0.68579999999999997</v>
      </c>
      <c r="H383" t="s">
        <v>1866</v>
      </c>
      <c r="I383" t="s">
        <v>2169</v>
      </c>
      <c r="J383" t="s">
        <v>2707</v>
      </c>
      <c r="K383" t="s">
        <v>2708</v>
      </c>
      <c r="M383" t="b">
        <v>1</v>
      </c>
      <c r="N383" s="7">
        <v>45603</v>
      </c>
      <c r="O383" t="s">
        <v>2709</v>
      </c>
      <c r="P383">
        <v>35.310812439999999</v>
      </c>
      <c r="Q383">
        <v>-120.66249740000001</v>
      </c>
      <c r="R383" t="s">
        <v>1808</v>
      </c>
      <c r="S383">
        <v>18584</v>
      </c>
      <c r="T383" t="s">
        <v>1809</v>
      </c>
      <c r="V383">
        <v>432</v>
      </c>
      <c r="W383" t="s">
        <v>2710</v>
      </c>
      <c r="X383" t="b">
        <v>0</v>
      </c>
      <c r="Y383" t="s">
        <v>2101</v>
      </c>
      <c r="Z383" s="6"/>
    </row>
    <row r="384" spans="1:26" ht="14.45" customHeight="1">
      <c r="A384">
        <v>118</v>
      </c>
      <c r="B384" t="s">
        <v>2705</v>
      </c>
      <c r="C384" t="s">
        <v>2706</v>
      </c>
      <c r="D384" t="s">
        <v>1826</v>
      </c>
      <c r="E384" s="7">
        <v>45209</v>
      </c>
      <c r="F384">
        <v>29</v>
      </c>
      <c r="G384">
        <f t="shared" si="5"/>
        <v>0.73659999999999992</v>
      </c>
      <c r="H384" t="s">
        <v>1866</v>
      </c>
      <c r="I384" t="s">
        <v>2169</v>
      </c>
      <c r="J384" t="s">
        <v>2707</v>
      </c>
      <c r="K384" t="s">
        <v>2711</v>
      </c>
      <c r="M384" t="b">
        <v>1</v>
      </c>
      <c r="N384" s="7">
        <v>45603</v>
      </c>
      <c r="O384" t="s">
        <v>2709</v>
      </c>
      <c r="P384">
        <v>35.310797559999997</v>
      </c>
      <c r="Q384">
        <v>-120.66246750000001</v>
      </c>
      <c r="R384" t="s">
        <v>1808</v>
      </c>
      <c r="S384">
        <v>18587</v>
      </c>
      <c r="T384" t="s">
        <v>1809</v>
      </c>
      <c r="V384">
        <v>435</v>
      </c>
      <c r="W384" t="s">
        <v>2710</v>
      </c>
      <c r="X384" t="b">
        <v>0</v>
      </c>
      <c r="Y384" t="s">
        <v>2101</v>
      </c>
      <c r="Z384" s="6"/>
    </row>
    <row r="385" spans="1:26" ht="14.45" customHeight="1">
      <c r="A385">
        <v>349</v>
      </c>
      <c r="B385" t="s">
        <v>2712</v>
      </c>
      <c r="C385" t="s">
        <v>2713</v>
      </c>
      <c r="D385" t="s">
        <v>2003</v>
      </c>
      <c r="E385" s="7">
        <v>45209</v>
      </c>
      <c r="F385">
        <v>18</v>
      </c>
      <c r="G385">
        <f t="shared" si="5"/>
        <v>0.4572</v>
      </c>
      <c r="H385" t="s">
        <v>1842</v>
      </c>
      <c r="I385" t="s">
        <v>2169</v>
      </c>
      <c r="J385" t="s">
        <v>2714</v>
      </c>
      <c r="K385" t="s">
        <v>2715</v>
      </c>
      <c r="M385" t="b">
        <v>1</v>
      </c>
      <c r="N385" s="7">
        <v>45637</v>
      </c>
      <c r="O385" t="s">
        <v>2716</v>
      </c>
      <c r="P385">
        <v>35.310780389999998</v>
      </c>
      <c r="Q385">
        <v>-120.6624044</v>
      </c>
      <c r="R385" t="s">
        <v>1808</v>
      </c>
      <c r="S385">
        <v>18576</v>
      </c>
      <c r="T385" t="s">
        <v>1809</v>
      </c>
      <c r="U385" t="s">
        <v>2717</v>
      </c>
      <c r="V385">
        <v>424</v>
      </c>
      <c r="W385" t="s">
        <v>2665</v>
      </c>
      <c r="X385" t="b">
        <v>0</v>
      </c>
      <c r="Y385" t="s">
        <v>2101</v>
      </c>
      <c r="Z385" s="6"/>
    </row>
    <row r="386" spans="1:26" ht="14.45" customHeight="1">
      <c r="A386">
        <v>392</v>
      </c>
      <c r="B386" t="s">
        <v>2187</v>
      </c>
      <c r="C386" t="s">
        <v>2188</v>
      </c>
      <c r="D386" t="s">
        <v>1826</v>
      </c>
      <c r="E386" s="7">
        <v>45209</v>
      </c>
      <c r="F386">
        <v>12</v>
      </c>
      <c r="G386">
        <f t="shared" si="5"/>
        <v>0.30479999999999996</v>
      </c>
      <c r="H386" t="s">
        <v>1855</v>
      </c>
      <c r="I386" t="s">
        <v>2169</v>
      </c>
      <c r="J386" t="s">
        <v>2189</v>
      </c>
      <c r="K386" t="s">
        <v>2718</v>
      </c>
      <c r="M386" t="b">
        <v>1</v>
      </c>
      <c r="N386" s="7">
        <v>45637</v>
      </c>
      <c r="O386" t="s">
        <v>2191</v>
      </c>
      <c r="P386">
        <v>35.31061622</v>
      </c>
      <c r="Q386">
        <v>-120.6623424</v>
      </c>
      <c r="R386" t="s">
        <v>1808</v>
      </c>
      <c r="S386">
        <v>18602</v>
      </c>
      <c r="T386" t="s">
        <v>1809</v>
      </c>
      <c r="U386" t="s">
        <v>2719</v>
      </c>
      <c r="V386">
        <v>448</v>
      </c>
      <c r="W386" t="s">
        <v>2710</v>
      </c>
      <c r="X386" t="b">
        <v>0</v>
      </c>
      <c r="Y386" t="s">
        <v>2101</v>
      </c>
      <c r="Z386" s="6"/>
    </row>
    <row r="387" spans="1:26" ht="14.45" customHeight="1">
      <c r="A387">
        <v>394</v>
      </c>
      <c r="B387" t="s">
        <v>2187</v>
      </c>
      <c r="C387" t="s">
        <v>2188</v>
      </c>
      <c r="D387" t="s">
        <v>2003</v>
      </c>
      <c r="E387" s="7">
        <v>45209</v>
      </c>
      <c r="F387">
        <v>28</v>
      </c>
      <c r="G387">
        <f t="shared" ref="G387:G450" si="6">F387*0.0254</f>
        <v>0.71119999999999994</v>
      </c>
      <c r="H387" t="s">
        <v>1866</v>
      </c>
      <c r="I387" t="s">
        <v>2169</v>
      </c>
      <c r="J387" t="s">
        <v>2189</v>
      </c>
      <c r="K387" t="s">
        <v>2720</v>
      </c>
      <c r="M387" t="b">
        <v>1</v>
      </c>
      <c r="N387" s="7">
        <v>45930</v>
      </c>
      <c r="O387" t="s">
        <v>2191</v>
      </c>
      <c r="P387">
        <v>35.310818359999999</v>
      </c>
      <c r="Q387">
        <v>-120.662435</v>
      </c>
      <c r="R387" t="s">
        <v>1808</v>
      </c>
      <c r="S387">
        <v>18606</v>
      </c>
      <c r="T387" t="s">
        <v>1809</v>
      </c>
      <c r="U387" t="s">
        <v>2192</v>
      </c>
      <c r="V387">
        <v>451</v>
      </c>
      <c r="W387" t="s">
        <v>2710</v>
      </c>
      <c r="X387" t="b">
        <v>0</v>
      </c>
      <c r="Y387" t="s">
        <v>2101</v>
      </c>
      <c r="Z387" s="6"/>
    </row>
    <row r="388" spans="1:26" ht="14.45" customHeight="1">
      <c r="A388">
        <v>395</v>
      </c>
      <c r="B388" t="s">
        <v>2187</v>
      </c>
      <c r="C388" t="s">
        <v>2188</v>
      </c>
      <c r="D388" t="s">
        <v>1826</v>
      </c>
      <c r="E388" s="7">
        <v>45209</v>
      </c>
      <c r="F388">
        <v>28</v>
      </c>
      <c r="G388">
        <f t="shared" si="6"/>
        <v>0.71119999999999994</v>
      </c>
      <c r="H388" t="s">
        <v>1866</v>
      </c>
      <c r="I388" t="s">
        <v>2169</v>
      </c>
      <c r="J388" t="s">
        <v>2189</v>
      </c>
      <c r="K388" t="s">
        <v>2721</v>
      </c>
      <c r="M388" t="b">
        <v>1</v>
      </c>
      <c r="N388" s="7">
        <v>45930</v>
      </c>
      <c r="O388" t="s">
        <v>2191</v>
      </c>
      <c r="P388">
        <v>35.310811569999998</v>
      </c>
      <c r="Q388">
        <v>-120.6624121</v>
      </c>
      <c r="R388" t="s">
        <v>1808</v>
      </c>
      <c r="S388">
        <v>18588</v>
      </c>
      <c r="T388" t="s">
        <v>1809</v>
      </c>
      <c r="U388" t="s">
        <v>2192</v>
      </c>
      <c r="V388">
        <v>436</v>
      </c>
      <c r="W388" t="s">
        <v>2710</v>
      </c>
      <c r="X388" t="b">
        <v>0</v>
      </c>
      <c r="Y388" t="s">
        <v>2101</v>
      </c>
      <c r="Z388" s="6"/>
    </row>
    <row r="389" spans="1:26" ht="14.45" customHeight="1">
      <c r="A389">
        <v>404</v>
      </c>
      <c r="B389" t="s">
        <v>2722</v>
      </c>
      <c r="C389" t="s">
        <v>2723</v>
      </c>
      <c r="D389" t="s">
        <v>2003</v>
      </c>
      <c r="E389" s="7">
        <v>45209</v>
      </c>
      <c r="F389">
        <v>19</v>
      </c>
      <c r="G389">
        <f t="shared" si="6"/>
        <v>0.48259999999999997</v>
      </c>
      <c r="H389" t="s">
        <v>1842</v>
      </c>
      <c r="I389" t="s">
        <v>2169</v>
      </c>
      <c r="J389" t="s">
        <v>2707</v>
      </c>
      <c r="K389" t="s">
        <v>2724</v>
      </c>
      <c r="M389" t="b">
        <v>1</v>
      </c>
      <c r="N389" s="7">
        <v>45637</v>
      </c>
      <c r="O389" t="s">
        <v>1301</v>
      </c>
      <c r="P389">
        <v>35.310731920000002</v>
      </c>
      <c r="Q389">
        <v>-120.6623464</v>
      </c>
      <c r="R389" t="s">
        <v>1808</v>
      </c>
      <c r="S389">
        <v>18607</v>
      </c>
      <c r="T389" t="s">
        <v>1809</v>
      </c>
      <c r="U389" t="s">
        <v>2725</v>
      </c>
      <c r="V389">
        <v>452</v>
      </c>
      <c r="W389" t="s">
        <v>2710</v>
      </c>
      <c r="X389" t="b">
        <v>0</v>
      </c>
      <c r="Y389" t="s">
        <v>2101</v>
      </c>
      <c r="Z389" s="6"/>
    </row>
    <row r="390" spans="1:26" ht="14.45" customHeight="1">
      <c r="A390">
        <v>153</v>
      </c>
      <c r="B390" t="s">
        <v>1969</v>
      </c>
      <c r="C390" t="s">
        <v>1970</v>
      </c>
      <c r="D390" t="s">
        <v>2003</v>
      </c>
      <c r="E390" s="7">
        <v>45209</v>
      </c>
      <c r="F390">
        <v>7</v>
      </c>
      <c r="G390">
        <f t="shared" si="6"/>
        <v>0.17779999999999999</v>
      </c>
      <c r="H390" t="s">
        <v>1804</v>
      </c>
      <c r="I390" t="s">
        <v>1971</v>
      </c>
      <c r="J390" t="s">
        <v>1972</v>
      </c>
      <c r="K390" t="s">
        <v>2726</v>
      </c>
      <c r="M390" t="b">
        <v>1</v>
      </c>
      <c r="N390" s="7">
        <v>45604</v>
      </c>
      <c r="O390" t="s">
        <v>1187</v>
      </c>
      <c r="P390">
        <v>35.310157449999998</v>
      </c>
      <c r="Q390">
        <v>-120.6618993</v>
      </c>
      <c r="R390" t="s">
        <v>1808</v>
      </c>
      <c r="S390">
        <v>18577</v>
      </c>
      <c r="T390" t="s">
        <v>1809</v>
      </c>
      <c r="U390" t="s">
        <v>2727</v>
      </c>
      <c r="V390">
        <v>425</v>
      </c>
      <c r="W390" t="s">
        <v>2728</v>
      </c>
      <c r="X390" t="b">
        <v>0</v>
      </c>
      <c r="Y390" t="s">
        <v>2075</v>
      </c>
      <c r="Z390" s="6"/>
    </row>
    <row r="391" spans="1:26" ht="14.45" customHeight="1">
      <c r="A391">
        <v>156</v>
      </c>
      <c r="B391" t="s">
        <v>1969</v>
      </c>
      <c r="C391" t="s">
        <v>1970</v>
      </c>
      <c r="D391" t="s">
        <v>2003</v>
      </c>
      <c r="E391" s="7">
        <v>45209</v>
      </c>
      <c r="F391">
        <v>13</v>
      </c>
      <c r="G391">
        <f t="shared" si="6"/>
        <v>0.33019999999999999</v>
      </c>
      <c r="H391" t="s">
        <v>1855</v>
      </c>
      <c r="I391" t="s">
        <v>1971</v>
      </c>
      <c r="J391" t="s">
        <v>1972</v>
      </c>
      <c r="K391" t="s">
        <v>2729</v>
      </c>
      <c r="M391" t="b">
        <v>1</v>
      </c>
      <c r="N391" s="7">
        <v>45604</v>
      </c>
      <c r="O391" t="s">
        <v>1187</v>
      </c>
      <c r="P391">
        <v>35.310173859999999</v>
      </c>
      <c r="Q391">
        <v>-120.6619194</v>
      </c>
      <c r="R391" t="s">
        <v>1808</v>
      </c>
      <c r="S391">
        <v>18575</v>
      </c>
      <c r="T391" t="s">
        <v>1809</v>
      </c>
      <c r="U391" t="s">
        <v>2730</v>
      </c>
      <c r="V391">
        <v>423</v>
      </c>
      <c r="W391" t="s">
        <v>2728</v>
      </c>
      <c r="X391" t="b">
        <v>0</v>
      </c>
      <c r="Y391" t="s">
        <v>2075</v>
      </c>
      <c r="Z391" s="6"/>
    </row>
    <row r="392" spans="1:26" ht="14.45" customHeight="1">
      <c r="A392">
        <v>160</v>
      </c>
      <c r="B392" t="s">
        <v>1969</v>
      </c>
      <c r="C392" t="s">
        <v>1970</v>
      </c>
      <c r="D392" t="s">
        <v>2003</v>
      </c>
      <c r="E392" s="7">
        <v>45209</v>
      </c>
      <c r="F392">
        <v>21</v>
      </c>
      <c r="G392">
        <f t="shared" si="6"/>
        <v>0.53339999999999999</v>
      </c>
      <c r="H392" t="s">
        <v>1842</v>
      </c>
      <c r="I392" t="s">
        <v>1971</v>
      </c>
      <c r="J392" t="s">
        <v>1972</v>
      </c>
      <c r="K392" t="s">
        <v>2731</v>
      </c>
      <c r="M392" t="b">
        <v>1</v>
      </c>
      <c r="N392" s="7">
        <v>45604</v>
      </c>
      <c r="O392" t="s">
        <v>1187</v>
      </c>
      <c r="P392">
        <v>35.310186999999999</v>
      </c>
      <c r="Q392">
        <v>-120.66186709999999</v>
      </c>
      <c r="R392" t="s">
        <v>1808</v>
      </c>
      <c r="S392">
        <v>18573</v>
      </c>
      <c r="T392" t="s">
        <v>1809</v>
      </c>
      <c r="U392" t="s">
        <v>2289</v>
      </c>
      <c r="V392">
        <v>421</v>
      </c>
      <c r="W392" t="s">
        <v>2728</v>
      </c>
      <c r="X392" t="b">
        <v>0</v>
      </c>
      <c r="Y392" t="s">
        <v>2075</v>
      </c>
      <c r="Z392" s="667"/>
    </row>
    <row r="393" spans="1:26" ht="14.45" customHeight="1">
      <c r="A393">
        <v>161</v>
      </c>
      <c r="B393" t="s">
        <v>1969</v>
      </c>
      <c r="C393" t="s">
        <v>1970</v>
      </c>
      <c r="D393" t="s">
        <v>2003</v>
      </c>
      <c r="E393" s="7">
        <v>45209</v>
      </c>
      <c r="F393">
        <v>21</v>
      </c>
      <c r="G393">
        <f t="shared" si="6"/>
        <v>0.53339999999999999</v>
      </c>
      <c r="H393" t="s">
        <v>1842</v>
      </c>
      <c r="I393" t="s">
        <v>1971</v>
      </c>
      <c r="J393" t="s">
        <v>1972</v>
      </c>
      <c r="K393" t="s">
        <v>2732</v>
      </c>
      <c r="M393" t="b">
        <v>1</v>
      </c>
      <c r="N393" s="7">
        <v>45604</v>
      </c>
      <c r="O393" t="s">
        <v>1187</v>
      </c>
      <c r="P393">
        <v>35.310218939999999</v>
      </c>
      <c r="Q393">
        <v>-120.6618787</v>
      </c>
      <c r="R393" t="s">
        <v>1808</v>
      </c>
      <c r="S393">
        <v>18571</v>
      </c>
      <c r="T393" t="s">
        <v>1809</v>
      </c>
      <c r="U393" t="s">
        <v>2289</v>
      </c>
      <c r="V393">
        <v>419</v>
      </c>
      <c r="W393" t="s">
        <v>2728</v>
      </c>
      <c r="X393" t="b">
        <v>0</v>
      </c>
      <c r="Y393" t="s">
        <v>2075</v>
      </c>
      <c r="Z393" s="667"/>
    </row>
    <row r="394" spans="1:26" ht="14.45" customHeight="1">
      <c r="A394">
        <v>163</v>
      </c>
      <c r="B394" t="s">
        <v>1969</v>
      </c>
      <c r="C394" t="s">
        <v>1970</v>
      </c>
      <c r="D394" t="s">
        <v>2003</v>
      </c>
      <c r="E394" s="7">
        <v>45209</v>
      </c>
      <c r="F394">
        <v>22</v>
      </c>
      <c r="G394">
        <f t="shared" si="6"/>
        <v>0.55879999999999996</v>
      </c>
      <c r="H394" t="s">
        <v>1842</v>
      </c>
      <c r="I394" t="s">
        <v>1971</v>
      </c>
      <c r="J394" t="s">
        <v>1972</v>
      </c>
      <c r="K394" t="s">
        <v>2733</v>
      </c>
      <c r="M394" t="b">
        <v>1</v>
      </c>
      <c r="N394" s="7">
        <v>45604</v>
      </c>
      <c r="O394" t="s">
        <v>1187</v>
      </c>
      <c r="P394">
        <v>35.310227699999999</v>
      </c>
      <c r="Q394">
        <v>-120.66194299999999</v>
      </c>
      <c r="R394" t="s">
        <v>1808</v>
      </c>
      <c r="S394">
        <v>18570</v>
      </c>
      <c r="T394" t="s">
        <v>1809</v>
      </c>
      <c r="U394" t="s">
        <v>2289</v>
      </c>
      <c r="V394">
        <v>418</v>
      </c>
      <c r="W394" t="s">
        <v>2728</v>
      </c>
      <c r="X394" t="b">
        <v>0</v>
      </c>
      <c r="Y394" t="s">
        <v>2075</v>
      </c>
      <c r="Z394" s="6"/>
    </row>
    <row r="395" spans="1:26" ht="14.45" customHeight="1">
      <c r="A395">
        <v>184</v>
      </c>
      <c r="B395" t="s">
        <v>1624</v>
      </c>
      <c r="C395" t="s">
        <v>2072</v>
      </c>
      <c r="D395" t="s">
        <v>1826</v>
      </c>
      <c r="E395" s="7">
        <v>45209</v>
      </c>
      <c r="F395">
        <v>5</v>
      </c>
      <c r="G395">
        <f t="shared" si="6"/>
        <v>0.127</v>
      </c>
      <c r="H395" t="s">
        <v>1814</v>
      </c>
      <c r="I395" t="s">
        <v>1982</v>
      </c>
      <c r="J395" t="s">
        <v>1983</v>
      </c>
      <c r="K395" t="s">
        <v>2734</v>
      </c>
      <c r="M395" t="b">
        <v>1</v>
      </c>
      <c r="N395" s="7">
        <v>45637</v>
      </c>
      <c r="O395" t="s">
        <v>2074</v>
      </c>
      <c r="P395">
        <v>35.310280140000003</v>
      </c>
      <c r="Q395">
        <v>-120.662227</v>
      </c>
      <c r="R395" t="s">
        <v>1808</v>
      </c>
      <c r="S395">
        <v>18568</v>
      </c>
      <c r="T395" t="s">
        <v>1809</v>
      </c>
      <c r="U395" t="s">
        <v>2111</v>
      </c>
      <c r="V395">
        <v>416</v>
      </c>
      <c r="W395" t="s">
        <v>2735</v>
      </c>
      <c r="X395" t="b">
        <v>0</v>
      </c>
      <c r="Y395" t="s">
        <v>2075</v>
      </c>
      <c r="Z395" s="6"/>
    </row>
    <row r="396" spans="1:26" ht="14.45" customHeight="1">
      <c r="A396">
        <v>185</v>
      </c>
      <c r="B396" t="s">
        <v>1624</v>
      </c>
      <c r="C396" t="s">
        <v>2072</v>
      </c>
      <c r="D396" t="s">
        <v>1826</v>
      </c>
      <c r="E396" s="7">
        <v>45209</v>
      </c>
      <c r="F396">
        <v>5</v>
      </c>
      <c r="G396">
        <f t="shared" si="6"/>
        <v>0.127</v>
      </c>
      <c r="H396" t="s">
        <v>1814</v>
      </c>
      <c r="I396" t="s">
        <v>1982</v>
      </c>
      <c r="J396" t="s">
        <v>1983</v>
      </c>
      <c r="K396" t="s">
        <v>2736</v>
      </c>
      <c r="M396" t="b">
        <v>1</v>
      </c>
      <c r="N396" s="7">
        <v>45637</v>
      </c>
      <c r="O396" t="s">
        <v>2074</v>
      </c>
      <c r="P396">
        <v>35.3101883</v>
      </c>
      <c r="Q396">
        <v>-120.66205170000001</v>
      </c>
      <c r="R396" t="s">
        <v>1808</v>
      </c>
      <c r="S396">
        <v>18505</v>
      </c>
      <c r="T396" t="s">
        <v>1809</v>
      </c>
      <c r="U396" t="s">
        <v>2737</v>
      </c>
      <c r="V396">
        <v>361</v>
      </c>
      <c r="W396" t="s">
        <v>2735</v>
      </c>
      <c r="X396" t="b">
        <v>0</v>
      </c>
      <c r="Y396" t="s">
        <v>2075</v>
      </c>
      <c r="Z396" s="6"/>
    </row>
    <row r="397" spans="1:26" ht="14.45" customHeight="1">
      <c r="A397">
        <v>198</v>
      </c>
      <c r="B397" t="s">
        <v>1624</v>
      </c>
      <c r="C397" t="s">
        <v>2072</v>
      </c>
      <c r="D397" t="s">
        <v>2003</v>
      </c>
      <c r="E397" s="7">
        <v>45209</v>
      </c>
      <c r="F397">
        <v>16</v>
      </c>
      <c r="G397">
        <f t="shared" si="6"/>
        <v>0.40639999999999998</v>
      </c>
      <c r="H397" t="s">
        <v>1855</v>
      </c>
      <c r="I397" t="s">
        <v>1982</v>
      </c>
      <c r="J397" t="s">
        <v>1983</v>
      </c>
      <c r="K397" t="s">
        <v>2738</v>
      </c>
      <c r="M397" t="b">
        <v>1</v>
      </c>
      <c r="N397" s="7">
        <v>45637</v>
      </c>
      <c r="O397" t="s">
        <v>2074</v>
      </c>
      <c r="P397">
        <v>35.310312619999998</v>
      </c>
      <c r="Q397">
        <v>-120.6620322</v>
      </c>
      <c r="R397" t="s">
        <v>1808</v>
      </c>
      <c r="S397">
        <v>18557</v>
      </c>
      <c r="T397" t="s">
        <v>1809</v>
      </c>
      <c r="U397" t="s">
        <v>2111</v>
      </c>
      <c r="V397">
        <v>405</v>
      </c>
      <c r="W397" t="s">
        <v>2728</v>
      </c>
      <c r="X397" t="b">
        <v>0</v>
      </c>
      <c r="Y397" t="s">
        <v>2075</v>
      </c>
      <c r="Z397" s="667"/>
    </row>
    <row r="398" spans="1:26" ht="14.45" customHeight="1">
      <c r="A398">
        <v>201</v>
      </c>
      <c r="B398" t="s">
        <v>1624</v>
      </c>
      <c r="C398" t="s">
        <v>2072</v>
      </c>
      <c r="D398" t="s">
        <v>1826</v>
      </c>
      <c r="E398" s="7">
        <v>45209</v>
      </c>
      <c r="F398">
        <v>17</v>
      </c>
      <c r="G398">
        <f t="shared" si="6"/>
        <v>0.43179999999999996</v>
      </c>
      <c r="H398" t="s">
        <v>1855</v>
      </c>
      <c r="I398" t="s">
        <v>1982</v>
      </c>
      <c r="J398" t="s">
        <v>1983</v>
      </c>
      <c r="K398" t="s">
        <v>2739</v>
      </c>
      <c r="M398" t="b">
        <v>1</v>
      </c>
      <c r="N398" s="7">
        <v>45637</v>
      </c>
      <c r="O398" t="s">
        <v>2074</v>
      </c>
      <c r="P398">
        <v>35.310333010000001</v>
      </c>
      <c r="Q398">
        <v>-120.6621112</v>
      </c>
      <c r="R398" t="s">
        <v>1808</v>
      </c>
      <c r="S398">
        <v>18545</v>
      </c>
      <c r="T398" t="s">
        <v>1809</v>
      </c>
      <c r="U398" t="s">
        <v>2111</v>
      </c>
      <c r="V398">
        <v>396</v>
      </c>
      <c r="W398" t="s">
        <v>2735</v>
      </c>
      <c r="X398" t="b">
        <v>0</v>
      </c>
      <c r="Y398" t="s">
        <v>2075</v>
      </c>
      <c r="Z398" s="667"/>
    </row>
    <row r="399" spans="1:26" ht="14.45" customHeight="1">
      <c r="A399">
        <v>211</v>
      </c>
      <c r="B399" t="s">
        <v>1624</v>
      </c>
      <c r="C399" t="s">
        <v>2072</v>
      </c>
      <c r="D399" t="s">
        <v>2003</v>
      </c>
      <c r="E399" s="7">
        <v>45209</v>
      </c>
      <c r="F399">
        <v>20</v>
      </c>
      <c r="G399">
        <f t="shared" si="6"/>
        <v>0.50800000000000001</v>
      </c>
      <c r="H399" t="s">
        <v>1842</v>
      </c>
      <c r="I399" t="s">
        <v>1982</v>
      </c>
      <c r="J399" t="s">
        <v>1983</v>
      </c>
      <c r="K399" t="s">
        <v>2740</v>
      </c>
      <c r="M399" t="b">
        <v>1</v>
      </c>
      <c r="N399" s="7">
        <v>45637</v>
      </c>
      <c r="O399" t="s">
        <v>2074</v>
      </c>
      <c r="P399">
        <v>35.310246239999998</v>
      </c>
      <c r="Q399">
        <v>-120.6620961</v>
      </c>
      <c r="R399" t="s">
        <v>1808</v>
      </c>
      <c r="S399">
        <v>18534</v>
      </c>
      <c r="T399" t="s">
        <v>1809</v>
      </c>
      <c r="U399" t="s">
        <v>2111</v>
      </c>
      <c r="V399">
        <v>386</v>
      </c>
      <c r="W399" t="s">
        <v>2735</v>
      </c>
      <c r="X399" t="b">
        <v>0</v>
      </c>
      <c r="Y399" t="s">
        <v>2075</v>
      </c>
      <c r="Z399" s="667"/>
    </row>
    <row r="400" spans="1:26" ht="14.45" customHeight="1">
      <c r="A400">
        <v>272</v>
      </c>
      <c r="B400" t="s">
        <v>2290</v>
      </c>
      <c r="C400" t="s">
        <v>2291</v>
      </c>
      <c r="D400" t="s">
        <v>1946</v>
      </c>
      <c r="E400" s="7">
        <v>45209</v>
      </c>
      <c r="F400">
        <v>8</v>
      </c>
      <c r="G400">
        <f t="shared" si="6"/>
        <v>0.20319999999999999</v>
      </c>
      <c r="H400" t="s">
        <v>1804</v>
      </c>
      <c r="I400" t="s">
        <v>1982</v>
      </c>
      <c r="J400" t="s">
        <v>1983</v>
      </c>
      <c r="K400" t="s">
        <v>2741</v>
      </c>
      <c r="M400" t="b">
        <v>1</v>
      </c>
      <c r="N400" s="7">
        <v>45604</v>
      </c>
      <c r="O400" t="s">
        <v>1393</v>
      </c>
      <c r="P400">
        <v>35.310258249999997</v>
      </c>
      <c r="Q400">
        <v>-120.6621478</v>
      </c>
      <c r="R400" t="s">
        <v>1808</v>
      </c>
      <c r="S400">
        <v>18515</v>
      </c>
      <c r="T400" t="s">
        <v>1809</v>
      </c>
      <c r="U400" t="s">
        <v>2293</v>
      </c>
      <c r="V400">
        <v>369</v>
      </c>
      <c r="W400" t="s">
        <v>2735</v>
      </c>
      <c r="X400" t="b">
        <v>0</v>
      </c>
      <c r="Y400" t="s">
        <v>2075</v>
      </c>
      <c r="Z400" s="667"/>
    </row>
    <row r="401" spans="1:26" ht="14.45" customHeight="1">
      <c r="A401">
        <v>116</v>
      </c>
      <c r="B401" t="s">
        <v>2678</v>
      </c>
      <c r="C401" t="s">
        <v>2679</v>
      </c>
      <c r="D401" t="s">
        <v>2003</v>
      </c>
      <c r="E401" s="7">
        <v>45209</v>
      </c>
      <c r="F401">
        <v>9</v>
      </c>
      <c r="G401">
        <f t="shared" si="6"/>
        <v>0.2286</v>
      </c>
      <c r="H401" t="s">
        <v>1804</v>
      </c>
      <c r="I401" t="s">
        <v>2062</v>
      </c>
      <c r="J401" t="s">
        <v>2680</v>
      </c>
      <c r="K401" t="s">
        <v>2742</v>
      </c>
      <c r="M401" t="b">
        <v>1</v>
      </c>
      <c r="N401" s="7">
        <v>45637</v>
      </c>
      <c r="O401" t="s">
        <v>2682</v>
      </c>
      <c r="P401">
        <v>35.310324250000001</v>
      </c>
      <c r="Q401">
        <v>-120.66244589999999</v>
      </c>
      <c r="R401" t="s">
        <v>1808</v>
      </c>
      <c r="S401">
        <v>18521</v>
      </c>
      <c r="T401" t="s">
        <v>1809</v>
      </c>
      <c r="U401" t="s">
        <v>2743</v>
      </c>
      <c r="V401">
        <v>375</v>
      </c>
      <c r="W401" t="s">
        <v>2728</v>
      </c>
      <c r="X401" t="b">
        <v>0</v>
      </c>
      <c r="Y401" t="s">
        <v>2075</v>
      </c>
      <c r="Z401" s="6"/>
    </row>
    <row r="402" spans="1:26" ht="14.45" customHeight="1">
      <c r="A402">
        <v>148</v>
      </c>
      <c r="B402" t="s">
        <v>2094</v>
      </c>
      <c r="C402" t="s">
        <v>2095</v>
      </c>
      <c r="D402" t="s">
        <v>1826</v>
      </c>
      <c r="E402" s="7">
        <v>45209</v>
      </c>
      <c r="F402">
        <v>9</v>
      </c>
      <c r="G402">
        <f t="shared" si="6"/>
        <v>0.2286</v>
      </c>
      <c r="H402" t="s">
        <v>1804</v>
      </c>
      <c r="J402" t="s">
        <v>2096</v>
      </c>
      <c r="K402" t="s">
        <v>2744</v>
      </c>
      <c r="M402" t="b">
        <v>1</v>
      </c>
      <c r="N402" s="7">
        <v>45604</v>
      </c>
      <c r="O402" t="s">
        <v>2098</v>
      </c>
      <c r="P402">
        <v>35.310218849999998</v>
      </c>
      <c r="Q402">
        <v>-120.66210890000001</v>
      </c>
      <c r="R402" t="s">
        <v>1808</v>
      </c>
      <c r="S402">
        <v>18522</v>
      </c>
      <c r="T402" t="s">
        <v>1809</v>
      </c>
      <c r="U402" t="s">
        <v>2277</v>
      </c>
      <c r="V402">
        <v>376</v>
      </c>
      <c r="W402" t="s">
        <v>2735</v>
      </c>
      <c r="X402" t="b">
        <v>0</v>
      </c>
      <c r="Y402" t="s">
        <v>2075</v>
      </c>
      <c r="Z402" s="6"/>
    </row>
    <row r="403" spans="1:26" ht="14.45" customHeight="1">
      <c r="A403">
        <v>469</v>
      </c>
      <c r="B403" t="s">
        <v>2634</v>
      </c>
      <c r="C403" t="s">
        <v>2635</v>
      </c>
      <c r="D403" t="s">
        <v>2003</v>
      </c>
      <c r="E403" s="7">
        <v>45196</v>
      </c>
      <c r="F403">
        <v>9</v>
      </c>
      <c r="G403">
        <f t="shared" si="6"/>
        <v>0.2286</v>
      </c>
      <c r="H403" t="s">
        <v>1804</v>
      </c>
      <c r="I403" t="s">
        <v>1815</v>
      </c>
      <c r="J403" t="s">
        <v>1825</v>
      </c>
      <c r="K403" t="s">
        <v>2745</v>
      </c>
      <c r="M403" t="b">
        <v>1</v>
      </c>
      <c r="N403" s="7">
        <v>45603</v>
      </c>
      <c r="O403" t="s">
        <v>2637</v>
      </c>
      <c r="P403">
        <v>35.310605590000002</v>
      </c>
      <c r="Q403">
        <v>-120.6630507</v>
      </c>
      <c r="R403" t="s">
        <v>1808</v>
      </c>
      <c r="S403">
        <v>18461</v>
      </c>
      <c r="T403" t="s">
        <v>1809</v>
      </c>
      <c r="U403" t="s">
        <v>2638</v>
      </c>
      <c r="V403">
        <v>353</v>
      </c>
      <c r="W403" t="s">
        <v>2624</v>
      </c>
      <c r="X403" t="b">
        <v>0</v>
      </c>
      <c r="Y403" t="s">
        <v>1811</v>
      </c>
      <c r="Z403" s="6"/>
    </row>
    <row r="404" spans="1:26" ht="14.45" customHeight="1">
      <c r="A404">
        <v>100</v>
      </c>
      <c r="B404" t="s">
        <v>2133</v>
      </c>
      <c r="C404" t="s">
        <v>2134</v>
      </c>
      <c r="D404" t="s">
        <v>2003</v>
      </c>
      <c r="E404" s="7">
        <v>45195</v>
      </c>
      <c r="F404">
        <v>32</v>
      </c>
      <c r="G404">
        <f t="shared" si="6"/>
        <v>0.81279999999999997</v>
      </c>
      <c r="H404" t="s">
        <v>1881</v>
      </c>
      <c r="I404" t="s">
        <v>2135</v>
      </c>
      <c r="J404" t="s">
        <v>2136</v>
      </c>
      <c r="K404" t="s">
        <v>2746</v>
      </c>
      <c r="M404" t="b">
        <v>1</v>
      </c>
      <c r="N404" s="7">
        <v>45603</v>
      </c>
      <c r="O404" t="s">
        <v>1244</v>
      </c>
      <c r="P404">
        <v>35.310509860000003</v>
      </c>
      <c r="Q404">
        <v>-120.6630045</v>
      </c>
      <c r="R404" t="s">
        <v>1808</v>
      </c>
      <c r="S404">
        <v>18342</v>
      </c>
      <c r="T404" t="s">
        <v>1809</v>
      </c>
      <c r="U404" t="s">
        <v>2138</v>
      </c>
      <c r="V404">
        <v>246</v>
      </c>
      <c r="W404" t="s">
        <v>2624</v>
      </c>
      <c r="X404" t="b">
        <v>0</v>
      </c>
      <c r="Y404" t="s">
        <v>1811</v>
      </c>
      <c r="Z404" s="6"/>
    </row>
    <row r="405" spans="1:26" ht="14.45" customHeight="1">
      <c r="A405">
        <v>7</v>
      </c>
      <c r="B405" t="s">
        <v>1802</v>
      </c>
      <c r="C405" t="s">
        <v>1803</v>
      </c>
      <c r="D405" t="s">
        <v>1946</v>
      </c>
      <c r="E405" s="7">
        <v>45195</v>
      </c>
      <c r="F405">
        <v>6</v>
      </c>
      <c r="G405">
        <f t="shared" si="6"/>
        <v>0.15239999999999998</v>
      </c>
      <c r="H405" t="s">
        <v>1804</v>
      </c>
      <c r="I405" t="s">
        <v>1805</v>
      </c>
      <c r="J405" t="s">
        <v>1803</v>
      </c>
      <c r="K405" t="s">
        <v>2747</v>
      </c>
      <c r="M405" t="b">
        <v>1</v>
      </c>
      <c r="N405" s="7">
        <v>45603</v>
      </c>
      <c r="O405" t="s">
        <v>1807</v>
      </c>
      <c r="P405">
        <v>35.31064757</v>
      </c>
      <c r="Q405">
        <v>-120.6630013</v>
      </c>
      <c r="R405" t="s">
        <v>1808</v>
      </c>
      <c r="S405">
        <v>18358</v>
      </c>
      <c r="T405" t="s">
        <v>1809</v>
      </c>
      <c r="V405">
        <v>259</v>
      </c>
      <c r="W405" t="s">
        <v>2624</v>
      </c>
      <c r="X405" t="b">
        <v>0</v>
      </c>
      <c r="Y405" t="s">
        <v>1811</v>
      </c>
      <c r="Z405" s="6"/>
    </row>
    <row r="406" spans="1:26" ht="14.45" customHeight="1">
      <c r="A406">
        <v>372</v>
      </c>
      <c r="B406" t="s">
        <v>1819</v>
      </c>
      <c r="C406" t="s">
        <v>1820</v>
      </c>
      <c r="D406" t="s">
        <v>1826</v>
      </c>
      <c r="E406" s="7">
        <v>45195</v>
      </c>
      <c r="F406">
        <v>6</v>
      </c>
      <c r="G406">
        <f t="shared" si="6"/>
        <v>0.15239999999999998</v>
      </c>
      <c r="H406" t="s">
        <v>1804</v>
      </c>
      <c r="I406" t="s">
        <v>1815</v>
      </c>
      <c r="J406" t="s">
        <v>1821</v>
      </c>
      <c r="K406" t="s">
        <v>2748</v>
      </c>
      <c r="M406" t="b">
        <v>1</v>
      </c>
      <c r="N406" s="7">
        <v>45923</v>
      </c>
      <c r="O406" t="s">
        <v>1823</v>
      </c>
      <c r="P406">
        <v>35.310717259999997</v>
      </c>
      <c r="Q406">
        <v>-120.66325139999999</v>
      </c>
      <c r="R406" t="s">
        <v>1808</v>
      </c>
      <c r="S406">
        <v>27459</v>
      </c>
      <c r="T406" t="s">
        <v>1809</v>
      </c>
      <c r="U406" t="s">
        <v>2749</v>
      </c>
      <c r="V406">
        <v>778</v>
      </c>
      <c r="W406" t="s">
        <v>1845</v>
      </c>
      <c r="X406" t="b">
        <v>0</v>
      </c>
      <c r="Y406" t="s">
        <v>1811</v>
      </c>
      <c r="Z406" s="6"/>
    </row>
    <row r="407" spans="1:26" ht="14.45" customHeight="1">
      <c r="A407">
        <v>373</v>
      </c>
      <c r="B407" t="s">
        <v>1819</v>
      </c>
      <c r="C407" t="s">
        <v>1820</v>
      </c>
      <c r="D407" t="s">
        <v>1826</v>
      </c>
      <c r="E407" s="7">
        <v>45195</v>
      </c>
      <c r="F407">
        <v>6</v>
      </c>
      <c r="G407">
        <f t="shared" si="6"/>
        <v>0.15239999999999998</v>
      </c>
      <c r="H407" t="s">
        <v>1804</v>
      </c>
      <c r="I407" t="s">
        <v>1815</v>
      </c>
      <c r="J407" t="s">
        <v>1821</v>
      </c>
      <c r="K407" t="s">
        <v>2750</v>
      </c>
      <c r="M407" t="b">
        <v>1</v>
      </c>
      <c r="N407" s="7">
        <v>45575</v>
      </c>
      <c r="O407" t="s">
        <v>1823</v>
      </c>
      <c r="P407">
        <v>35.310751979999999</v>
      </c>
      <c r="Q407">
        <v>-120.6631715</v>
      </c>
      <c r="R407" t="s">
        <v>1808</v>
      </c>
      <c r="S407">
        <v>18422</v>
      </c>
      <c r="T407" t="s">
        <v>1809</v>
      </c>
      <c r="U407" t="s">
        <v>2749</v>
      </c>
      <c r="V407">
        <v>318</v>
      </c>
      <c r="W407" t="s">
        <v>2624</v>
      </c>
      <c r="X407" t="b">
        <v>0</v>
      </c>
      <c r="Y407" t="s">
        <v>1811</v>
      </c>
      <c r="Z407" s="6"/>
    </row>
    <row r="408" spans="1:26" ht="14.45" customHeight="1">
      <c r="A408">
        <v>374</v>
      </c>
      <c r="B408" t="s">
        <v>1819</v>
      </c>
      <c r="C408" t="s">
        <v>1820</v>
      </c>
      <c r="D408" t="s">
        <v>1826</v>
      </c>
      <c r="E408" s="7">
        <v>45195</v>
      </c>
      <c r="F408">
        <v>6</v>
      </c>
      <c r="G408">
        <f t="shared" si="6"/>
        <v>0.15239999999999998</v>
      </c>
      <c r="H408" t="s">
        <v>1804</v>
      </c>
      <c r="I408" t="s">
        <v>1815</v>
      </c>
      <c r="J408" t="s">
        <v>1821</v>
      </c>
      <c r="K408" t="s">
        <v>2751</v>
      </c>
      <c r="M408" t="b">
        <v>1</v>
      </c>
      <c r="N408" s="7">
        <v>45608</v>
      </c>
      <c r="O408" t="s">
        <v>1823</v>
      </c>
      <c r="P408">
        <v>35.310683740000002</v>
      </c>
      <c r="Q408">
        <v>-120.6632382</v>
      </c>
      <c r="R408" t="s">
        <v>1808</v>
      </c>
      <c r="S408">
        <v>18415</v>
      </c>
      <c r="T408" t="s">
        <v>1809</v>
      </c>
      <c r="U408" t="s">
        <v>2749</v>
      </c>
      <c r="V408">
        <v>311</v>
      </c>
      <c r="W408" t="s">
        <v>2624</v>
      </c>
      <c r="X408" t="b">
        <v>0</v>
      </c>
      <c r="Y408" t="s">
        <v>1811</v>
      </c>
      <c r="Z408" s="6"/>
    </row>
    <row r="409" spans="1:26" ht="14.45" customHeight="1">
      <c r="A409">
        <v>375</v>
      </c>
      <c r="B409" t="s">
        <v>1819</v>
      </c>
      <c r="C409" t="s">
        <v>1820</v>
      </c>
      <c r="D409" t="s">
        <v>2003</v>
      </c>
      <c r="E409" s="7">
        <v>45195</v>
      </c>
      <c r="F409">
        <v>15</v>
      </c>
      <c r="G409">
        <f t="shared" si="6"/>
        <v>0.38100000000000001</v>
      </c>
      <c r="H409" t="s">
        <v>1855</v>
      </c>
      <c r="I409" t="s">
        <v>1815</v>
      </c>
      <c r="J409" t="s">
        <v>1821</v>
      </c>
      <c r="K409" t="s">
        <v>2752</v>
      </c>
      <c r="M409" t="b">
        <v>1</v>
      </c>
      <c r="N409" s="7">
        <v>45923</v>
      </c>
      <c r="O409" t="s">
        <v>1823</v>
      </c>
      <c r="P409">
        <v>35.310681610000003</v>
      </c>
      <c r="Q409">
        <v>-120.6628954</v>
      </c>
      <c r="R409" t="s">
        <v>1808</v>
      </c>
      <c r="S409">
        <v>18388</v>
      </c>
      <c r="T409" t="s">
        <v>1809</v>
      </c>
      <c r="U409" t="s">
        <v>2749</v>
      </c>
      <c r="V409">
        <v>287</v>
      </c>
      <c r="W409" t="s">
        <v>2624</v>
      </c>
      <c r="X409" t="b">
        <v>0</v>
      </c>
      <c r="Y409" t="s">
        <v>1811</v>
      </c>
      <c r="Z409" s="6"/>
    </row>
    <row r="410" spans="1:26" ht="14.45" customHeight="1">
      <c r="A410">
        <v>467</v>
      </c>
      <c r="B410" t="s">
        <v>2634</v>
      </c>
      <c r="C410" t="s">
        <v>2635</v>
      </c>
      <c r="E410" s="7">
        <v>45195</v>
      </c>
      <c r="F410">
        <v>5</v>
      </c>
      <c r="G410">
        <f t="shared" si="6"/>
        <v>0.127</v>
      </c>
      <c r="H410" t="s">
        <v>1814</v>
      </c>
      <c r="I410" t="s">
        <v>1815</v>
      </c>
      <c r="J410" t="s">
        <v>1825</v>
      </c>
      <c r="K410" t="s">
        <v>2753</v>
      </c>
      <c r="M410" t="b">
        <v>1</v>
      </c>
      <c r="N410" s="7">
        <v>45608</v>
      </c>
      <c r="O410" t="s">
        <v>2637</v>
      </c>
      <c r="P410">
        <v>35.31070132</v>
      </c>
      <c r="Q410">
        <v>-120.66331940000001</v>
      </c>
      <c r="R410" t="s">
        <v>1808</v>
      </c>
      <c r="S410">
        <v>18418</v>
      </c>
      <c r="T410" t="s">
        <v>1809</v>
      </c>
      <c r="U410" t="s">
        <v>2754</v>
      </c>
      <c r="V410">
        <v>314</v>
      </c>
      <c r="W410" t="s">
        <v>2624</v>
      </c>
      <c r="X410" t="b">
        <v>0</v>
      </c>
      <c r="Y410" t="s">
        <v>1811</v>
      </c>
      <c r="Z410" s="6"/>
    </row>
    <row r="411" spans="1:26" ht="14.45" customHeight="1">
      <c r="A411">
        <v>522</v>
      </c>
      <c r="B411" t="s">
        <v>2350</v>
      </c>
      <c r="C411" t="s">
        <v>2351</v>
      </c>
      <c r="D411" t="s">
        <v>2003</v>
      </c>
      <c r="E411" s="7">
        <v>45195</v>
      </c>
      <c r="F411">
        <v>4</v>
      </c>
      <c r="G411">
        <f t="shared" si="6"/>
        <v>0.1016</v>
      </c>
      <c r="H411" t="s">
        <v>1814</v>
      </c>
      <c r="I411" t="s">
        <v>1815</v>
      </c>
      <c r="J411" t="s">
        <v>1816</v>
      </c>
      <c r="K411" t="s">
        <v>2755</v>
      </c>
      <c r="M411" t="b">
        <v>1</v>
      </c>
      <c r="N411" s="7">
        <v>45923</v>
      </c>
      <c r="O411" t="s">
        <v>2353</v>
      </c>
      <c r="P411">
        <v>35.310776429999997</v>
      </c>
      <c r="Q411">
        <v>-120.6630444</v>
      </c>
      <c r="R411" t="s">
        <v>1808</v>
      </c>
      <c r="S411">
        <v>18445</v>
      </c>
      <c r="T411" t="s">
        <v>1809</v>
      </c>
      <c r="U411" t="s">
        <v>2354</v>
      </c>
      <c r="V411">
        <v>340</v>
      </c>
      <c r="W411" t="s">
        <v>2624</v>
      </c>
      <c r="X411" t="b">
        <v>0</v>
      </c>
      <c r="Y411" t="s">
        <v>1811</v>
      </c>
      <c r="Z411" s="6"/>
    </row>
    <row r="412" spans="1:26" ht="14.45" customHeight="1">
      <c r="A412">
        <v>550</v>
      </c>
      <c r="B412" t="s">
        <v>1876</v>
      </c>
      <c r="C412" t="s">
        <v>1877</v>
      </c>
      <c r="D412" t="s">
        <v>2003</v>
      </c>
      <c r="E412" s="7">
        <v>45195</v>
      </c>
      <c r="F412">
        <v>3</v>
      </c>
      <c r="G412">
        <f t="shared" si="6"/>
        <v>7.619999999999999E-2</v>
      </c>
      <c r="H412" t="s">
        <v>1814</v>
      </c>
      <c r="I412" t="s">
        <v>1815</v>
      </c>
      <c r="J412" t="s">
        <v>1821</v>
      </c>
      <c r="K412" t="s">
        <v>2756</v>
      </c>
      <c r="M412" t="b">
        <v>1</v>
      </c>
      <c r="N412" s="7">
        <v>45597</v>
      </c>
      <c r="O412" t="s">
        <v>1181</v>
      </c>
      <c r="P412">
        <v>35.310701799999997</v>
      </c>
      <c r="Q412">
        <v>-120.66278819999999</v>
      </c>
      <c r="R412" t="s">
        <v>1808</v>
      </c>
      <c r="S412">
        <v>18374</v>
      </c>
      <c r="T412" t="s">
        <v>1809</v>
      </c>
      <c r="V412">
        <v>273</v>
      </c>
      <c r="W412" t="s">
        <v>2624</v>
      </c>
      <c r="X412" t="b">
        <v>0</v>
      </c>
      <c r="Y412" t="s">
        <v>1811</v>
      </c>
      <c r="Z412" s="6"/>
    </row>
    <row r="413" spans="1:26" ht="14.45" customHeight="1">
      <c r="A413">
        <v>540</v>
      </c>
      <c r="B413" t="s">
        <v>2102</v>
      </c>
      <c r="C413" t="s">
        <v>2103</v>
      </c>
      <c r="D413" t="s">
        <v>2003</v>
      </c>
      <c r="E413" s="7">
        <v>45195</v>
      </c>
      <c r="F413">
        <v>5</v>
      </c>
      <c r="G413">
        <f t="shared" si="6"/>
        <v>0.127</v>
      </c>
      <c r="H413" t="s">
        <v>1814</v>
      </c>
      <c r="I413" t="s">
        <v>2104</v>
      </c>
      <c r="J413" t="s">
        <v>2105</v>
      </c>
      <c r="K413" t="s">
        <v>2757</v>
      </c>
      <c r="M413" t="b">
        <v>1</v>
      </c>
      <c r="N413" s="7">
        <v>45603</v>
      </c>
      <c r="O413" t="s">
        <v>2107</v>
      </c>
      <c r="P413">
        <v>35.310770159999997</v>
      </c>
      <c r="Q413">
        <v>-120.663078</v>
      </c>
      <c r="R413" t="s">
        <v>1808</v>
      </c>
      <c r="S413">
        <v>18442</v>
      </c>
      <c r="T413" t="s">
        <v>1809</v>
      </c>
      <c r="U413" t="s">
        <v>2108</v>
      </c>
      <c r="V413">
        <v>337</v>
      </c>
      <c r="W413" t="s">
        <v>2624</v>
      </c>
      <c r="X413" t="b">
        <v>0</v>
      </c>
      <c r="Y413" t="s">
        <v>1811</v>
      </c>
      <c r="Z413" s="6"/>
    </row>
    <row r="414" spans="1:26" ht="14.45" customHeight="1">
      <c r="A414">
        <v>544</v>
      </c>
      <c r="B414" t="s">
        <v>2102</v>
      </c>
      <c r="C414" t="s">
        <v>2103</v>
      </c>
      <c r="D414" t="s">
        <v>2003</v>
      </c>
      <c r="E414" s="7">
        <v>45195</v>
      </c>
      <c r="F414">
        <v>7</v>
      </c>
      <c r="G414">
        <f t="shared" si="6"/>
        <v>0.17779999999999999</v>
      </c>
      <c r="H414" t="s">
        <v>1804</v>
      </c>
      <c r="I414" t="s">
        <v>2104</v>
      </c>
      <c r="J414" t="s">
        <v>2105</v>
      </c>
      <c r="K414" t="s">
        <v>2758</v>
      </c>
      <c r="M414" t="b">
        <v>1</v>
      </c>
      <c r="N414" s="7">
        <v>45608</v>
      </c>
      <c r="O414" t="s">
        <v>2107</v>
      </c>
      <c r="P414">
        <v>35.310766059999999</v>
      </c>
      <c r="Q414">
        <v>-120.6630669</v>
      </c>
      <c r="R414" t="s">
        <v>1808</v>
      </c>
      <c r="S414">
        <v>18434</v>
      </c>
      <c r="T414" t="s">
        <v>1809</v>
      </c>
      <c r="U414" t="s">
        <v>2108</v>
      </c>
      <c r="V414">
        <v>330</v>
      </c>
      <c r="W414" t="s">
        <v>2624</v>
      </c>
      <c r="X414" t="b">
        <v>0</v>
      </c>
      <c r="Y414" t="s">
        <v>1811</v>
      </c>
      <c r="Z414" s="6"/>
    </row>
    <row r="415" spans="1:26" ht="14.45" customHeight="1">
      <c r="A415">
        <v>545</v>
      </c>
      <c r="B415" t="s">
        <v>2102</v>
      </c>
      <c r="C415" t="s">
        <v>2103</v>
      </c>
      <c r="D415" t="s">
        <v>2003</v>
      </c>
      <c r="E415" s="7">
        <v>45195</v>
      </c>
      <c r="F415">
        <v>7</v>
      </c>
      <c r="G415">
        <f t="shared" si="6"/>
        <v>0.17779999999999999</v>
      </c>
      <c r="H415" t="s">
        <v>1804</v>
      </c>
      <c r="I415" t="s">
        <v>2104</v>
      </c>
      <c r="J415" t="s">
        <v>2105</v>
      </c>
      <c r="K415" t="s">
        <v>2759</v>
      </c>
      <c r="M415" t="b">
        <v>1</v>
      </c>
      <c r="N415" s="7">
        <v>45608</v>
      </c>
      <c r="O415" t="s">
        <v>2107</v>
      </c>
      <c r="P415">
        <v>35.310732940000001</v>
      </c>
      <c r="Q415">
        <v>-120.66308100000001</v>
      </c>
      <c r="R415" t="s">
        <v>1808</v>
      </c>
      <c r="S415">
        <v>18428</v>
      </c>
      <c r="T415" t="s">
        <v>1809</v>
      </c>
      <c r="U415" t="s">
        <v>2108</v>
      </c>
      <c r="V415">
        <v>324</v>
      </c>
      <c r="W415" t="s">
        <v>2624</v>
      </c>
      <c r="X415" t="b">
        <v>0</v>
      </c>
      <c r="Y415" t="s">
        <v>1811</v>
      </c>
      <c r="Z415" s="6"/>
    </row>
    <row r="416" spans="1:26" ht="14.45" customHeight="1">
      <c r="A416">
        <v>546</v>
      </c>
      <c r="B416" t="s">
        <v>2102</v>
      </c>
      <c r="C416" t="s">
        <v>2103</v>
      </c>
      <c r="D416" t="s">
        <v>2003</v>
      </c>
      <c r="E416" s="7">
        <v>45195</v>
      </c>
      <c r="F416">
        <v>7</v>
      </c>
      <c r="G416">
        <f t="shared" si="6"/>
        <v>0.17779999999999999</v>
      </c>
      <c r="H416" t="s">
        <v>1804</v>
      </c>
      <c r="I416" t="s">
        <v>2104</v>
      </c>
      <c r="J416" t="s">
        <v>2105</v>
      </c>
      <c r="K416" t="s">
        <v>2760</v>
      </c>
      <c r="M416" t="b">
        <v>1</v>
      </c>
      <c r="N416" s="7">
        <v>45608</v>
      </c>
      <c r="O416" t="s">
        <v>2107</v>
      </c>
      <c r="P416">
        <v>35.31073662</v>
      </c>
      <c r="Q416">
        <v>-120.6631125</v>
      </c>
      <c r="R416" t="s">
        <v>1808</v>
      </c>
      <c r="S416">
        <v>18427</v>
      </c>
      <c r="T416" t="s">
        <v>1809</v>
      </c>
      <c r="U416" t="s">
        <v>2108</v>
      </c>
      <c r="V416">
        <v>323</v>
      </c>
      <c r="W416" t="s">
        <v>2624</v>
      </c>
      <c r="X416" t="b">
        <v>0</v>
      </c>
      <c r="Y416" t="s">
        <v>1811</v>
      </c>
      <c r="Z416" s="6"/>
    </row>
    <row r="417" spans="1:26" ht="14.45" customHeight="1">
      <c r="A417">
        <v>547</v>
      </c>
      <c r="B417" t="s">
        <v>2102</v>
      </c>
      <c r="C417" t="s">
        <v>2103</v>
      </c>
      <c r="D417" t="s">
        <v>2003</v>
      </c>
      <c r="E417" s="7">
        <v>45195</v>
      </c>
      <c r="F417">
        <v>8</v>
      </c>
      <c r="G417">
        <f t="shared" si="6"/>
        <v>0.20319999999999999</v>
      </c>
      <c r="H417" t="s">
        <v>1804</v>
      </c>
      <c r="I417" t="s">
        <v>2104</v>
      </c>
      <c r="J417" t="s">
        <v>2105</v>
      </c>
      <c r="K417" t="s">
        <v>2761</v>
      </c>
      <c r="M417" t="b">
        <v>1</v>
      </c>
      <c r="N417" s="7">
        <v>45603</v>
      </c>
      <c r="O417" t="s">
        <v>2107</v>
      </c>
      <c r="P417">
        <v>35.310777000000002</v>
      </c>
      <c r="Q417">
        <v>-120.6631122</v>
      </c>
      <c r="R417" t="s">
        <v>1808</v>
      </c>
      <c r="S417">
        <v>18438</v>
      </c>
      <c r="T417" t="s">
        <v>1809</v>
      </c>
      <c r="U417" t="s">
        <v>2108</v>
      </c>
      <c r="V417">
        <v>333</v>
      </c>
      <c r="W417" t="s">
        <v>2624</v>
      </c>
      <c r="X417" t="b">
        <v>0</v>
      </c>
      <c r="Y417" t="s">
        <v>1811</v>
      </c>
      <c r="Z417" s="6"/>
    </row>
    <row r="418" spans="1:26" ht="14.45" customHeight="1">
      <c r="A418">
        <v>521</v>
      </c>
      <c r="B418" t="s">
        <v>1886</v>
      </c>
      <c r="C418" t="s">
        <v>1887</v>
      </c>
      <c r="D418" t="s">
        <v>2003</v>
      </c>
      <c r="E418" s="7">
        <v>45195</v>
      </c>
      <c r="F418">
        <v>31</v>
      </c>
      <c r="G418">
        <f t="shared" si="6"/>
        <v>0.78739999999999999</v>
      </c>
      <c r="H418" t="s">
        <v>1881</v>
      </c>
      <c r="I418" t="s">
        <v>1888</v>
      </c>
      <c r="J418" t="s">
        <v>1889</v>
      </c>
      <c r="K418" t="s">
        <v>2762</v>
      </c>
      <c r="M418" t="b">
        <v>1</v>
      </c>
      <c r="N418" s="7">
        <v>45608</v>
      </c>
      <c r="O418" t="s">
        <v>1891</v>
      </c>
      <c r="P418">
        <v>35.310655310000001</v>
      </c>
      <c r="Q418">
        <v>-120.66317960000001</v>
      </c>
      <c r="R418" t="s">
        <v>1808</v>
      </c>
      <c r="S418">
        <v>18409</v>
      </c>
      <c r="T418" t="s">
        <v>1809</v>
      </c>
      <c r="U418" t="s">
        <v>2763</v>
      </c>
      <c r="V418">
        <v>305</v>
      </c>
      <c r="W418" t="s">
        <v>2624</v>
      </c>
      <c r="X418" t="b">
        <v>0</v>
      </c>
      <c r="Y418" t="s">
        <v>1811</v>
      </c>
      <c r="Z418" s="6"/>
    </row>
    <row r="419" spans="1:26" ht="14.45" customHeight="1">
      <c r="A419">
        <v>26</v>
      </c>
      <c r="B419" t="s">
        <v>2210</v>
      </c>
      <c r="C419" t="s">
        <v>2211</v>
      </c>
      <c r="D419" t="s">
        <v>2003</v>
      </c>
      <c r="E419" s="7">
        <v>45195</v>
      </c>
      <c r="F419">
        <v>8</v>
      </c>
      <c r="G419">
        <f t="shared" si="6"/>
        <v>0.20319999999999999</v>
      </c>
      <c r="H419" t="s">
        <v>1804</v>
      </c>
      <c r="J419" t="s">
        <v>2212</v>
      </c>
      <c r="K419" t="s">
        <v>2764</v>
      </c>
      <c r="M419" t="b">
        <v>1</v>
      </c>
      <c r="N419" s="7">
        <v>45603</v>
      </c>
      <c r="O419" t="s">
        <v>2214</v>
      </c>
      <c r="P419">
        <v>35.310583899999997</v>
      </c>
      <c r="Q419">
        <v>-120.6629664</v>
      </c>
      <c r="R419" t="s">
        <v>1808</v>
      </c>
      <c r="S419">
        <v>18349</v>
      </c>
      <c r="T419" t="s">
        <v>1809</v>
      </c>
      <c r="U419" t="s">
        <v>2215</v>
      </c>
      <c r="V419">
        <v>250</v>
      </c>
      <c r="W419" t="s">
        <v>2624</v>
      </c>
      <c r="X419" t="b">
        <v>0</v>
      </c>
      <c r="Y419" t="s">
        <v>1811</v>
      </c>
      <c r="Z419" s="6"/>
    </row>
    <row r="420" spans="1:26" ht="14.45" customHeight="1">
      <c r="A420">
        <v>27</v>
      </c>
      <c r="B420" t="s">
        <v>2210</v>
      </c>
      <c r="C420" t="s">
        <v>2211</v>
      </c>
      <c r="D420" t="s">
        <v>1946</v>
      </c>
      <c r="E420" s="7">
        <v>45195</v>
      </c>
      <c r="F420">
        <v>17</v>
      </c>
      <c r="G420">
        <f t="shared" si="6"/>
        <v>0.43179999999999996</v>
      </c>
      <c r="H420" t="s">
        <v>1855</v>
      </c>
      <c r="J420" t="s">
        <v>2212</v>
      </c>
      <c r="K420" t="s">
        <v>2765</v>
      </c>
      <c r="M420" t="b">
        <v>1</v>
      </c>
      <c r="N420" s="7">
        <v>45923</v>
      </c>
      <c r="O420" t="s">
        <v>2214</v>
      </c>
      <c r="P420">
        <v>35.310666859999998</v>
      </c>
      <c r="Q420">
        <v>-120.6628449</v>
      </c>
      <c r="R420" t="s">
        <v>1808</v>
      </c>
      <c r="S420">
        <v>18377</v>
      </c>
      <c r="T420" t="s">
        <v>1809</v>
      </c>
      <c r="U420" t="s">
        <v>2215</v>
      </c>
      <c r="V420">
        <v>276</v>
      </c>
      <c r="W420" t="s">
        <v>2624</v>
      </c>
      <c r="X420" t="b">
        <v>0</v>
      </c>
      <c r="Y420" t="s">
        <v>1811</v>
      </c>
      <c r="Z420" s="6"/>
    </row>
    <row r="421" spans="1:26" ht="14.45" customHeight="1">
      <c r="A421">
        <v>104</v>
      </c>
      <c r="B421" t="s">
        <v>2766</v>
      </c>
      <c r="C421" t="s">
        <v>2767</v>
      </c>
      <c r="D421" t="s">
        <v>1989</v>
      </c>
      <c r="E421" s="7">
        <v>45195</v>
      </c>
      <c r="F421">
        <v>10</v>
      </c>
      <c r="G421">
        <f t="shared" si="6"/>
        <v>0.254</v>
      </c>
      <c r="H421" t="s">
        <v>1804</v>
      </c>
      <c r="I421" t="s">
        <v>1982</v>
      </c>
      <c r="J421" t="s">
        <v>1983</v>
      </c>
      <c r="K421" t="s">
        <v>2768</v>
      </c>
      <c r="M421" t="b">
        <v>1</v>
      </c>
      <c r="N421" s="7">
        <v>45589</v>
      </c>
      <c r="O421" t="s">
        <v>2769</v>
      </c>
      <c r="P421">
        <v>35.310121469999999</v>
      </c>
      <c r="Q421">
        <v>-120.6611549</v>
      </c>
      <c r="R421" t="s">
        <v>1808</v>
      </c>
      <c r="S421">
        <v>18364</v>
      </c>
      <c r="T421" t="s">
        <v>1809</v>
      </c>
      <c r="U421" t="s">
        <v>2770</v>
      </c>
      <c r="V421">
        <v>265</v>
      </c>
      <c r="W421" t="s">
        <v>2735</v>
      </c>
      <c r="X421" t="b">
        <v>0</v>
      </c>
      <c r="Y421" t="s">
        <v>2224</v>
      </c>
      <c r="Z421" s="6"/>
    </row>
    <row r="422" spans="1:26" ht="14.45" customHeight="1">
      <c r="A422">
        <v>294</v>
      </c>
      <c r="B422" t="s">
        <v>2242</v>
      </c>
      <c r="C422" t="s">
        <v>2243</v>
      </c>
      <c r="D422" t="s">
        <v>1989</v>
      </c>
      <c r="E422" s="7">
        <v>45195</v>
      </c>
      <c r="F422">
        <v>7</v>
      </c>
      <c r="G422">
        <f t="shared" si="6"/>
        <v>0.17779999999999999</v>
      </c>
      <c r="H422" t="s">
        <v>1804</v>
      </c>
      <c r="J422" t="s">
        <v>2244</v>
      </c>
      <c r="K422" t="s">
        <v>2771</v>
      </c>
      <c r="M422" t="b">
        <v>0</v>
      </c>
      <c r="N422" s="7">
        <v>45590</v>
      </c>
      <c r="O422" t="s">
        <v>2246</v>
      </c>
      <c r="P422">
        <v>35.310162920000003</v>
      </c>
      <c r="Q422">
        <v>-120.6618363</v>
      </c>
      <c r="R422" t="s">
        <v>1808</v>
      </c>
      <c r="S422">
        <v>18410</v>
      </c>
      <c r="T422" t="s">
        <v>1809</v>
      </c>
      <c r="U422" t="s">
        <v>2772</v>
      </c>
      <c r="V422">
        <v>306</v>
      </c>
      <c r="W422" t="s">
        <v>2735</v>
      </c>
      <c r="X422" t="b">
        <v>0</v>
      </c>
      <c r="Y422" t="s">
        <v>2224</v>
      </c>
      <c r="Z422" s="6"/>
    </row>
    <row r="423" spans="1:26" ht="14.45" customHeight="1">
      <c r="A423">
        <v>436</v>
      </c>
      <c r="B423" t="s">
        <v>2027</v>
      </c>
      <c r="C423" t="s">
        <v>2028</v>
      </c>
      <c r="D423" t="s">
        <v>1946</v>
      </c>
      <c r="E423" s="7">
        <v>45195</v>
      </c>
      <c r="F423">
        <v>16</v>
      </c>
      <c r="G423">
        <f t="shared" si="6"/>
        <v>0.40639999999999998</v>
      </c>
      <c r="H423" t="s">
        <v>1855</v>
      </c>
      <c r="J423" t="s">
        <v>1983</v>
      </c>
      <c r="K423" t="s">
        <v>2773</v>
      </c>
      <c r="M423" t="b">
        <v>1</v>
      </c>
      <c r="N423" s="7">
        <v>45589</v>
      </c>
      <c r="O423" t="s">
        <v>2030</v>
      </c>
      <c r="P423">
        <v>35.310084809999999</v>
      </c>
      <c r="Q423">
        <v>-120.66103150000001</v>
      </c>
      <c r="R423" t="s">
        <v>1808</v>
      </c>
      <c r="S423">
        <v>18356</v>
      </c>
      <c r="T423" t="s">
        <v>1809</v>
      </c>
      <c r="U423" t="s">
        <v>2774</v>
      </c>
      <c r="V423">
        <v>257</v>
      </c>
      <c r="W423" t="s">
        <v>2735</v>
      </c>
      <c r="X423" t="b">
        <v>0</v>
      </c>
      <c r="Y423" t="s">
        <v>2224</v>
      </c>
      <c r="Z423" s="6"/>
    </row>
    <row r="424" spans="1:26" ht="14.45" customHeight="1">
      <c r="A424">
        <v>561</v>
      </c>
      <c r="B424" t="s">
        <v>2263</v>
      </c>
      <c r="C424" t="s">
        <v>2264</v>
      </c>
      <c r="D424" t="s">
        <v>1989</v>
      </c>
      <c r="E424" s="7">
        <v>45195</v>
      </c>
      <c r="F424">
        <v>3</v>
      </c>
      <c r="G424">
        <f t="shared" si="6"/>
        <v>7.619999999999999E-2</v>
      </c>
      <c r="H424" t="s">
        <v>1814</v>
      </c>
      <c r="J424" t="s">
        <v>2265</v>
      </c>
      <c r="K424" t="s">
        <v>2775</v>
      </c>
      <c r="M424" t="b">
        <v>0</v>
      </c>
      <c r="N424" s="7">
        <v>45610</v>
      </c>
      <c r="O424" t="s">
        <v>2267</v>
      </c>
      <c r="P424">
        <v>35.31011333</v>
      </c>
      <c r="Q424">
        <v>-120.6617767</v>
      </c>
      <c r="R424" t="s">
        <v>1808</v>
      </c>
      <c r="S424">
        <v>18407</v>
      </c>
      <c r="T424" t="s">
        <v>1809</v>
      </c>
      <c r="U424" t="s">
        <v>2776</v>
      </c>
      <c r="V424">
        <v>303</v>
      </c>
      <c r="W424" t="s">
        <v>2735</v>
      </c>
      <c r="X424" t="b">
        <v>0</v>
      </c>
      <c r="Y424" t="s">
        <v>2224</v>
      </c>
      <c r="Z424" s="667"/>
    </row>
    <row r="425" spans="1:26" ht="14.45" customHeight="1">
      <c r="A425">
        <v>332</v>
      </c>
      <c r="B425" t="s">
        <v>2439</v>
      </c>
      <c r="C425" t="s">
        <v>2440</v>
      </c>
      <c r="D425" t="s">
        <v>1826</v>
      </c>
      <c r="E425" s="7">
        <v>45195</v>
      </c>
      <c r="F425">
        <v>2</v>
      </c>
      <c r="G425">
        <f t="shared" si="6"/>
        <v>5.0799999999999998E-2</v>
      </c>
      <c r="H425" t="s">
        <v>1838</v>
      </c>
      <c r="I425" t="s">
        <v>1971</v>
      </c>
      <c r="J425" t="s">
        <v>2380</v>
      </c>
      <c r="K425" t="s">
        <v>2777</v>
      </c>
      <c r="M425" t="b">
        <v>1</v>
      </c>
      <c r="N425" s="7">
        <v>45637</v>
      </c>
      <c r="O425" t="s">
        <v>2442</v>
      </c>
      <c r="P425">
        <v>35.310515010000003</v>
      </c>
      <c r="Q425">
        <v>-120.66308960000001</v>
      </c>
      <c r="R425" t="s">
        <v>1808</v>
      </c>
      <c r="S425">
        <v>18343</v>
      </c>
      <c r="T425" t="s">
        <v>1809</v>
      </c>
      <c r="U425" t="s">
        <v>2778</v>
      </c>
      <c r="V425">
        <v>247</v>
      </c>
      <c r="W425" t="s">
        <v>2624</v>
      </c>
      <c r="X425" t="b">
        <v>0</v>
      </c>
      <c r="Y425" t="s">
        <v>2249</v>
      </c>
      <c r="Z425" s="667"/>
    </row>
    <row r="426" spans="1:26" ht="14.45" customHeight="1">
      <c r="A426">
        <v>2</v>
      </c>
      <c r="B426" t="s">
        <v>1802</v>
      </c>
      <c r="C426" t="s">
        <v>1803</v>
      </c>
      <c r="D426" t="s">
        <v>1946</v>
      </c>
      <c r="E426" s="7">
        <v>45195</v>
      </c>
      <c r="F426">
        <v>2</v>
      </c>
      <c r="G426">
        <f t="shared" si="6"/>
        <v>5.0799999999999998E-2</v>
      </c>
      <c r="H426" t="s">
        <v>1838</v>
      </c>
      <c r="I426" t="s">
        <v>1805</v>
      </c>
      <c r="J426" t="s">
        <v>1803</v>
      </c>
      <c r="K426" t="s">
        <v>2779</v>
      </c>
      <c r="M426" t="b">
        <v>1</v>
      </c>
      <c r="N426" s="7">
        <v>45637</v>
      </c>
      <c r="O426" t="s">
        <v>1807</v>
      </c>
      <c r="P426">
        <v>35.31044524</v>
      </c>
      <c r="Q426">
        <v>-120.66290410000001</v>
      </c>
      <c r="R426" t="s">
        <v>1808</v>
      </c>
      <c r="S426">
        <v>18401</v>
      </c>
      <c r="T426" t="s">
        <v>1809</v>
      </c>
      <c r="U426" t="s">
        <v>2780</v>
      </c>
      <c r="V426">
        <v>299</v>
      </c>
      <c r="W426" t="s">
        <v>2624</v>
      </c>
      <c r="X426" t="b">
        <v>0</v>
      </c>
      <c r="Y426" t="s">
        <v>2249</v>
      </c>
      <c r="Z426" s="667"/>
    </row>
    <row r="427" spans="1:26" ht="14.45" customHeight="1">
      <c r="A427">
        <v>524</v>
      </c>
      <c r="B427" t="s">
        <v>2781</v>
      </c>
      <c r="C427" t="s">
        <v>2782</v>
      </c>
      <c r="D427" t="s">
        <v>1826</v>
      </c>
      <c r="E427" s="7">
        <v>45195</v>
      </c>
      <c r="F427">
        <v>6</v>
      </c>
      <c r="G427">
        <f t="shared" si="6"/>
        <v>0.15239999999999998</v>
      </c>
      <c r="H427" t="s">
        <v>1804</v>
      </c>
      <c r="J427" t="s">
        <v>2783</v>
      </c>
      <c r="K427" t="s">
        <v>2784</v>
      </c>
      <c r="M427" t="b">
        <v>1</v>
      </c>
      <c r="N427" s="7">
        <v>45608</v>
      </c>
      <c r="O427" t="s">
        <v>2785</v>
      </c>
      <c r="P427">
        <v>35.310503259999997</v>
      </c>
      <c r="Q427">
        <v>-120.6631088</v>
      </c>
      <c r="R427" t="s">
        <v>1808</v>
      </c>
      <c r="S427">
        <v>18402</v>
      </c>
      <c r="T427" t="s">
        <v>1809</v>
      </c>
      <c r="U427" t="s">
        <v>2786</v>
      </c>
      <c r="V427">
        <v>300</v>
      </c>
      <c r="W427" t="s">
        <v>2624</v>
      </c>
      <c r="X427" t="b">
        <v>0</v>
      </c>
      <c r="Y427" t="s">
        <v>2249</v>
      </c>
      <c r="Z427" s="667"/>
    </row>
    <row r="428" spans="1:26" ht="14.45" customHeight="1">
      <c r="A428">
        <v>182</v>
      </c>
      <c r="B428" t="s">
        <v>1624</v>
      </c>
      <c r="C428" t="s">
        <v>2072</v>
      </c>
      <c r="D428" t="s">
        <v>2003</v>
      </c>
      <c r="E428" s="7">
        <v>45195</v>
      </c>
      <c r="F428">
        <v>4</v>
      </c>
      <c r="G428">
        <f t="shared" si="6"/>
        <v>0.1016</v>
      </c>
      <c r="H428" t="s">
        <v>1814</v>
      </c>
      <c r="I428" t="s">
        <v>1982</v>
      </c>
      <c r="J428" t="s">
        <v>1983</v>
      </c>
      <c r="K428" t="s">
        <v>2787</v>
      </c>
      <c r="M428" t="b">
        <v>1</v>
      </c>
      <c r="N428" s="7">
        <v>45610</v>
      </c>
      <c r="O428" t="s">
        <v>2074</v>
      </c>
      <c r="P428">
        <v>35.310344659999998</v>
      </c>
      <c r="Q428">
        <v>-120.66142600000001</v>
      </c>
      <c r="R428" t="s">
        <v>1808</v>
      </c>
      <c r="S428">
        <v>18357</v>
      </c>
      <c r="T428" t="s">
        <v>1809</v>
      </c>
      <c r="V428">
        <v>258</v>
      </c>
      <c r="W428" t="s">
        <v>2684</v>
      </c>
      <c r="X428" t="b">
        <v>0</v>
      </c>
      <c r="Y428" t="s">
        <v>2055</v>
      </c>
      <c r="Z428" s="6"/>
    </row>
    <row r="429" spans="1:26" ht="14.45" customHeight="1">
      <c r="A429">
        <v>230</v>
      </c>
      <c r="B429" t="s">
        <v>2325</v>
      </c>
      <c r="C429" t="s">
        <v>2326</v>
      </c>
      <c r="D429" t="s">
        <v>1826</v>
      </c>
      <c r="E429" s="7">
        <v>45195</v>
      </c>
      <c r="F429">
        <v>6</v>
      </c>
      <c r="G429">
        <f t="shared" si="6"/>
        <v>0.15239999999999998</v>
      </c>
      <c r="H429" t="s">
        <v>1804</v>
      </c>
      <c r="I429" t="s">
        <v>1982</v>
      </c>
      <c r="J429" t="s">
        <v>1983</v>
      </c>
      <c r="K429" t="s">
        <v>2788</v>
      </c>
      <c r="M429" t="b">
        <v>1</v>
      </c>
      <c r="N429" s="7">
        <v>45604</v>
      </c>
      <c r="O429" t="s">
        <v>2328</v>
      </c>
      <c r="P429">
        <v>35.310646599999998</v>
      </c>
      <c r="Q429">
        <v>-120.6617411</v>
      </c>
      <c r="R429" t="s">
        <v>1808</v>
      </c>
      <c r="S429">
        <v>18411</v>
      </c>
      <c r="T429" t="s">
        <v>1809</v>
      </c>
      <c r="U429" t="s">
        <v>2329</v>
      </c>
      <c r="V429">
        <v>307</v>
      </c>
      <c r="W429" t="s">
        <v>2684</v>
      </c>
      <c r="X429" t="b">
        <v>0</v>
      </c>
      <c r="Y429" t="s">
        <v>2055</v>
      </c>
      <c r="Z429" s="6"/>
    </row>
    <row r="430" spans="1:26" ht="14.45" customHeight="1">
      <c r="A430">
        <v>501</v>
      </c>
      <c r="B430" t="s">
        <v>1668</v>
      </c>
      <c r="C430" t="s">
        <v>2057</v>
      </c>
      <c r="D430" t="s">
        <v>1826</v>
      </c>
      <c r="E430" s="7">
        <v>45195</v>
      </c>
      <c r="F430">
        <v>16</v>
      </c>
      <c r="G430">
        <f t="shared" si="6"/>
        <v>0.40639999999999998</v>
      </c>
      <c r="H430" t="s">
        <v>1855</v>
      </c>
      <c r="I430" t="s">
        <v>1982</v>
      </c>
      <c r="J430" t="s">
        <v>1983</v>
      </c>
      <c r="K430" t="s">
        <v>2789</v>
      </c>
      <c r="M430" t="b">
        <v>1</v>
      </c>
      <c r="N430" s="7">
        <v>45614</v>
      </c>
      <c r="O430" t="s">
        <v>1506</v>
      </c>
      <c r="P430">
        <v>35.310416480000001</v>
      </c>
      <c r="Q430">
        <v>-120.66152870000001</v>
      </c>
      <c r="R430" t="s">
        <v>1808</v>
      </c>
      <c r="S430">
        <v>18399</v>
      </c>
      <c r="T430" t="s">
        <v>1809</v>
      </c>
      <c r="U430" t="s">
        <v>2790</v>
      </c>
      <c r="V430">
        <v>297</v>
      </c>
      <c r="W430" t="s">
        <v>2684</v>
      </c>
      <c r="X430" t="b">
        <v>0</v>
      </c>
      <c r="Y430" t="s">
        <v>2055</v>
      </c>
      <c r="Z430" s="6"/>
    </row>
    <row r="431" spans="1:26" ht="14.45" customHeight="1">
      <c r="A431">
        <v>360</v>
      </c>
      <c r="B431" t="s">
        <v>2060</v>
      </c>
      <c r="C431" t="s">
        <v>2061</v>
      </c>
      <c r="D431" t="s">
        <v>2003</v>
      </c>
      <c r="E431" s="7">
        <v>45195</v>
      </c>
      <c r="F431">
        <v>2</v>
      </c>
      <c r="G431">
        <f t="shared" si="6"/>
        <v>5.0799999999999998E-2</v>
      </c>
      <c r="H431" t="s">
        <v>1838</v>
      </c>
      <c r="I431" t="s">
        <v>2062</v>
      </c>
      <c r="J431" t="s">
        <v>2063</v>
      </c>
      <c r="K431" t="s">
        <v>2791</v>
      </c>
      <c r="M431" t="b">
        <v>1</v>
      </c>
      <c r="N431" s="7">
        <v>45637</v>
      </c>
      <c r="O431" t="s">
        <v>1438</v>
      </c>
      <c r="P431">
        <v>35.310357590000002</v>
      </c>
      <c r="Q431">
        <v>-120.6615177</v>
      </c>
      <c r="R431" t="s">
        <v>1808</v>
      </c>
      <c r="S431">
        <v>18366</v>
      </c>
      <c r="T431" t="s">
        <v>1809</v>
      </c>
      <c r="U431" t="s">
        <v>2065</v>
      </c>
      <c r="V431">
        <v>267</v>
      </c>
      <c r="W431" t="s">
        <v>2684</v>
      </c>
      <c r="X431" t="b">
        <v>0</v>
      </c>
      <c r="Y431" t="s">
        <v>2055</v>
      </c>
      <c r="Z431" s="6"/>
    </row>
    <row r="432" spans="1:26" ht="14.45" customHeight="1">
      <c r="A432">
        <v>363</v>
      </c>
      <c r="B432" t="s">
        <v>2060</v>
      </c>
      <c r="C432" t="s">
        <v>2061</v>
      </c>
      <c r="D432" t="s">
        <v>1826</v>
      </c>
      <c r="E432" s="7">
        <v>45195</v>
      </c>
      <c r="F432">
        <v>3</v>
      </c>
      <c r="G432">
        <f t="shared" si="6"/>
        <v>7.619999999999999E-2</v>
      </c>
      <c r="H432" t="s">
        <v>1814</v>
      </c>
      <c r="I432" t="s">
        <v>2062</v>
      </c>
      <c r="J432" t="s">
        <v>2063</v>
      </c>
      <c r="K432" t="s">
        <v>2792</v>
      </c>
      <c r="M432" t="b">
        <v>1</v>
      </c>
      <c r="N432" s="7">
        <v>45597</v>
      </c>
      <c r="O432" t="s">
        <v>1438</v>
      </c>
      <c r="P432">
        <v>35.310478109999998</v>
      </c>
      <c r="Q432">
        <v>-120.6614009</v>
      </c>
      <c r="R432" t="s">
        <v>1808</v>
      </c>
      <c r="S432">
        <v>18386</v>
      </c>
      <c r="T432" t="s">
        <v>1809</v>
      </c>
      <c r="V432">
        <v>285</v>
      </c>
      <c r="W432" t="s">
        <v>2684</v>
      </c>
      <c r="X432" t="b">
        <v>0</v>
      </c>
      <c r="Y432" t="s">
        <v>2055</v>
      </c>
      <c r="Z432" s="667"/>
    </row>
    <row r="433" spans="1:26" ht="14.45" customHeight="1">
      <c r="A433">
        <v>366</v>
      </c>
      <c r="B433" t="s">
        <v>2060</v>
      </c>
      <c r="C433" t="s">
        <v>2061</v>
      </c>
      <c r="D433" t="s">
        <v>2003</v>
      </c>
      <c r="E433" s="7">
        <v>45195</v>
      </c>
      <c r="F433">
        <v>5</v>
      </c>
      <c r="G433">
        <f t="shared" si="6"/>
        <v>0.127</v>
      </c>
      <c r="H433" t="s">
        <v>1814</v>
      </c>
      <c r="I433" t="s">
        <v>2062</v>
      </c>
      <c r="J433" t="s">
        <v>2063</v>
      </c>
      <c r="K433" t="s">
        <v>2793</v>
      </c>
      <c r="M433" t="b">
        <v>1</v>
      </c>
      <c r="N433" s="7">
        <v>45637</v>
      </c>
      <c r="O433" t="s">
        <v>1438</v>
      </c>
      <c r="P433">
        <v>35.310536769999999</v>
      </c>
      <c r="Q433">
        <v>-120.66197080000001</v>
      </c>
      <c r="R433" t="s">
        <v>1808</v>
      </c>
      <c r="S433">
        <v>18460</v>
      </c>
      <c r="T433" t="s">
        <v>1809</v>
      </c>
      <c r="U433" t="s">
        <v>2065</v>
      </c>
      <c r="V433">
        <v>352</v>
      </c>
      <c r="W433" t="s">
        <v>2684</v>
      </c>
      <c r="X433" t="b">
        <v>0</v>
      </c>
      <c r="Y433" t="s">
        <v>2055</v>
      </c>
      <c r="Z433" s="667"/>
    </row>
    <row r="434" spans="1:26" ht="14.45" customHeight="1">
      <c r="A434">
        <v>137</v>
      </c>
      <c r="B434" t="s">
        <v>2153</v>
      </c>
      <c r="C434" t="s">
        <v>2154</v>
      </c>
      <c r="D434" t="s">
        <v>2003</v>
      </c>
      <c r="E434" s="7">
        <v>45195</v>
      </c>
      <c r="F434">
        <v>1</v>
      </c>
      <c r="G434">
        <f t="shared" si="6"/>
        <v>2.5399999999999999E-2</v>
      </c>
      <c r="H434" t="s">
        <v>1838</v>
      </c>
      <c r="J434" t="s">
        <v>1883</v>
      </c>
      <c r="K434" t="s">
        <v>2794</v>
      </c>
      <c r="M434" t="b">
        <v>1</v>
      </c>
      <c r="N434" s="7">
        <v>45637</v>
      </c>
      <c r="O434" t="s">
        <v>2156</v>
      </c>
      <c r="P434">
        <v>35.31049977</v>
      </c>
      <c r="Q434">
        <v>-120.66150210000001</v>
      </c>
      <c r="R434" t="s">
        <v>1808</v>
      </c>
      <c r="S434">
        <v>18395</v>
      </c>
      <c r="T434" t="s">
        <v>1809</v>
      </c>
      <c r="U434" t="s">
        <v>2795</v>
      </c>
      <c r="V434">
        <v>294</v>
      </c>
      <c r="W434" t="s">
        <v>2684</v>
      </c>
      <c r="X434" t="b">
        <v>0</v>
      </c>
      <c r="Y434" t="s">
        <v>2055</v>
      </c>
      <c r="Z434" s="667"/>
    </row>
    <row r="435" spans="1:26" ht="14.45" customHeight="1">
      <c r="A435">
        <v>139</v>
      </c>
      <c r="B435" t="s">
        <v>2153</v>
      </c>
      <c r="C435" t="s">
        <v>2154</v>
      </c>
      <c r="D435" t="s">
        <v>2003</v>
      </c>
      <c r="E435" s="7">
        <v>45195</v>
      </c>
      <c r="F435">
        <v>8</v>
      </c>
      <c r="G435">
        <f t="shared" si="6"/>
        <v>0.20319999999999999</v>
      </c>
      <c r="H435" t="s">
        <v>1804</v>
      </c>
      <c r="J435" t="s">
        <v>1883</v>
      </c>
      <c r="K435" t="s">
        <v>2796</v>
      </c>
      <c r="M435" t="b">
        <v>1</v>
      </c>
      <c r="N435" s="7">
        <v>45637</v>
      </c>
      <c r="O435" t="s">
        <v>2156</v>
      </c>
      <c r="P435">
        <v>35.310498889999998</v>
      </c>
      <c r="Q435">
        <v>-120.6613322</v>
      </c>
      <c r="R435" t="s">
        <v>1808</v>
      </c>
      <c r="S435">
        <v>18376</v>
      </c>
      <c r="T435" t="s">
        <v>1809</v>
      </c>
      <c r="U435" t="s">
        <v>2797</v>
      </c>
      <c r="V435">
        <v>275</v>
      </c>
      <c r="W435" t="s">
        <v>2684</v>
      </c>
      <c r="X435" t="b">
        <v>0</v>
      </c>
      <c r="Y435" t="s">
        <v>2055</v>
      </c>
      <c r="Z435" s="6"/>
    </row>
    <row r="436" spans="1:26" ht="14.45" customHeight="1">
      <c r="A436">
        <v>429</v>
      </c>
      <c r="B436" t="s">
        <v>2027</v>
      </c>
      <c r="C436" t="s">
        <v>2028</v>
      </c>
      <c r="D436" t="s">
        <v>2003</v>
      </c>
      <c r="E436" s="7">
        <v>45195</v>
      </c>
      <c r="F436">
        <v>7</v>
      </c>
      <c r="G436">
        <f t="shared" si="6"/>
        <v>0.17779999999999999</v>
      </c>
      <c r="H436" t="s">
        <v>1804</v>
      </c>
      <c r="J436" t="s">
        <v>1983</v>
      </c>
      <c r="K436" t="s">
        <v>2798</v>
      </c>
      <c r="M436" t="b">
        <v>1</v>
      </c>
      <c r="N436" s="7">
        <v>45637</v>
      </c>
      <c r="O436" t="s">
        <v>2030</v>
      </c>
      <c r="P436">
        <v>35.310516079999999</v>
      </c>
      <c r="Q436">
        <v>-120.6614</v>
      </c>
      <c r="R436" t="s">
        <v>1808</v>
      </c>
      <c r="S436">
        <v>18381</v>
      </c>
      <c r="T436" t="s">
        <v>1809</v>
      </c>
      <c r="U436" t="s">
        <v>2799</v>
      </c>
      <c r="V436">
        <v>280</v>
      </c>
      <c r="W436" t="s">
        <v>2684</v>
      </c>
      <c r="X436" t="b">
        <v>0</v>
      </c>
      <c r="Y436" t="s">
        <v>2055</v>
      </c>
      <c r="Z436" s="6"/>
    </row>
    <row r="437" spans="1:26" ht="14.45" customHeight="1">
      <c r="A437">
        <v>431</v>
      </c>
      <c r="B437" t="s">
        <v>2027</v>
      </c>
      <c r="C437" t="s">
        <v>2028</v>
      </c>
      <c r="D437" t="s">
        <v>1946</v>
      </c>
      <c r="E437" s="7">
        <v>45195</v>
      </c>
      <c r="F437">
        <v>10</v>
      </c>
      <c r="G437">
        <f t="shared" si="6"/>
        <v>0.254</v>
      </c>
      <c r="H437" t="s">
        <v>1804</v>
      </c>
      <c r="J437" t="s">
        <v>1983</v>
      </c>
      <c r="K437" t="s">
        <v>2800</v>
      </c>
      <c r="M437" t="b">
        <v>1</v>
      </c>
      <c r="N437" s="7">
        <v>45637</v>
      </c>
      <c r="O437" t="s">
        <v>2030</v>
      </c>
      <c r="P437">
        <v>35.310485999999997</v>
      </c>
      <c r="Q437">
        <v>-120.66126370000001</v>
      </c>
      <c r="R437" t="s">
        <v>1808</v>
      </c>
      <c r="S437">
        <v>18373</v>
      </c>
      <c r="T437" t="s">
        <v>1809</v>
      </c>
      <c r="U437" t="s">
        <v>2801</v>
      </c>
      <c r="V437">
        <v>272</v>
      </c>
      <c r="W437" t="s">
        <v>2684</v>
      </c>
      <c r="X437" t="b">
        <v>0</v>
      </c>
      <c r="Y437" t="s">
        <v>2055</v>
      </c>
      <c r="Z437" s="6"/>
    </row>
    <row r="438" spans="1:26" ht="14.45" customHeight="1">
      <c r="A438">
        <v>442</v>
      </c>
      <c r="B438" t="s">
        <v>2280</v>
      </c>
      <c r="C438" t="s">
        <v>2281</v>
      </c>
      <c r="D438" t="s">
        <v>1826</v>
      </c>
      <c r="E438" s="7">
        <v>45195</v>
      </c>
      <c r="F438">
        <v>3</v>
      </c>
      <c r="G438">
        <f t="shared" si="6"/>
        <v>7.619999999999999E-2</v>
      </c>
      <c r="H438" t="s">
        <v>1814</v>
      </c>
      <c r="J438" t="s">
        <v>2282</v>
      </c>
      <c r="K438" t="s">
        <v>2802</v>
      </c>
      <c r="M438" t="b">
        <v>1</v>
      </c>
      <c r="N438" s="7">
        <v>45614</v>
      </c>
      <c r="O438" t="s">
        <v>2284</v>
      </c>
      <c r="P438">
        <v>35.310617049999998</v>
      </c>
      <c r="Q438">
        <v>-120.6619664</v>
      </c>
      <c r="R438" t="s">
        <v>1808</v>
      </c>
      <c r="S438">
        <v>18423</v>
      </c>
      <c r="T438" t="s">
        <v>1809</v>
      </c>
      <c r="U438" t="s">
        <v>2285</v>
      </c>
      <c r="V438">
        <v>319</v>
      </c>
      <c r="W438" t="s">
        <v>2684</v>
      </c>
      <c r="X438" t="b">
        <v>0</v>
      </c>
      <c r="Y438" t="s">
        <v>2055</v>
      </c>
      <c r="Z438" s="6"/>
    </row>
    <row r="439" spans="1:26" ht="14.45" customHeight="1">
      <c r="A439">
        <v>443</v>
      </c>
      <c r="B439" t="s">
        <v>2280</v>
      </c>
      <c r="C439" t="s">
        <v>2281</v>
      </c>
      <c r="D439" t="s">
        <v>2003</v>
      </c>
      <c r="E439" s="7">
        <v>45195</v>
      </c>
      <c r="F439">
        <v>4</v>
      </c>
      <c r="G439">
        <f t="shared" si="6"/>
        <v>0.1016</v>
      </c>
      <c r="H439" t="s">
        <v>1814</v>
      </c>
      <c r="J439" t="s">
        <v>2282</v>
      </c>
      <c r="K439" t="s">
        <v>2803</v>
      </c>
      <c r="M439" t="b">
        <v>1</v>
      </c>
      <c r="N439" s="7">
        <v>45614</v>
      </c>
      <c r="O439" t="s">
        <v>2284</v>
      </c>
      <c r="P439">
        <v>35.310644430000004</v>
      </c>
      <c r="Q439">
        <v>-120.6619875</v>
      </c>
      <c r="R439" t="s">
        <v>1808</v>
      </c>
      <c r="S439">
        <v>18426</v>
      </c>
      <c r="T439" t="s">
        <v>1809</v>
      </c>
      <c r="U439" t="s">
        <v>2285</v>
      </c>
      <c r="V439">
        <v>322</v>
      </c>
      <c r="W439" t="s">
        <v>2684</v>
      </c>
      <c r="X439" t="b">
        <v>0</v>
      </c>
      <c r="Y439" t="s">
        <v>2055</v>
      </c>
      <c r="Z439" s="6"/>
    </row>
    <row r="440" spans="1:26" ht="14.45" customHeight="1">
      <c r="A440">
        <v>391</v>
      </c>
      <c r="B440" t="s">
        <v>2187</v>
      </c>
      <c r="C440" t="s">
        <v>2188</v>
      </c>
      <c r="D440" t="s">
        <v>1826</v>
      </c>
      <c r="E440" s="7">
        <v>45195</v>
      </c>
      <c r="F440">
        <v>11</v>
      </c>
      <c r="G440">
        <f t="shared" si="6"/>
        <v>0.27939999999999998</v>
      </c>
      <c r="H440" t="s">
        <v>1804</v>
      </c>
      <c r="I440" t="s">
        <v>2169</v>
      </c>
      <c r="J440" t="s">
        <v>2189</v>
      </c>
      <c r="K440" t="s">
        <v>2804</v>
      </c>
      <c r="M440" t="b">
        <v>1</v>
      </c>
      <c r="N440" s="7">
        <v>45637</v>
      </c>
      <c r="O440" t="s">
        <v>2191</v>
      </c>
      <c r="P440">
        <v>35.310583389999998</v>
      </c>
      <c r="Q440">
        <v>-120.66237049999999</v>
      </c>
      <c r="R440" t="s">
        <v>1808</v>
      </c>
      <c r="S440">
        <v>18378</v>
      </c>
      <c r="T440" t="s">
        <v>1809</v>
      </c>
      <c r="U440" t="s">
        <v>2192</v>
      </c>
      <c r="V440">
        <v>277</v>
      </c>
      <c r="W440" t="s">
        <v>2665</v>
      </c>
      <c r="X440" t="b">
        <v>0</v>
      </c>
      <c r="Y440" t="s">
        <v>2101</v>
      </c>
      <c r="Z440" s="6"/>
    </row>
    <row r="441" spans="1:26" ht="14.45" customHeight="1">
      <c r="A441">
        <v>401</v>
      </c>
      <c r="B441" t="s">
        <v>2175</v>
      </c>
      <c r="C441" t="s">
        <v>2176</v>
      </c>
      <c r="D441" t="s">
        <v>2003</v>
      </c>
      <c r="E441" s="7">
        <v>45195</v>
      </c>
      <c r="F441">
        <v>19</v>
      </c>
      <c r="G441">
        <f t="shared" si="6"/>
        <v>0.48259999999999997</v>
      </c>
      <c r="H441" t="s">
        <v>1842</v>
      </c>
      <c r="I441" t="s">
        <v>2169</v>
      </c>
      <c r="J441" t="s">
        <v>2177</v>
      </c>
      <c r="K441" t="s">
        <v>2805</v>
      </c>
      <c r="M441" t="b">
        <v>1</v>
      </c>
      <c r="N441" s="7">
        <v>45637</v>
      </c>
      <c r="O441" t="s">
        <v>2179</v>
      </c>
      <c r="P441">
        <v>35.310622379999998</v>
      </c>
      <c r="Q441">
        <v>-120.6624053</v>
      </c>
      <c r="R441" t="s">
        <v>1808</v>
      </c>
      <c r="S441">
        <v>18384</v>
      </c>
      <c r="T441" t="s">
        <v>1809</v>
      </c>
      <c r="U441" t="s">
        <v>2806</v>
      </c>
      <c r="V441">
        <v>283</v>
      </c>
      <c r="W441" t="s">
        <v>2665</v>
      </c>
      <c r="X441" t="b">
        <v>0</v>
      </c>
      <c r="Y441" t="s">
        <v>2101</v>
      </c>
      <c r="Z441" s="6"/>
    </row>
    <row r="442" spans="1:26" ht="14.45" customHeight="1">
      <c r="A442">
        <v>479</v>
      </c>
      <c r="B442" t="s">
        <v>2193</v>
      </c>
      <c r="C442" t="s">
        <v>2194</v>
      </c>
      <c r="D442" t="s">
        <v>1826</v>
      </c>
      <c r="E442" s="7">
        <v>45195</v>
      </c>
      <c r="F442">
        <v>7</v>
      </c>
      <c r="G442">
        <f t="shared" si="6"/>
        <v>0.17779999999999999</v>
      </c>
      <c r="H442" t="s">
        <v>1804</v>
      </c>
      <c r="I442" t="s">
        <v>2169</v>
      </c>
      <c r="J442" t="s">
        <v>2183</v>
      </c>
      <c r="K442" t="s">
        <v>2807</v>
      </c>
      <c r="M442" t="b">
        <v>1</v>
      </c>
      <c r="N442" s="7">
        <v>45637</v>
      </c>
      <c r="O442" t="s">
        <v>1308</v>
      </c>
      <c r="P442">
        <v>35.310591250000002</v>
      </c>
      <c r="Q442">
        <v>-120.6623858</v>
      </c>
      <c r="R442" t="s">
        <v>1808</v>
      </c>
      <c r="S442">
        <v>18361</v>
      </c>
      <c r="T442" t="s">
        <v>1809</v>
      </c>
      <c r="U442" t="s">
        <v>2196</v>
      </c>
      <c r="V442">
        <v>262</v>
      </c>
      <c r="W442" t="s">
        <v>2665</v>
      </c>
      <c r="X442" t="b">
        <v>0</v>
      </c>
      <c r="Y442" t="s">
        <v>2101</v>
      </c>
      <c r="Z442" s="6"/>
    </row>
    <row r="443" spans="1:26" ht="14.45" customHeight="1">
      <c r="A443">
        <v>571</v>
      </c>
      <c r="B443" t="s">
        <v>2808</v>
      </c>
      <c r="C443" t="s">
        <v>2809</v>
      </c>
      <c r="D443" t="s">
        <v>1826</v>
      </c>
      <c r="E443" s="7">
        <v>45195</v>
      </c>
      <c r="F443">
        <v>14</v>
      </c>
      <c r="G443">
        <f t="shared" si="6"/>
        <v>0.35559999999999997</v>
      </c>
      <c r="H443" t="s">
        <v>1855</v>
      </c>
      <c r="J443" t="s">
        <v>2809</v>
      </c>
      <c r="K443" t="s">
        <v>2810</v>
      </c>
      <c r="M443" t="b">
        <v>0</v>
      </c>
      <c r="N443" s="7">
        <v>45637</v>
      </c>
      <c r="O443" t="s">
        <v>2811</v>
      </c>
      <c r="P443">
        <v>35.310669820000001</v>
      </c>
      <c r="Q443">
        <v>-120.66240790000001</v>
      </c>
      <c r="R443" t="s">
        <v>1808</v>
      </c>
      <c r="S443">
        <v>18355</v>
      </c>
      <c r="T443" t="s">
        <v>1809</v>
      </c>
      <c r="U443" t="s">
        <v>2812</v>
      </c>
      <c r="V443">
        <v>256</v>
      </c>
      <c r="W443" t="s">
        <v>2665</v>
      </c>
      <c r="X443" t="b">
        <v>0</v>
      </c>
      <c r="Y443" t="s">
        <v>2101</v>
      </c>
      <c r="Z443" s="6"/>
    </row>
    <row r="444" spans="1:26" ht="14.45" customHeight="1">
      <c r="A444">
        <v>379</v>
      </c>
      <c r="B444" t="s">
        <v>2813</v>
      </c>
      <c r="C444" t="s">
        <v>2814</v>
      </c>
      <c r="D444" t="s">
        <v>1826</v>
      </c>
      <c r="E444" s="7">
        <v>45195</v>
      </c>
      <c r="F444">
        <v>11</v>
      </c>
      <c r="G444">
        <f t="shared" si="6"/>
        <v>0.27939999999999998</v>
      </c>
      <c r="H444" t="s">
        <v>1804</v>
      </c>
      <c r="I444" t="s">
        <v>2815</v>
      </c>
      <c r="J444" t="s">
        <v>2424</v>
      </c>
      <c r="K444" t="s">
        <v>2816</v>
      </c>
      <c r="M444" t="b">
        <v>1</v>
      </c>
      <c r="N444" s="7">
        <v>45610</v>
      </c>
      <c r="O444" t="s">
        <v>2817</v>
      </c>
      <c r="P444">
        <v>35.310283890000001</v>
      </c>
      <c r="Q444">
        <v>-120.6609601</v>
      </c>
      <c r="R444" t="s">
        <v>1808</v>
      </c>
      <c r="S444">
        <v>18421</v>
      </c>
      <c r="T444" t="s">
        <v>1809</v>
      </c>
      <c r="U444" t="s">
        <v>2818</v>
      </c>
      <c r="V444">
        <v>317</v>
      </c>
      <c r="W444" t="s">
        <v>2040</v>
      </c>
      <c r="X444" t="b">
        <v>0</v>
      </c>
      <c r="Y444" t="s">
        <v>2601</v>
      </c>
      <c r="Z444" s="6"/>
    </row>
    <row r="445" spans="1:26" ht="14.45" customHeight="1">
      <c r="A445">
        <v>380</v>
      </c>
      <c r="B445" t="s">
        <v>2813</v>
      </c>
      <c r="C445" t="s">
        <v>2814</v>
      </c>
      <c r="D445" t="s">
        <v>1826</v>
      </c>
      <c r="E445" s="7">
        <v>45195</v>
      </c>
      <c r="F445">
        <v>11</v>
      </c>
      <c r="G445">
        <f t="shared" si="6"/>
        <v>0.27939999999999998</v>
      </c>
      <c r="H445" t="s">
        <v>1804</v>
      </c>
      <c r="I445" t="s">
        <v>2815</v>
      </c>
      <c r="J445" t="s">
        <v>2424</v>
      </c>
      <c r="K445" t="s">
        <v>2819</v>
      </c>
      <c r="M445" t="b">
        <v>1</v>
      </c>
      <c r="N445" s="7">
        <v>45610</v>
      </c>
      <c r="O445" t="s">
        <v>2817</v>
      </c>
      <c r="P445">
        <v>35.310260450000001</v>
      </c>
      <c r="Q445">
        <v>-120.6610211</v>
      </c>
      <c r="R445" t="s">
        <v>1808</v>
      </c>
      <c r="S445">
        <v>18416</v>
      </c>
      <c r="T445" t="s">
        <v>1809</v>
      </c>
      <c r="U445" t="s">
        <v>2818</v>
      </c>
      <c r="V445">
        <v>312</v>
      </c>
      <c r="W445" t="s">
        <v>2040</v>
      </c>
      <c r="X445" t="b">
        <v>0</v>
      </c>
      <c r="Y445" t="s">
        <v>2601</v>
      </c>
      <c r="Z445" s="667"/>
    </row>
    <row r="446" spans="1:26" ht="14.45" customHeight="1">
      <c r="A446">
        <v>381</v>
      </c>
      <c r="B446" t="s">
        <v>2813</v>
      </c>
      <c r="C446" t="s">
        <v>2814</v>
      </c>
      <c r="D446" t="s">
        <v>1826</v>
      </c>
      <c r="E446" s="7">
        <v>45195</v>
      </c>
      <c r="F446">
        <v>14</v>
      </c>
      <c r="G446">
        <f t="shared" si="6"/>
        <v>0.35559999999999997</v>
      </c>
      <c r="H446" t="s">
        <v>1855</v>
      </c>
      <c r="I446" t="s">
        <v>2815</v>
      </c>
      <c r="J446" t="s">
        <v>2424</v>
      </c>
      <c r="K446" t="s">
        <v>2820</v>
      </c>
      <c r="M446" t="b">
        <v>1</v>
      </c>
      <c r="N446" s="7">
        <v>45610</v>
      </c>
      <c r="O446" t="s">
        <v>2817</v>
      </c>
      <c r="P446">
        <v>35.31034751</v>
      </c>
      <c r="Q446">
        <v>-120.66114090000001</v>
      </c>
      <c r="R446" t="s">
        <v>1808</v>
      </c>
      <c r="S446">
        <v>18367</v>
      </c>
      <c r="T446" t="s">
        <v>1809</v>
      </c>
      <c r="U446" t="s">
        <v>2821</v>
      </c>
      <c r="V446">
        <v>268</v>
      </c>
      <c r="W446" t="s">
        <v>2040</v>
      </c>
      <c r="X446" t="b">
        <v>0</v>
      </c>
      <c r="Y446" t="s">
        <v>2601</v>
      </c>
      <c r="Z446" s="667"/>
    </row>
    <row r="447" spans="1:26" ht="14.45" customHeight="1">
      <c r="A447">
        <v>133</v>
      </c>
      <c r="B447" t="s">
        <v>2822</v>
      </c>
      <c r="C447" t="s">
        <v>2823</v>
      </c>
      <c r="D447" t="s">
        <v>1826</v>
      </c>
      <c r="E447" s="7">
        <v>45195</v>
      </c>
      <c r="F447">
        <v>14</v>
      </c>
      <c r="G447">
        <f t="shared" si="6"/>
        <v>0.35559999999999997</v>
      </c>
      <c r="H447" t="s">
        <v>1855</v>
      </c>
      <c r="I447" t="s">
        <v>2567</v>
      </c>
      <c r="J447" t="s">
        <v>2824</v>
      </c>
      <c r="K447" t="s">
        <v>2825</v>
      </c>
      <c r="M447" t="b">
        <v>1</v>
      </c>
      <c r="N447" s="7">
        <v>45637</v>
      </c>
      <c r="O447" t="s">
        <v>2826</v>
      </c>
      <c r="P447">
        <v>35.310364020000002</v>
      </c>
      <c r="Q447">
        <v>-120.6612083</v>
      </c>
      <c r="R447" t="s">
        <v>1808</v>
      </c>
      <c r="S447">
        <v>18354</v>
      </c>
      <c r="T447" t="s">
        <v>1809</v>
      </c>
      <c r="U447" t="s">
        <v>2827</v>
      </c>
      <c r="V447">
        <v>255</v>
      </c>
      <c r="W447" t="s">
        <v>2040</v>
      </c>
      <c r="X447" t="b">
        <v>0</v>
      </c>
      <c r="Y447" t="s">
        <v>2601</v>
      </c>
      <c r="Z447" s="667"/>
    </row>
    <row r="448" spans="1:26" ht="14.45" customHeight="1">
      <c r="A448">
        <v>22</v>
      </c>
      <c r="B448" t="s">
        <v>2828</v>
      </c>
      <c r="C448" t="s">
        <v>2829</v>
      </c>
      <c r="D448" t="s">
        <v>1826</v>
      </c>
      <c r="E448" s="7">
        <v>45195</v>
      </c>
      <c r="F448">
        <v>5</v>
      </c>
      <c r="G448">
        <f t="shared" si="6"/>
        <v>0.127</v>
      </c>
      <c r="H448" t="s">
        <v>1814</v>
      </c>
      <c r="J448" t="s">
        <v>2829</v>
      </c>
      <c r="K448" t="s">
        <v>2830</v>
      </c>
      <c r="M448" t="b">
        <v>0</v>
      </c>
      <c r="N448" s="7">
        <v>45637</v>
      </c>
      <c r="O448" t="s">
        <v>2831</v>
      </c>
      <c r="P448">
        <v>35.310260059999997</v>
      </c>
      <c r="Q448">
        <v>-120.66086369999999</v>
      </c>
      <c r="R448" t="s">
        <v>1808</v>
      </c>
      <c r="S448">
        <v>18444</v>
      </c>
      <c r="T448" t="s">
        <v>1809</v>
      </c>
      <c r="U448" t="s">
        <v>2832</v>
      </c>
      <c r="V448">
        <v>339</v>
      </c>
      <c r="W448" t="s">
        <v>2040</v>
      </c>
      <c r="X448" t="b">
        <v>0</v>
      </c>
      <c r="Y448" t="s">
        <v>2601</v>
      </c>
      <c r="Z448" s="6"/>
    </row>
    <row r="449" spans="1:26" ht="14.45" customHeight="1">
      <c r="A449">
        <v>574</v>
      </c>
      <c r="D449" t="s">
        <v>1989</v>
      </c>
      <c r="E449" s="7">
        <v>45195</v>
      </c>
      <c r="F449">
        <v>9</v>
      </c>
      <c r="G449">
        <f t="shared" si="6"/>
        <v>0.2286</v>
      </c>
      <c r="H449" t="s">
        <v>1804</v>
      </c>
      <c r="K449" t="s">
        <v>2833</v>
      </c>
      <c r="M449" t="b">
        <v>0</v>
      </c>
      <c r="N449" s="7">
        <v>45610</v>
      </c>
      <c r="P449">
        <v>35.31029547</v>
      </c>
      <c r="Q449">
        <v>-120.6610366</v>
      </c>
      <c r="R449" t="s">
        <v>1808</v>
      </c>
      <c r="S449">
        <v>18408</v>
      </c>
      <c r="T449" t="s">
        <v>1809</v>
      </c>
      <c r="U449" t="s">
        <v>2834</v>
      </c>
      <c r="V449">
        <v>304</v>
      </c>
      <c r="W449" t="s">
        <v>2040</v>
      </c>
      <c r="X449" t="b">
        <v>0</v>
      </c>
      <c r="Y449" t="s">
        <v>2601</v>
      </c>
      <c r="Z449" s="6"/>
    </row>
    <row r="450" spans="1:26" ht="14.45" customHeight="1">
      <c r="A450">
        <v>575</v>
      </c>
      <c r="D450" t="s">
        <v>1826</v>
      </c>
      <c r="E450" s="7">
        <v>45195</v>
      </c>
      <c r="F450">
        <v>13</v>
      </c>
      <c r="G450">
        <f t="shared" si="6"/>
        <v>0.33019999999999999</v>
      </c>
      <c r="H450" t="s">
        <v>1855</v>
      </c>
      <c r="K450" t="s">
        <v>2835</v>
      </c>
      <c r="M450" t="b">
        <v>0</v>
      </c>
      <c r="N450" s="7">
        <v>45610</v>
      </c>
      <c r="P450">
        <v>35.310308120000002</v>
      </c>
      <c r="Q450">
        <v>-120.6610592</v>
      </c>
      <c r="R450" t="s">
        <v>1808</v>
      </c>
      <c r="S450">
        <v>18398</v>
      </c>
      <c r="T450" t="s">
        <v>1809</v>
      </c>
      <c r="U450" t="s">
        <v>2836</v>
      </c>
      <c r="V450">
        <v>296</v>
      </c>
      <c r="W450" t="s">
        <v>2040</v>
      </c>
      <c r="X450" t="b">
        <v>0</v>
      </c>
      <c r="Y450" t="s">
        <v>2601</v>
      </c>
      <c r="Z450" s="6"/>
    </row>
    <row r="451" spans="1:26" ht="14.45" customHeight="1">
      <c r="A451">
        <v>173</v>
      </c>
      <c r="B451" t="s">
        <v>1624</v>
      </c>
      <c r="C451" t="s">
        <v>2072</v>
      </c>
      <c r="D451" t="s">
        <v>2003</v>
      </c>
      <c r="E451" s="7">
        <v>45195</v>
      </c>
      <c r="F451">
        <v>1</v>
      </c>
      <c r="G451">
        <f t="shared" ref="G451:G514" si="7">F451*0.0254</f>
        <v>2.5399999999999999E-2</v>
      </c>
      <c r="H451" t="s">
        <v>1838</v>
      </c>
      <c r="I451" t="s">
        <v>1982</v>
      </c>
      <c r="J451" t="s">
        <v>1983</v>
      </c>
      <c r="K451" t="s">
        <v>2837</v>
      </c>
      <c r="M451" t="b">
        <v>1</v>
      </c>
      <c r="N451" s="7">
        <v>45195</v>
      </c>
      <c r="O451" t="s">
        <v>2074</v>
      </c>
      <c r="P451">
        <v>35.310182759999996</v>
      </c>
      <c r="Q451">
        <v>-120.6619681</v>
      </c>
      <c r="R451" t="s">
        <v>1808</v>
      </c>
      <c r="S451">
        <v>18413</v>
      </c>
      <c r="T451" t="s">
        <v>1809</v>
      </c>
      <c r="U451" t="s">
        <v>2838</v>
      </c>
      <c r="V451">
        <v>309</v>
      </c>
      <c r="W451" t="s">
        <v>2735</v>
      </c>
      <c r="X451" t="b">
        <v>0</v>
      </c>
      <c r="Y451" t="s">
        <v>2075</v>
      </c>
      <c r="Z451" s="6"/>
    </row>
    <row r="452" spans="1:26" ht="14.45" customHeight="1">
      <c r="A452">
        <v>181</v>
      </c>
      <c r="B452" t="s">
        <v>1624</v>
      </c>
      <c r="C452" t="s">
        <v>2072</v>
      </c>
      <c r="D452" t="s">
        <v>2003</v>
      </c>
      <c r="E452" s="7">
        <v>45195</v>
      </c>
      <c r="F452">
        <v>4</v>
      </c>
      <c r="G452">
        <f t="shared" si="7"/>
        <v>0.1016</v>
      </c>
      <c r="H452" t="s">
        <v>1814</v>
      </c>
      <c r="I452" t="s">
        <v>1982</v>
      </c>
      <c r="J452" t="s">
        <v>1983</v>
      </c>
      <c r="K452" t="s">
        <v>2839</v>
      </c>
      <c r="M452" t="b">
        <v>1</v>
      </c>
      <c r="N452" s="7">
        <v>45195</v>
      </c>
      <c r="O452" t="s">
        <v>2074</v>
      </c>
      <c r="P452">
        <v>35.310177490000001</v>
      </c>
      <c r="Q452">
        <v>-120.6620132</v>
      </c>
      <c r="R452" t="s">
        <v>1808</v>
      </c>
      <c r="S452">
        <v>18417</v>
      </c>
      <c r="T452" t="s">
        <v>1809</v>
      </c>
      <c r="U452" t="s">
        <v>2838</v>
      </c>
      <c r="V452">
        <v>313</v>
      </c>
      <c r="W452" t="s">
        <v>2735</v>
      </c>
      <c r="X452" t="b">
        <v>0</v>
      </c>
      <c r="Y452" t="s">
        <v>2075</v>
      </c>
      <c r="Z452" s="6"/>
    </row>
    <row r="453" spans="1:26" ht="14.45" customHeight="1">
      <c r="A453">
        <v>202</v>
      </c>
      <c r="B453" t="s">
        <v>1624</v>
      </c>
      <c r="C453" t="s">
        <v>2072</v>
      </c>
      <c r="D453" t="s">
        <v>2003</v>
      </c>
      <c r="E453" s="7">
        <v>45195</v>
      </c>
      <c r="F453">
        <v>17</v>
      </c>
      <c r="G453">
        <f t="shared" si="7"/>
        <v>0.43179999999999996</v>
      </c>
      <c r="H453" t="s">
        <v>1855</v>
      </c>
      <c r="I453" t="s">
        <v>1982</v>
      </c>
      <c r="J453" t="s">
        <v>1983</v>
      </c>
      <c r="K453" t="s">
        <v>2840</v>
      </c>
      <c r="M453" t="b">
        <v>1</v>
      </c>
      <c r="N453" s="7">
        <v>45637</v>
      </c>
      <c r="O453" t="s">
        <v>2074</v>
      </c>
      <c r="P453">
        <v>35.3103464</v>
      </c>
      <c r="Q453">
        <v>-120.6622735</v>
      </c>
      <c r="R453" t="s">
        <v>1808</v>
      </c>
      <c r="S453">
        <v>18446</v>
      </c>
      <c r="T453" t="s">
        <v>1809</v>
      </c>
      <c r="U453" t="s">
        <v>2111</v>
      </c>
      <c r="V453">
        <v>341</v>
      </c>
      <c r="W453" t="s">
        <v>2684</v>
      </c>
      <c r="X453" t="b">
        <v>0</v>
      </c>
      <c r="Y453" t="s">
        <v>2075</v>
      </c>
      <c r="Z453" s="6"/>
    </row>
    <row r="454" spans="1:26" ht="14.45" customHeight="1">
      <c r="A454">
        <v>437</v>
      </c>
      <c r="B454" t="s">
        <v>2027</v>
      </c>
      <c r="C454" t="s">
        <v>2028</v>
      </c>
      <c r="D454" t="s">
        <v>2003</v>
      </c>
      <c r="E454" s="7">
        <v>45195</v>
      </c>
      <c r="F454">
        <v>18</v>
      </c>
      <c r="G454">
        <f t="shared" si="7"/>
        <v>0.4572</v>
      </c>
      <c r="H454" t="s">
        <v>1842</v>
      </c>
      <c r="J454" t="s">
        <v>1983</v>
      </c>
      <c r="K454" t="s">
        <v>2841</v>
      </c>
      <c r="M454" t="b">
        <v>1</v>
      </c>
      <c r="N454" s="7">
        <v>45637</v>
      </c>
      <c r="O454" t="s">
        <v>2030</v>
      </c>
      <c r="P454">
        <v>35.310430490000002</v>
      </c>
      <c r="Q454">
        <v>-120.66223979999999</v>
      </c>
      <c r="R454" t="s">
        <v>1808</v>
      </c>
      <c r="S454">
        <v>18443</v>
      </c>
      <c r="T454" t="s">
        <v>1809</v>
      </c>
      <c r="U454" t="s">
        <v>2842</v>
      </c>
      <c r="V454">
        <v>338</v>
      </c>
      <c r="W454" t="s">
        <v>2684</v>
      </c>
      <c r="X454" t="b">
        <v>0</v>
      </c>
      <c r="Y454" t="s">
        <v>2075</v>
      </c>
      <c r="Z454" s="6"/>
    </row>
    <row r="455" spans="1:26" ht="14.45" customHeight="1">
      <c r="A455">
        <v>11</v>
      </c>
      <c r="B455" t="s">
        <v>1802</v>
      </c>
      <c r="C455" t="s">
        <v>1803</v>
      </c>
      <c r="D455" t="s">
        <v>1946</v>
      </c>
      <c r="E455" s="7">
        <v>44859</v>
      </c>
      <c r="F455"/>
      <c r="G455">
        <f t="shared" si="7"/>
        <v>0</v>
      </c>
      <c r="I455" t="s">
        <v>1805</v>
      </c>
      <c r="J455" t="s">
        <v>1803</v>
      </c>
      <c r="K455" t="s">
        <v>2843</v>
      </c>
      <c r="M455" t="b">
        <v>0</v>
      </c>
      <c r="N455" s="7">
        <v>45637</v>
      </c>
      <c r="O455" t="s">
        <v>1807</v>
      </c>
      <c r="P455">
        <v>35.310305</v>
      </c>
      <c r="Q455">
        <v>-120.6632066</v>
      </c>
      <c r="R455" t="s">
        <v>1808</v>
      </c>
      <c r="S455">
        <v>15596</v>
      </c>
      <c r="T455" t="s">
        <v>1809</v>
      </c>
      <c r="U455" t="s">
        <v>2780</v>
      </c>
      <c r="V455">
        <v>236</v>
      </c>
      <c r="W455" t="s">
        <v>2844</v>
      </c>
      <c r="X455" t="b">
        <v>0</v>
      </c>
      <c r="Y455" t="s">
        <v>1968</v>
      </c>
      <c r="Z455" s="6"/>
    </row>
    <row r="456" spans="1:26" ht="14.45" customHeight="1">
      <c r="A456">
        <v>273</v>
      </c>
      <c r="B456" t="s">
        <v>2290</v>
      </c>
      <c r="C456" t="s">
        <v>2291</v>
      </c>
      <c r="D456" t="s">
        <v>1946</v>
      </c>
      <c r="E456" s="7">
        <v>44851</v>
      </c>
      <c r="F456">
        <v>12</v>
      </c>
      <c r="G456">
        <f t="shared" si="7"/>
        <v>0.30479999999999996</v>
      </c>
      <c r="H456" t="s">
        <v>1855</v>
      </c>
      <c r="I456" t="s">
        <v>1982</v>
      </c>
      <c r="J456" t="s">
        <v>1983</v>
      </c>
      <c r="K456" t="s">
        <v>2845</v>
      </c>
      <c r="M456" t="b">
        <v>1</v>
      </c>
      <c r="N456" s="7">
        <v>45610</v>
      </c>
      <c r="O456" t="s">
        <v>1393</v>
      </c>
      <c r="P456">
        <v>35.310022500000002</v>
      </c>
      <c r="Q456">
        <v>-120.66152599999999</v>
      </c>
      <c r="R456" t="s">
        <v>1808</v>
      </c>
      <c r="S456">
        <v>18387</v>
      </c>
      <c r="T456" t="s">
        <v>1809</v>
      </c>
      <c r="U456" t="s">
        <v>2293</v>
      </c>
      <c r="V456">
        <v>286</v>
      </c>
      <c r="W456" t="s">
        <v>2735</v>
      </c>
      <c r="X456" t="b">
        <v>0</v>
      </c>
      <c r="Y456" t="s">
        <v>2224</v>
      </c>
      <c r="Z456" s="6"/>
    </row>
    <row r="457" spans="1:26" ht="14.45" customHeight="1">
      <c r="A457">
        <v>318</v>
      </c>
      <c r="B457" t="s">
        <v>2846</v>
      </c>
      <c r="C457" t="s">
        <v>2847</v>
      </c>
      <c r="D457" t="s">
        <v>2003</v>
      </c>
      <c r="E457" s="7">
        <v>44851</v>
      </c>
      <c r="F457">
        <v>9</v>
      </c>
      <c r="G457">
        <f t="shared" si="7"/>
        <v>0.2286</v>
      </c>
      <c r="H457" t="s">
        <v>1804</v>
      </c>
      <c r="J457" t="s">
        <v>2848</v>
      </c>
      <c r="K457" t="s">
        <v>2849</v>
      </c>
      <c r="M457" t="b">
        <v>1</v>
      </c>
      <c r="N457" s="7">
        <v>45637</v>
      </c>
      <c r="O457" t="s">
        <v>2850</v>
      </c>
      <c r="P457">
        <v>35.310001700000001</v>
      </c>
      <c r="Q457">
        <v>-120.6613382</v>
      </c>
      <c r="R457" t="s">
        <v>1808</v>
      </c>
      <c r="S457">
        <v>15591</v>
      </c>
      <c r="T457" t="s">
        <v>1809</v>
      </c>
      <c r="U457" t="s">
        <v>2851</v>
      </c>
      <c r="V457">
        <v>234</v>
      </c>
      <c r="W457" t="s">
        <v>2852</v>
      </c>
      <c r="X457" t="b">
        <v>0</v>
      </c>
      <c r="Y457" t="s">
        <v>2224</v>
      </c>
      <c r="Z457" s="667"/>
    </row>
    <row r="458" spans="1:26" ht="14.45" customHeight="1">
      <c r="A458">
        <v>132</v>
      </c>
      <c r="B458" t="s">
        <v>2853</v>
      </c>
      <c r="C458" t="s">
        <v>2854</v>
      </c>
      <c r="D458" t="s">
        <v>2003</v>
      </c>
      <c r="E458" s="7">
        <v>44851</v>
      </c>
      <c r="F458">
        <v>12</v>
      </c>
      <c r="G458">
        <f t="shared" si="7"/>
        <v>0.30479999999999996</v>
      </c>
      <c r="H458" t="s">
        <v>1855</v>
      </c>
      <c r="I458" t="s">
        <v>1982</v>
      </c>
      <c r="J458" t="s">
        <v>1983</v>
      </c>
      <c r="K458" t="s">
        <v>2855</v>
      </c>
      <c r="M458" t="b">
        <v>1</v>
      </c>
      <c r="N458" s="7">
        <v>45637</v>
      </c>
      <c r="O458" t="s">
        <v>2856</v>
      </c>
      <c r="P458">
        <v>35.310568119999999</v>
      </c>
      <c r="Q458">
        <v>-120.6615589</v>
      </c>
      <c r="R458" t="s">
        <v>1808</v>
      </c>
      <c r="S458">
        <v>15592</v>
      </c>
      <c r="T458" t="s">
        <v>1809</v>
      </c>
      <c r="U458" t="s">
        <v>2857</v>
      </c>
      <c r="V458">
        <v>235</v>
      </c>
      <c r="W458" t="s">
        <v>2852</v>
      </c>
      <c r="X458" t="b">
        <v>0</v>
      </c>
      <c r="Y458" t="s">
        <v>2055</v>
      </c>
      <c r="Z458" s="667"/>
    </row>
    <row r="459" spans="1:26" ht="14.45" customHeight="1">
      <c r="A459">
        <v>218</v>
      </c>
      <c r="B459" t="s">
        <v>1624</v>
      </c>
      <c r="C459" t="s">
        <v>2072</v>
      </c>
      <c r="D459" t="s">
        <v>2003</v>
      </c>
      <c r="E459" s="7">
        <v>44851</v>
      </c>
      <c r="F459">
        <v>23</v>
      </c>
      <c r="G459">
        <f t="shared" si="7"/>
        <v>0.58419999999999994</v>
      </c>
      <c r="H459" t="s">
        <v>1842</v>
      </c>
      <c r="I459" t="s">
        <v>1982</v>
      </c>
      <c r="J459" t="s">
        <v>1983</v>
      </c>
      <c r="K459" t="s">
        <v>2858</v>
      </c>
      <c r="M459" t="b">
        <v>1</v>
      </c>
      <c r="N459" s="7">
        <v>45597</v>
      </c>
      <c r="O459" t="s">
        <v>2074</v>
      </c>
      <c r="P459">
        <v>35.310672340000004</v>
      </c>
      <c r="Q459">
        <v>-120.6618276</v>
      </c>
      <c r="R459" t="s">
        <v>1808</v>
      </c>
      <c r="S459">
        <v>15590</v>
      </c>
      <c r="T459" t="s">
        <v>1809</v>
      </c>
      <c r="U459" t="s">
        <v>2386</v>
      </c>
      <c r="V459">
        <v>233</v>
      </c>
      <c r="W459" t="s">
        <v>2852</v>
      </c>
      <c r="X459" t="b">
        <v>0</v>
      </c>
      <c r="Y459" t="s">
        <v>2055</v>
      </c>
      <c r="Z459" s="667"/>
    </row>
    <row r="460" spans="1:26" ht="14.45" customHeight="1">
      <c r="A460">
        <v>481</v>
      </c>
      <c r="B460" t="s">
        <v>2859</v>
      </c>
      <c r="C460" t="s">
        <v>2860</v>
      </c>
      <c r="D460" t="s">
        <v>2003</v>
      </c>
      <c r="E460" s="7">
        <v>44851</v>
      </c>
      <c r="F460">
        <v>12</v>
      </c>
      <c r="G460">
        <f t="shared" si="7"/>
        <v>0.30479999999999996</v>
      </c>
      <c r="H460" t="s">
        <v>1855</v>
      </c>
      <c r="I460" t="s">
        <v>2169</v>
      </c>
      <c r="J460" t="s">
        <v>2861</v>
      </c>
      <c r="K460" t="s">
        <v>2862</v>
      </c>
      <c r="M460" t="b">
        <v>1</v>
      </c>
      <c r="N460" s="7">
        <v>45603</v>
      </c>
      <c r="O460" t="s">
        <v>2863</v>
      </c>
      <c r="P460">
        <v>35.310798079999998</v>
      </c>
      <c r="Q460">
        <v>-120.6623872</v>
      </c>
      <c r="R460" t="s">
        <v>1808</v>
      </c>
      <c r="S460">
        <v>15581</v>
      </c>
      <c r="T460" t="s">
        <v>1809</v>
      </c>
      <c r="U460" t="s">
        <v>2864</v>
      </c>
      <c r="V460">
        <v>224</v>
      </c>
      <c r="W460" t="s">
        <v>2852</v>
      </c>
      <c r="X460" t="b">
        <v>0</v>
      </c>
      <c r="Y460" t="s">
        <v>2101</v>
      </c>
      <c r="Z460" s="667"/>
    </row>
    <row r="461" spans="1:26" ht="14.45" customHeight="1">
      <c r="A461">
        <v>482</v>
      </c>
      <c r="B461" t="s">
        <v>2859</v>
      </c>
      <c r="C461" t="s">
        <v>2860</v>
      </c>
      <c r="D461" t="s">
        <v>2003</v>
      </c>
      <c r="E461" s="7">
        <v>44851</v>
      </c>
      <c r="F461">
        <v>12</v>
      </c>
      <c r="G461">
        <f t="shared" si="7"/>
        <v>0.30479999999999996</v>
      </c>
      <c r="H461" t="s">
        <v>1855</v>
      </c>
      <c r="I461" t="s">
        <v>2169</v>
      </c>
      <c r="J461" t="s">
        <v>2861</v>
      </c>
      <c r="K461" t="s">
        <v>2865</v>
      </c>
      <c r="M461" t="b">
        <v>1</v>
      </c>
      <c r="N461" s="7">
        <v>45604</v>
      </c>
      <c r="O461" t="s">
        <v>2863</v>
      </c>
      <c r="P461">
        <v>35.310771889999998</v>
      </c>
      <c r="Q461">
        <v>-120.66230349999999</v>
      </c>
      <c r="R461" t="s">
        <v>1808</v>
      </c>
      <c r="S461">
        <v>15577</v>
      </c>
      <c r="T461" t="s">
        <v>1809</v>
      </c>
      <c r="U461" t="s">
        <v>2864</v>
      </c>
      <c r="V461">
        <v>220</v>
      </c>
      <c r="W461" t="s">
        <v>2852</v>
      </c>
      <c r="X461" t="b">
        <v>0</v>
      </c>
      <c r="Y461" t="s">
        <v>2101</v>
      </c>
      <c r="Z461" s="667"/>
    </row>
    <row r="462" spans="1:26" ht="14.45" customHeight="1">
      <c r="A462">
        <v>483</v>
      </c>
      <c r="B462" t="s">
        <v>2859</v>
      </c>
      <c r="C462" t="s">
        <v>2860</v>
      </c>
      <c r="D462" t="s">
        <v>2003</v>
      </c>
      <c r="E462" s="7">
        <v>44851</v>
      </c>
      <c r="F462">
        <v>12</v>
      </c>
      <c r="G462">
        <f t="shared" si="7"/>
        <v>0.30479999999999996</v>
      </c>
      <c r="H462" t="s">
        <v>1855</v>
      </c>
      <c r="I462" t="s">
        <v>2169</v>
      </c>
      <c r="J462" t="s">
        <v>2861</v>
      </c>
      <c r="K462" t="s">
        <v>2866</v>
      </c>
      <c r="M462" t="b">
        <v>1</v>
      </c>
      <c r="N462" s="7">
        <v>45603</v>
      </c>
      <c r="O462" t="s">
        <v>2863</v>
      </c>
      <c r="P462">
        <v>35.310751789999998</v>
      </c>
      <c r="Q462">
        <v>-120.6622043</v>
      </c>
      <c r="R462" t="s">
        <v>1808</v>
      </c>
      <c r="S462">
        <v>15576</v>
      </c>
      <c r="T462" t="s">
        <v>1809</v>
      </c>
      <c r="U462" t="s">
        <v>2867</v>
      </c>
      <c r="V462">
        <v>219</v>
      </c>
      <c r="W462" t="s">
        <v>2852</v>
      </c>
      <c r="X462" t="b">
        <v>0</v>
      </c>
      <c r="Y462" t="s">
        <v>2101</v>
      </c>
      <c r="Z462" s="667"/>
    </row>
    <row r="463" spans="1:26" ht="14.45" customHeight="1">
      <c r="A463">
        <v>484</v>
      </c>
      <c r="B463" t="s">
        <v>2859</v>
      </c>
      <c r="C463" t="s">
        <v>2860</v>
      </c>
      <c r="D463" t="s">
        <v>1826</v>
      </c>
      <c r="E463" s="7">
        <v>44851</v>
      </c>
      <c r="F463">
        <v>12</v>
      </c>
      <c r="G463">
        <f t="shared" si="7"/>
        <v>0.30479999999999996</v>
      </c>
      <c r="H463" t="s">
        <v>1855</v>
      </c>
      <c r="I463" t="s">
        <v>2169</v>
      </c>
      <c r="J463" t="s">
        <v>2861</v>
      </c>
      <c r="K463" t="s">
        <v>2868</v>
      </c>
      <c r="M463" t="b">
        <v>1</v>
      </c>
      <c r="N463" s="7">
        <v>45594</v>
      </c>
      <c r="O463" t="s">
        <v>2863</v>
      </c>
      <c r="P463">
        <v>35.310736599999998</v>
      </c>
      <c r="Q463">
        <v>-120.6621466</v>
      </c>
      <c r="R463" t="s">
        <v>1808</v>
      </c>
      <c r="S463">
        <v>15575</v>
      </c>
      <c r="T463" t="s">
        <v>1809</v>
      </c>
      <c r="U463" t="s">
        <v>2864</v>
      </c>
      <c r="V463">
        <v>218</v>
      </c>
      <c r="W463" t="s">
        <v>2852</v>
      </c>
      <c r="X463" t="b">
        <v>0</v>
      </c>
      <c r="Y463" t="s">
        <v>2101</v>
      </c>
      <c r="Z463" s="6"/>
    </row>
    <row r="464" spans="1:26" ht="14.45" customHeight="1">
      <c r="A464">
        <v>253</v>
      </c>
      <c r="B464" t="s">
        <v>2869</v>
      </c>
      <c r="C464" t="s">
        <v>2870</v>
      </c>
      <c r="D464" t="s">
        <v>1826</v>
      </c>
      <c r="E464" s="7">
        <v>44851</v>
      </c>
      <c r="F464">
        <v>5</v>
      </c>
      <c r="G464">
        <f t="shared" si="7"/>
        <v>0.127</v>
      </c>
      <c r="H464" t="s">
        <v>1814</v>
      </c>
      <c r="I464" t="s">
        <v>2004</v>
      </c>
      <c r="J464" t="s">
        <v>2871</v>
      </c>
      <c r="K464" t="s">
        <v>2872</v>
      </c>
      <c r="M464" t="b">
        <v>1</v>
      </c>
      <c r="N464" s="7">
        <v>45594</v>
      </c>
      <c r="O464" t="s">
        <v>2873</v>
      </c>
      <c r="P464">
        <v>35.310680789999999</v>
      </c>
      <c r="Q464">
        <v>-120.6620916</v>
      </c>
      <c r="R464" t="s">
        <v>1808</v>
      </c>
      <c r="S464">
        <v>15588</v>
      </c>
      <c r="T464" t="s">
        <v>1809</v>
      </c>
      <c r="U464" t="s">
        <v>2874</v>
      </c>
      <c r="V464">
        <v>231</v>
      </c>
      <c r="W464" t="s">
        <v>2852</v>
      </c>
      <c r="X464" t="b">
        <v>0</v>
      </c>
      <c r="Y464" t="s">
        <v>2101</v>
      </c>
      <c r="Z464" s="667"/>
    </row>
    <row r="465" spans="1:26" ht="14.45" customHeight="1">
      <c r="A465">
        <v>572</v>
      </c>
      <c r="B465" t="s">
        <v>2808</v>
      </c>
      <c r="C465" t="s">
        <v>2809</v>
      </c>
      <c r="D465" t="s">
        <v>2003</v>
      </c>
      <c r="E465" s="7">
        <v>44851</v>
      </c>
      <c r="F465">
        <v>20</v>
      </c>
      <c r="G465">
        <f t="shared" si="7"/>
        <v>0.50800000000000001</v>
      </c>
      <c r="H465" t="s">
        <v>1842</v>
      </c>
      <c r="J465" t="s">
        <v>2809</v>
      </c>
      <c r="K465" t="s">
        <v>2875</v>
      </c>
      <c r="M465" t="b">
        <v>0</v>
      </c>
      <c r="N465" s="7">
        <v>45637</v>
      </c>
      <c r="O465" t="s">
        <v>2811</v>
      </c>
      <c r="P465">
        <v>35.310699399999997</v>
      </c>
      <c r="Q465">
        <v>-120.6621117</v>
      </c>
      <c r="R465" t="s">
        <v>1808</v>
      </c>
      <c r="S465">
        <v>15583</v>
      </c>
      <c r="T465" t="s">
        <v>1809</v>
      </c>
      <c r="U465" t="s">
        <v>2876</v>
      </c>
      <c r="V465">
        <v>226</v>
      </c>
      <c r="W465" t="s">
        <v>2852</v>
      </c>
      <c r="X465" t="b">
        <v>0</v>
      </c>
      <c r="Y465" t="s">
        <v>2101</v>
      </c>
      <c r="Z465" s="667"/>
    </row>
    <row r="466" spans="1:26" ht="14.45" customHeight="1">
      <c r="A466">
        <v>409</v>
      </c>
      <c r="B466" t="s">
        <v>2877</v>
      </c>
      <c r="C466" t="s">
        <v>2878</v>
      </c>
      <c r="D466" t="s">
        <v>2003</v>
      </c>
      <c r="E466" s="7">
        <v>44851</v>
      </c>
      <c r="F466">
        <v>10</v>
      </c>
      <c r="G466">
        <f t="shared" si="7"/>
        <v>0.254</v>
      </c>
      <c r="H466" t="s">
        <v>1804</v>
      </c>
      <c r="I466" t="s">
        <v>1882</v>
      </c>
      <c r="J466" t="s">
        <v>2150</v>
      </c>
      <c r="K466" t="s">
        <v>2879</v>
      </c>
      <c r="M466" t="b">
        <v>1</v>
      </c>
      <c r="N466" s="7">
        <v>44850</v>
      </c>
      <c r="O466" t="s">
        <v>2880</v>
      </c>
      <c r="P466">
        <v>35.310189029999997</v>
      </c>
      <c r="Q466">
        <v>-120.6610936</v>
      </c>
      <c r="R466" t="s">
        <v>1808</v>
      </c>
      <c r="S466">
        <v>15574</v>
      </c>
      <c r="T466" t="s">
        <v>1809</v>
      </c>
      <c r="U466" t="s">
        <v>2881</v>
      </c>
      <c r="V466">
        <v>217</v>
      </c>
      <c r="W466" t="s">
        <v>2852</v>
      </c>
      <c r="X466" t="b">
        <v>0</v>
      </c>
      <c r="Y466" t="s">
        <v>2601</v>
      </c>
      <c r="Z466" s="6"/>
    </row>
    <row r="467" spans="1:26" ht="14.45" customHeight="1">
      <c r="A467">
        <v>435</v>
      </c>
      <c r="B467" t="s">
        <v>2027</v>
      </c>
      <c r="C467" t="s">
        <v>2028</v>
      </c>
      <c r="D467" t="s">
        <v>2003</v>
      </c>
      <c r="E467" s="7">
        <v>44848</v>
      </c>
      <c r="F467">
        <v>15</v>
      </c>
      <c r="G467">
        <f t="shared" si="7"/>
        <v>0.38100000000000001</v>
      </c>
      <c r="H467" t="s">
        <v>1855</v>
      </c>
      <c r="J467" t="s">
        <v>1983</v>
      </c>
      <c r="K467" t="s">
        <v>2882</v>
      </c>
      <c r="M467" t="b">
        <v>1</v>
      </c>
      <c r="N467" s="7">
        <v>44850</v>
      </c>
      <c r="O467" t="s">
        <v>2030</v>
      </c>
      <c r="P467">
        <v>35.310213990000001</v>
      </c>
      <c r="Q467">
        <v>-120.6611249</v>
      </c>
      <c r="R467" t="s">
        <v>1808</v>
      </c>
      <c r="S467">
        <v>15474</v>
      </c>
      <c r="T467" t="s">
        <v>1809</v>
      </c>
      <c r="U467" t="s">
        <v>2883</v>
      </c>
      <c r="V467">
        <v>216</v>
      </c>
      <c r="W467" t="s">
        <v>2852</v>
      </c>
      <c r="X467" t="b">
        <v>0</v>
      </c>
      <c r="Y467" t="s">
        <v>2601</v>
      </c>
      <c r="Z467" s="6"/>
    </row>
    <row r="468" spans="1:26" ht="14.45" customHeight="1">
      <c r="A468">
        <v>3</v>
      </c>
      <c r="B468" t="s">
        <v>1802</v>
      </c>
      <c r="C468" t="s">
        <v>1803</v>
      </c>
      <c r="D468" t="s">
        <v>1946</v>
      </c>
      <c r="E468" s="7">
        <v>44845</v>
      </c>
      <c r="F468">
        <v>2</v>
      </c>
      <c r="G468">
        <f t="shared" si="7"/>
        <v>5.0799999999999998E-2</v>
      </c>
      <c r="H468" t="s">
        <v>1838</v>
      </c>
      <c r="I468" t="s">
        <v>1805</v>
      </c>
      <c r="J468" t="s">
        <v>1803</v>
      </c>
      <c r="K468" t="s">
        <v>2884</v>
      </c>
      <c r="M468" t="b">
        <v>1</v>
      </c>
      <c r="N468" s="7">
        <v>45637</v>
      </c>
      <c r="O468" t="s">
        <v>1807</v>
      </c>
      <c r="P468">
        <v>35.3104133</v>
      </c>
      <c r="Q468">
        <v>-120.6629291</v>
      </c>
      <c r="R468" t="s">
        <v>1808</v>
      </c>
      <c r="S468">
        <v>15438</v>
      </c>
      <c r="T468" t="s">
        <v>1809</v>
      </c>
      <c r="U468" t="s">
        <v>2885</v>
      </c>
      <c r="V468">
        <v>214</v>
      </c>
      <c r="W468" t="s">
        <v>2886</v>
      </c>
      <c r="X468" t="b">
        <v>0</v>
      </c>
      <c r="Y468" t="s">
        <v>2249</v>
      </c>
      <c r="Z468" s="6"/>
    </row>
    <row r="469" spans="1:26" ht="14.45" customHeight="1">
      <c r="A469">
        <v>412</v>
      </c>
      <c r="B469" t="s">
        <v>2066</v>
      </c>
      <c r="C469" t="s">
        <v>2067</v>
      </c>
      <c r="D469" t="s">
        <v>1946</v>
      </c>
      <c r="E469" s="7">
        <v>44845</v>
      </c>
      <c r="F469">
        <v>9</v>
      </c>
      <c r="G469">
        <f t="shared" si="7"/>
        <v>0.2286</v>
      </c>
      <c r="H469" t="s">
        <v>1804</v>
      </c>
      <c r="J469" t="s">
        <v>2068</v>
      </c>
      <c r="K469" t="s">
        <v>2887</v>
      </c>
      <c r="M469" t="b">
        <v>0</v>
      </c>
      <c r="N469" s="7">
        <v>45603</v>
      </c>
      <c r="O469" t="s">
        <v>2070</v>
      </c>
      <c r="P469">
        <v>35.310445020000003</v>
      </c>
      <c r="Q469">
        <v>-120.66299050000001</v>
      </c>
      <c r="R469" t="s">
        <v>1808</v>
      </c>
      <c r="S469">
        <v>15444</v>
      </c>
      <c r="T469" t="s">
        <v>1809</v>
      </c>
      <c r="U469" t="s">
        <v>2888</v>
      </c>
      <c r="V469">
        <v>215</v>
      </c>
      <c r="W469" t="s">
        <v>2886</v>
      </c>
      <c r="X469" t="b">
        <v>0</v>
      </c>
      <c r="Y469" t="s">
        <v>2249</v>
      </c>
      <c r="Z469" s="6"/>
    </row>
    <row r="470" spans="1:26" ht="14.45" customHeight="1">
      <c r="A470">
        <v>387</v>
      </c>
      <c r="B470" t="s">
        <v>2889</v>
      </c>
      <c r="C470" t="s">
        <v>2890</v>
      </c>
      <c r="D470" t="s">
        <v>1826</v>
      </c>
      <c r="E470" s="7">
        <v>44845</v>
      </c>
      <c r="F470">
        <v>1</v>
      </c>
      <c r="G470">
        <f t="shared" si="7"/>
        <v>2.5399999999999999E-2</v>
      </c>
      <c r="H470" t="s">
        <v>1838</v>
      </c>
      <c r="I470" t="s">
        <v>2891</v>
      </c>
      <c r="J470" t="s">
        <v>2892</v>
      </c>
      <c r="K470" t="s">
        <v>2893</v>
      </c>
      <c r="M470" t="b">
        <v>1</v>
      </c>
      <c r="N470" s="7">
        <v>45637</v>
      </c>
      <c r="O470" t="s">
        <v>2894</v>
      </c>
      <c r="P470">
        <v>35.310474720000002</v>
      </c>
      <c r="Q470">
        <v>-120.6612367</v>
      </c>
      <c r="R470" t="s">
        <v>1808</v>
      </c>
      <c r="S470">
        <v>15409</v>
      </c>
      <c r="T470" t="s">
        <v>1809</v>
      </c>
      <c r="U470" t="s">
        <v>2895</v>
      </c>
      <c r="V470">
        <v>207</v>
      </c>
      <c r="W470" t="s">
        <v>2886</v>
      </c>
      <c r="X470" t="b">
        <v>0</v>
      </c>
      <c r="Y470" t="s">
        <v>2055</v>
      </c>
      <c r="Z470" s="6"/>
    </row>
    <row r="471" spans="1:26" ht="14.45" customHeight="1">
      <c r="A471">
        <v>382</v>
      </c>
      <c r="B471" t="s">
        <v>2813</v>
      </c>
      <c r="C471" t="s">
        <v>2814</v>
      </c>
      <c r="D471" t="s">
        <v>1946</v>
      </c>
      <c r="E471" s="7">
        <v>44845</v>
      </c>
      <c r="F471">
        <v>15</v>
      </c>
      <c r="G471">
        <f t="shared" si="7"/>
        <v>0.38100000000000001</v>
      </c>
      <c r="H471" t="s">
        <v>1855</v>
      </c>
      <c r="I471" t="s">
        <v>2815</v>
      </c>
      <c r="J471" t="s">
        <v>2424</v>
      </c>
      <c r="K471" t="s">
        <v>2896</v>
      </c>
      <c r="M471" t="b">
        <v>1</v>
      </c>
      <c r="N471" s="7">
        <v>45637</v>
      </c>
      <c r="O471" t="s">
        <v>2817</v>
      </c>
      <c r="P471">
        <v>35.310187310000003</v>
      </c>
      <c r="Q471">
        <v>-120.66095660000001</v>
      </c>
      <c r="R471" t="s">
        <v>1808</v>
      </c>
      <c r="S471">
        <v>15402</v>
      </c>
      <c r="T471" t="s">
        <v>1809</v>
      </c>
      <c r="U471" t="s">
        <v>2818</v>
      </c>
      <c r="V471">
        <v>205</v>
      </c>
      <c r="W471" t="s">
        <v>2886</v>
      </c>
      <c r="X471" t="b">
        <v>0</v>
      </c>
      <c r="Y471" t="s">
        <v>2601</v>
      </c>
      <c r="Z471" s="6"/>
    </row>
    <row r="472" spans="1:26" ht="14.45" customHeight="1">
      <c r="A472">
        <v>134</v>
      </c>
      <c r="B472" t="s">
        <v>2822</v>
      </c>
      <c r="C472" t="s">
        <v>2823</v>
      </c>
      <c r="D472" t="s">
        <v>1826</v>
      </c>
      <c r="E472" s="7">
        <v>44845</v>
      </c>
      <c r="F472">
        <v>15</v>
      </c>
      <c r="G472">
        <f t="shared" si="7"/>
        <v>0.38100000000000001</v>
      </c>
      <c r="H472" t="s">
        <v>1855</v>
      </c>
      <c r="I472" t="s">
        <v>2567</v>
      </c>
      <c r="J472" t="s">
        <v>2824</v>
      </c>
      <c r="K472" t="s">
        <v>2897</v>
      </c>
      <c r="M472" t="b">
        <v>1</v>
      </c>
      <c r="N472" s="7">
        <v>45637</v>
      </c>
      <c r="O472" t="s">
        <v>2826</v>
      </c>
      <c r="P472">
        <v>35.310217080000001</v>
      </c>
      <c r="Q472">
        <v>-120.66099730000001</v>
      </c>
      <c r="R472" t="s">
        <v>1808</v>
      </c>
      <c r="S472">
        <v>15403</v>
      </c>
      <c r="T472" t="s">
        <v>1809</v>
      </c>
      <c r="U472" t="s">
        <v>2827</v>
      </c>
      <c r="V472">
        <v>206</v>
      </c>
      <c r="W472" t="s">
        <v>2886</v>
      </c>
      <c r="X472" t="b">
        <v>0</v>
      </c>
      <c r="Y472" t="s">
        <v>2601</v>
      </c>
      <c r="Z472" s="667"/>
    </row>
    <row r="473" spans="1:26" ht="14.45" customHeight="1">
      <c r="A473">
        <v>254</v>
      </c>
      <c r="B473" t="s">
        <v>2869</v>
      </c>
      <c r="C473" t="s">
        <v>2870</v>
      </c>
      <c r="D473" t="s">
        <v>1826</v>
      </c>
      <c r="E473" s="7">
        <v>44843</v>
      </c>
      <c r="F473">
        <v>9</v>
      </c>
      <c r="G473">
        <f t="shared" si="7"/>
        <v>0.2286</v>
      </c>
      <c r="H473" t="s">
        <v>1804</v>
      </c>
      <c r="I473" t="s">
        <v>2004</v>
      </c>
      <c r="J473" t="s">
        <v>2871</v>
      </c>
      <c r="K473" t="s">
        <v>2898</v>
      </c>
      <c r="M473" t="b">
        <v>1</v>
      </c>
      <c r="N473" s="7">
        <v>45604</v>
      </c>
      <c r="O473" t="s">
        <v>2873</v>
      </c>
      <c r="P473">
        <v>35.310668749999998</v>
      </c>
      <c r="Q473">
        <v>-120.6620111</v>
      </c>
      <c r="R473" t="s">
        <v>1808</v>
      </c>
      <c r="S473">
        <v>15107</v>
      </c>
      <c r="T473" t="s">
        <v>1809</v>
      </c>
      <c r="U473" t="s">
        <v>2874</v>
      </c>
      <c r="V473">
        <v>200</v>
      </c>
      <c r="W473" t="s">
        <v>2899</v>
      </c>
      <c r="X473" t="b">
        <v>0</v>
      </c>
      <c r="Y473" t="s">
        <v>2055</v>
      </c>
      <c r="Z473" s="667"/>
    </row>
    <row r="474" spans="1:26" ht="14.45" customHeight="1">
      <c r="A474">
        <v>255</v>
      </c>
      <c r="B474" t="s">
        <v>2869</v>
      </c>
      <c r="C474" t="s">
        <v>2870</v>
      </c>
      <c r="D474" t="s">
        <v>1826</v>
      </c>
      <c r="E474" s="7">
        <v>44843</v>
      </c>
      <c r="F474">
        <v>11</v>
      </c>
      <c r="G474">
        <f t="shared" si="7"/>
        <v>0.27939999999999998</v>
      </c>
      <c r="H474" t="s">
        <v>1804</v>
      </c>
      <c r="I474" t="s">
        <v>2004</v>
      </c>
      <c r="J474" t="s">
        <v>2871</v>
      </c>
      <c r="K474" t="s">
        <v>2900</v>
      </c>
      <c r="M474" t="b">
        <v>1</v>
      </c>
      <c r="N474" s="7">
        <v>45604</v>
      </c>
      <c r="O474" t="s">
        <v>2873</v>
      </c>
      <c r="P474">
        <v>35.310676409999999</v>
      </c>
      <c r="Q474">
        <v>-120.6620339</v>
      </c>
      <c r="R474" t="s">
        <v>1808</v>
      </c>
      <c r="S474">
        <v>15108</v>
      </c>
      <c r="T474" t="s">
        <v>1809</v>
      </c>
      <c r="U474" t="s">
        <v>2874</v>
      </c>
      <c r="V474">
        <v>201</v>
      </c>
      <c r="W474" t="s">
        <v>2899</v>
      </c>
      <c r="X474" t="b">
        <v>0</v>
      </c>
      <c r="Y474" t="s">
        <v>2055</v>
      </c>
      <c r="Z474" s="667"/>
    </row>
    <row r="475" spans="1:26" ht="14.45" customHeight="1">
      <c r="A475">
        <v>19</v>
      </c>
      <c r="B475" t="s">
        <v>2167</v>
      </c>
      <c r="C475" t="s">
        <v>2168</v>
      </c>
      <c r="D475" t="s">
        <v>1826</v>
      </c>
      <c r="E475" s="7">
        <v>44843</v>
      </c>
      <c r="F475">
        <v>13</v>
      </c>
      <c r="G475">
        <f t="shared" si="7"/>
        <v>0.33019999999999999</v>
      </c>
      <c r="H475" t="s">
        <v>1855</v>
      </c>
      <c r="I475" t="s">
        <v>2169</v>
      </c>
      <c r="J475" t="s">
        <v>2170</v>
      </c>
      <c r="K475" t="s">
        <v>2901</v>
      </c>
      <c r="M475" t="b">
        <v>1</v>
      </c>
      <c r="N475" s="7">
        <v>45637</v>
      </c>
      <c r="O475" t="s">
        <v>2172</v>
      </c>
      <c r="P475">
        <v>35.31066766</v>
      </c>
      <c r="Q475">
        <v>-120.6622498</v>
      </c>
      <c r="R475" t="s">
        <v>1808</v>
      </c>
      <c r="S475">
        <v>15099</v>
      </c>
      <c r="T475" t="s">
        <v>1809</v>
      </c>
      <c r="U475" t="s">
        <v>2173</v>
      </c>
      <c r="V475">
        <v>193</v>
      </c>
      <c r="W475" t="s">
        <v>2899</v>
      </c>
      <c r="X475" t="b">
        <v>0</v>
      </c>
      <c r="Y475" t="s">
        <v>2101</v>
      </c>
      <c r="Z475" s="667"/>
    </row>
    <row r="476" spans="1:26" ht="14.45" customHeight="1">
      <c r="A476">
        <v>402</v>
      </c>
      <c r="B476" t="s">
        <v>2175</v>
      </c>
      <c r="C476" t="s">
        <v>2176</v>
      </c>
      <c r="D476" t="s">
        <v>2003</v>
      </c>
      <c r="E476" s="7">
        <v>44843</v>
      </c>
      <c r="F476">
        <v>20</v>
      </c>
      <c r="G476">
        <f t="shared" si="7"/>
        <v>0.50800000000000001</v>
      </c>
      <c r="H476" t="s">
        <v>1842</v>
      </c>
      <c r="I476" t="s">
        <v>2169</v>
      </c>
      <c r="J476" t="s">
        <v>2177</v>
      </c>
      <c r="K476" t="s">
        <v>2902</v>
      </c>
      <c r="M476" t="b">
        <v>1</v>
      </c>
      <c r="N476" s="7">
        <v>45637</v>
      </c>
      <c r="O476" t="s">
        <v>2179</v>
      </c>
      <c r="P476">
        <v>35.310622309999999</v>
      </c>
      <c r="Q476">
        <v>-120.6624911</v>
      </c>
      <c r="R476" t="s">
        <v>1808</v>
      </c>
      <c r="S476">
        <v>15087</v>
      </c>
      <c r="T476" t="s">
        <v>1809</v>
      </c>
      <c r="U476" t="s">
        <v>2180</v>
      </c>
      <c r="V476">
        <v>182</v>
      </c>
      <c r="W476" t="s">
        <v>2899</v>
      </c>
      <c r="X476" t="b">
        <v>0</v>
      </c>
      <c r="Y476" t="s">
        <v>2101</v>
      </c>
      <c r="Z476" s="667"/>
    </row>
    <row r="477" spans="1:26" ht="14.45" customHeight="1">
      <c r="A477">
        <v>403</v>
      </c>
      <c r="B477" t="s">
        <v>2722</v>
      </c>
      <c r="C477" t="s">
        <v>2723</v>
      </c>
      <c r="D477" t="s">
        <v>1826</v>
      </c>
      <c r="E477" s="7">
        <v>44843</v>
      </c>
      <c r="F477">
        <v>17</v>
      </c>
      <c r="G477">
        <f t="shared" si="7"/>
        <v>0.43179999999999996</v>
      </c>
      <c r="H477" t="s">
        <v>1855</v>
      </c>
      <c r="I477" t="s">
        <v>2169</v>
      </c>
      <c r="J477" t="s">
        <v>2707</v>
      </c>
      <c r="K477" t="s">
        <v>2903</v>
      </c>
      <c r="M477" t="b">
        <v>1</v>
      </c>
      <c r="N477" s="7">
        <v>45637</v>
      </c>
      <c r="O477" t="s">
        <v>1301</v>
      </c>
      <c r="P477">
        <v>35.310643480000003</v>
      </c>
      <c r="Q477">
        <v>-120.6624781</v>
      </c>
      <c r="R477" t="s">
        <v>1808</v>
      </c>
      <c r="S477">
        <v>15097</v>
      </c>
      <c r="T477" t="s">
        <v>1809</v>
      </c>
      <c r="U477" t="s">
        <v>2725</v>
      </c>
      <c r="V477">
        <v>191</v>
      </c>
      <c r="W477" t="s">
        <v>2899</v>
      </c>
      <c r="X477" t="b">
        <v>0</v>
      </c>
      <c r="Y477" t="s">
        <v>2101</v>
      </c>
      <c r="Z477" s="6"/>
    </row>
    <row r="478" spans="1:26" ht="14.45" customHeight="1">
      <c r="A478">
        <v>480</v>
      </c>
      <c r="B478" t="s">
        <v>2859</v>
      </c>
      <c r="C478" t="s">
        <v>2860</v>
      </c>
      <c r="D478" t="s">
        <v>2003</v>
      </c>
      <c r="E478" s="7">
        <v>44843</v>
      </c>
      <c r="F478">
        <v>8</v>
      </c>
      <c r="G478">
        <f t="shared" si="7"/>
        <v>0.20319999999999999</v>
      </c>
      <c r="H478" t="s">
        <v>1804</v>
      </c>
      <c r="I478" t="s">
        <v>2169</v>
      </c>
      <c r="J478" t="s">
        <v>2861</v>
      </c>
      <c r="K478" t="s">
        <v>2904</v>
      </c>
      <c r="M478" t="b">
        <v>1</v>
      </c>
      <c r="N478" s="7">
        <v>45614</v>
      </c>
      <c r="O478" t="s">
        <v>2863</v>
      </c>
      <c r="P478">
        <v>35.310723469999999</v>
      </c>
      <c r="Q478">
        <v>-120.662109</v>
      </c>
      <c r="R478" t="s">
        <v>1808</v>
      </c>
      <c r="S478">
        <v>15093</v>
      </c>
      <c r="T478" t="s">
        <v>1809</v>
      </c>
      <c r="U478" t="s">
        <v>2864</v>
      </c>
      <c r="V478">
        <v>188</v>
      </c>
      <c r="W478" t="s">
        <v>2899</v>
      </c>
      <c r="X478" t="b">
        <v>0</v>
      </c>
      <c r="Y478" t="s">
        <v>2101</v>
      </c>
      <c r="Z478" s="667"/>
    </row>
    <row r="479" spans="1:26" ht="14.45" customHeight="1">
      <c r="A479">
        <v>485</v>
      </c>
      <c r="B479" t="s">
        <v>2859</v>
      </c>
      <c r="C479" t="s">
        <v>2860</v>
      </c>
      <c r="D479" t="s">
        <v>2003</v>
      </c>
      <c r="E479" s="7">
        <v>44843</v>
      </c>
      <c r="F479">
        <v>12</v>
      </c>
      <c r="G479">
        <f t="shared" si="7"/>
        <v>0.30479999999999996</v>
      </c>
      <c r="H479" t="s">
        <v>1855</v>
      </c>
      <c r="I479" t="s">
        <v>2169</v>
      </c>
      <c r="J479" t="s">
        <v>2861</v>
      </c>
      <c r="K479" t="s">
        <v>2905</v>
      </c>
      <c r="M479" t="b">
        <v>1</v>
      </c>
      <c r="N479" s="7">
        <v>45614</v>
      </c>
      <c r="O479" t="s">
        <v>2863</v>
      </c>
      <c r="P479">
        <v>35.310756130000001</v>
      </c>
      <c r="Q479">
        <v>-120.6622627</v>
      </c>
      <c r="R479" t="s">
        <v>1808</v>
      </c>
      <c r="S479">
        <v>15094</v>
      </c>
      <c r="T479" t="s">
        <v>1809</v>
      </c>
      <c r="U479" t="s">
        <v>2864</v>
      </c>
      <c r="V479">
        <v>189</v>
      </c>
      <c r="W479" t="s">
        <v>2899</v>
      </c>
      <c r="X479" t="b">
        <v>0</v>
      </c>
      <c r="Y479" t="s">
        <v>2101</v>
      </c>
      <c r="Z479" s="667"/>
    </row>
    <row r="480" spans="1:26" ht="14.45" customHeight="1">
      <c r="A480">
        <v>486</v>
      </c>
      <c r="B480" t="s">
        <v>2859</v>
      </c>
      <c r="C480" t="s">
        <v>2860</v>
      </c>
      <c r="D480" t="s">
        <v>2003</v>
      </c>
      <c r="E480" s="7">
        <v>44843</v>
      </c>
      <c r="F480">
        <v>14</v>
      </c>
      <c r="G480">
        <f t="shared" si="7"/>
        <v>0.35559999999999997</v>
      </c>
      <c r="H480" t="s">
        <v>1855</v>
      </c>
      <c r="I480" t="s">
        <v>2169</v>
      </c>
      <c r="J480" t="s">
        <v>2861</v>
      </c>
      <c r="K480" t="s">
        <v>2906</v>
      </c>
      <c r="M480" t="b">
        <v>1</v>
      </c>
      <c r="N480" s="7">
        <v>45614</v>
      </c>
      <c r="O480" t="s">
        <v>2863</v>
      </c>
      <c r="P480">
        <v>35.310787070000003</v>
      </c>
      <c r="Q480">
        <v>-120.66234849999999</v>
      </c>
      <c r="R480" t="s">
        <v>1808</v>
      </c>
      <c r="S480">
        <v>15089</v>
      </c>
      <c r="T480" t="s">
        <v>1809</v>
      </c>
      <c r="U480" t="s">
        <v>2864</v>
      </c>
      <c r="V480">
        <v>184</v>
      </c>
      <c r="W480" t="s">
        <v>2899</v>
      </c>
      <c r="X480" t="b">
        <v>0</v>
      </c>
      <c r="Y480" t="s">
        <v>2101</v>
      </c>
      <c r="Z480" s="667"/>
    </row>
    <row r="481" spans="1:26" ht="14.45" customHeight="1">
      <c r="A481">
        <v>508</v>
      </c>
      <c r="B481" t="s">
        <v>2181</v>
      </c>
      <c r="C481" t="s">
        <v>2182</v>
      </c>
      <c r="D481" t="s">
        <v>1826</v>
      </c>
      <c r="E481" s="7">
        <v>44843</v>
      </c>
      <c r="F481">
        <v>7</v>
      </c>
      <c r="G481">
        <f t="shared" si="7"/>
        <v>0.17779999999999999</v>
      </c>
      <c r="H481" t="s">
        <v>1804</v>
      </c>
      <c r="I481" t="s">
        <v>2169</v>
      </c>
      <c r="J481" t="s">
        <v>2183</v>
      </c>
      <c r="K481" t="s">
        <v>2907</v>
      </c>
      <c r="M481" t="b">
        <v>1</v>
      </c>
      <c r="N481" s="7">
        <v>45637</v>
      </c>
      <c r="O481" t="s">
        <v>2185</v>
      </c>
      <c r="P481">
        <v>35.310669830000002</v>
      </c>
      <c r="Q481">
        <v>-120.662206</v>
      </c>
      <c r="R481" t="s">
        <v>1808</v>
      </c>
      <c r="S481">
        <v>15098</v>
      </c>
      <c r="T481" t="s">
        <v>1809</v>
      </c>
      <c r="U481" t="s">
        <v>2908</v>
      </c>
      <c r="V481">
        <v>192</v>
      </c>
      <c r="W481" t="s">
        <v>2899</v>
      </c>
      <c r="X481" t="b">
        <v>0</v>
      </c>
      <c r="Y481" t="s">
        <v>2101</v>
      </c>
      <c r="Z481" s="6"/>
    </row>
    <row r="482" spans="1:26" ht="14.45" customHeight="1">
      <c r="A482">
        <v>256</v>
      </c>
      <c r="B482" t="s">
        <v>2869</v>
      </c>
      <c r="C482" t="s">
        <v>2870</v>
      </c>
      <c r="D482" t="s">
        <v>1826</v>
      </c>
      <c r="E482" s="7">
        <v>44843</v>
      </c>
      <c r="F482">
        <v>12</v>
      </c>
      <c r="G482">
        <f t="shared" si="7"/>
        <v>0.30479999999999996</v>
      </c>
      <c r="H482" t="s">
        <v>1855</v>
      </c>
      <c r="I482" t="s">
        <v>2004</v>
      </c>
      <c r="J482" t="s">
        <v>2871</v>
      </c>
      <c r="K482" t="s">
        <v>2909</v>
      </c>
      <c r="M482" t="b">
        <v>1</v>
      </c>
      <c r="N482" s="7">
        <v>45604</v>
      </c>
      <c r="O482" t="s">
        <v>2873</v>
      </c>
      <c r="P482">
        <v>35.310700490000002</v>
      </c>
      <c r="Q482">
        <v>-120.6620849</v>
      </c>
      <c r="R482" t="s">
        <v>1808</v>
      </c>
      <c r="S482">
        <v>15105</v>
      </c>
      <c r="T482" t="s">
        <v>1809</v>
      </c>
      <c r="U482" t="s">
        <v>2874</v>
      </c>
      <c r="V482">
        <v>198</v>
      </c>
      <c r="W482" t="s">
        <v>2899</v>
      </c>
      <c r="X482" t="b">
        <v>0</v>
      </c>
      <c r="Y482" t="s">
        <v>2101</v>
      </c>
      <c r="Z482" s="6"/>
    </row>
    <row r="483" spans="1:26" ht="14.45" customHeight="1">
      <c r="A483">
        <v>473</v>
      </c>
      <c r="B483" t="s">
        <v>2910</v>
      </c>
      <c r="C483" t="s">
        <v>2911</v>
      </c>
      <c r="D483" t="s">
        <v>1826</v>
      </c>
      <c r="E483" s="7">
        <v>44843</v>
      </c>
      <c r="F483">
        <v>11</v>
      </c>
      <c r="G483">
        <f t="shared" si="7"/>
        <v>0.27939999999999998</v>
      </c>
      <c r="H483" t="s">
        <v>1804</v>
      </c>
      <c r="I483" t="s">
        <v>2004</v>
      </c>
      <c r="J483" t="s">
        <v>2912</v>
      </c>
      <c r="K483" t="s">
        <v>2913</v>
      </c>
      <c r="M483" t="b">
        <v>1</v>
      </c>
      <c r="N483" s="7">
        <v>45614</v>
      </c>
      <c r="O483" t="s">
        <v>2914</v>
      </c>
      <c r="P483">
        <v>35.310676409999999</v>
      </c>
      <c r="Q483">
        <v>-120.6622766</v>
      </c>
      <c r="R483" t="s">
        <v>1808</v>
      </c>
      <c r="S483">
        <v>15103</v>
      </c>
      <c r="T483" t="s">
        <v>1809</v>
      </c>
      <c r="U483" t="s">
        <v>2915</v>
      </c>
      <c r="V483">
        <v>197</v>
      </c>
      <c r="W483" t="s">
        <v>2899</v>
      </c>
      <c r="X483" t="b">
        <v>0</v>
      </c>
      <c r="Y483" t="s">
        <v>2101</v>
      </c>
      <c r="Z483" s="667"/>
    </row>
    <row r="484" spans="1:26" ht="14.45" customHeight="1">
      <c r="A484">
        <v>474</v>
      </c>
      <c r="B484" t="s">
        <v>2910</v>
      </c>
      <c r="C484" t="s">
        <v>2911</v>
      </c>
      <c r="D484" t="s">
        <v>1826</v>
      </c>
      <c r="E484" s="7">
        <v>44843</v>
      </c>
      <c r="F484">
        <v>11</v>
      </c>
      <c r="G484">
        <f t="shared" si="7"/>
        <v>0.27939999999999998</v>
      </c>
      <c r="H484" t="s">
        <v>1804</v>
      </c>
      <c r="I484" t="s">
        <v>2004</v>
      </c>
      <c r="J484" t="s">
        <v>2912</v>
      </c>
      <c r="K484" t="s">
        <v>2916</v>
      </c>
      <c r="M484" t="b">
        <v>1</v>
      </c>
      <c r="N484" s="7">
        <v>45614</v>
      </c>
      <c r="O484" t="s">
        <v>2914</v>
      </c>
      <c r="P484">
        <v>35.310690639999997</v>
      </c>
      <c r="Q484">
        <v>-120.6623048</v>
      </c>
      <c r="R484" t="s">
        <v>1808</v>
      </c>
      <c r="S484">
        <v>15102</v>
      </c>
      <c r="T484" t="s">
        <v>1809</v>
      </c>
      <c r="U484" t="s">
        <v>2915</v>
      </c>
      <c r="V484">
        <v>196</v>
      </c>
      <c r="W484" t="s">
        <v>2899</v>
      </c>
      <c r="X484" t="b">
        <v>0</v>
      </c>
      <c r="Y484" t="s">
        <v>2101</v>
      </c>
      <c r="Z484" s="667"/>
    </row>
    <row r="485" spans="1:26" ht="14.45" customHeight="1">
      <c r="A485">
        <v>475</v>
      </c>
      <c r="B485" t="s">
        <v>2910</v>
      </c>
      <c r="C485" t="s">
        <v>2911</v>
      </c>
      <c r="D485" t="s">
        <v>1826</v>
      </c>
      <c r="E485" s="7">
        <v>44843</v>
      </c>
      <c r="F485">
        <v>11</v>
      </c>
      <c r="G485">
        <f t="shared" si="7"/>
        <v>0.27939999999999998</v>
      </c>
      <c r="H485" t="s">
        <v>1804</v>
      </c>
      <c r="I485" t="s">
        <v>2004</v>
      </c>
      <c r="J485" t="s">
        <v>2912</v>
      </c>
      <c r="K485" t="s">
        <v>2917</v>
      </c>
      <c r="M485" t="b">
        <v>1</v>
      </c>
      <c r="N485" s="7">
        <v>45614</v>
      </c>
      <c r="O485" t="s">
        <v>2914</v>
      </c>
      <c r="P485">
        <v>35.310691740000003</v>
      </c>
      <c r="Q485">
        <v>-120.6622632</v>
      </c>
      <c r="R485" t="s">
        <v>1808</v>
      </c>
      <c r="S485">
        <v>15101</v>
      </c>
      <c r="T485" t="s">
        <v>1809</v>
      </c>
      <c r="U485" t="s">
        <v>2915</v>
      </c>
      <c r="V485">
        <v>195</v>
      </c>
      <c r="W485" t="s">
        <v>2899</v>
      </c>
      <c r="X485" t="b">
        <v>0</v>
      </c>
      <c r="Y485" t="s">
        <v>2101</v>
      </c>
      <c r="Z485" s="667"/>
    </row>
    <row r="486" spans="1:26" ht="14.45" customHeight="1">
      <c r="A486">
        <v>476</v>
      </c>
      <c r="B486" t="s">
        <v>2910</v>
      </c>
      <c r="C486" t="s">
        <v>2911</v>
      </c>
      <c r="D486" t="s">
        <v>1826</v>
      </c>
      <c r="E486" s="7">
        <v>44843</v>
      </c>
      <c r="F486">
        <v>11</v>
      </c>
      <c r="G486">
        <f t="shared" si="7"/>
        <v>0.27939999999999998</v>
      </c>
      <c r="H486" t="s">
        <v>1804</v>
      </c>
      <c r="I486" t="s">
        <v>2004</v>
      </c>
      <c r="J486" t="s">
        <v>2912</v>
      </c>
      <c r="K486" t="s">
        <v>2918</v>
      </c>
      <c r="M486" t="b">
        <v>1</v>
      </c>
      <c r="N486" s="7">
        <v>45614</v>
      </c>
      <c r="O486" t="s">
        <v>2914</v>
      </c>
      <c r="P486">
        <v>35.310692830000001</v>
      </c>
      <c r="Q486">
        <v>-120.6622807</v>
      </c>
      <c r="R486" t="s">
        <v>1808</v>
      </c>
      <c r="S486">
        <v>15100</v>
      </c>
      <c r="T486" t="s">
        <v>1809</v>
      </c>
      <c r="U486" t="s">
        <v>2915</v>
      </c>
      <c r="V486">
        <v>194</v>
      </c>
      <c r="W486" t="s">
        <v>2899</v>
      </c>
      <c r="X486" t="b">
        <v>0</v>
      </c>
      <c r="Y486" t="s">
        <v>2101</v>
      </c>
      <c r="Z486" s="6"/>
    </row>
    <row r="487" spans="1:26" ht="14.45" customHeight="1">
      <c r="A487">
        <v>277</v>
      </c>
      <c r="B487" t="s">
        <v>2087</v>
      </c>
      <c r="C487" t="s">
        <v>2088</v>
      </c>
      <c r="D487" t="s">
        <v>1989</v>
      </c>
      <c r="E487" s="7">
        <v>44840</v>
      </c>
      <c r="F487">
        <v>4</v>
      </c>
      <c r="G487">
        <f t="shared" si="7"/>
        <v>0.1016</v>
      </c>
      <c r="H487" t="s">
        <v>1814</v>
      </c>
      <c r="I487" t="s">
        <v>2089</v>
      </c>
      <c r="J487" t="s">
        <v>2090</v>
      </c>
      <c r="K487" t="s">
        <v>2919</v>
      </c>
      <c r="M487" t="b">
        <v>1</v>
      </c>
      <c r="N487" s="7">
        <v>45923</v>
      </c>
      <c r="O487" t="s">
        <v>2092</v>
      </c>
      <c r="P487">
        <v>35.309879449999997</v>
      </c>
      <c r="Q487">
        <v>-120.6631612</v>
      </c>
      <c r="R487" t="s">
        <v>1808</v>
      </c>
      <c r="S487">
        <v>15086</v>
      </c>
      <c r="T487" t="s">
        <v>1809</v>
      </c>
      <c r="U487" t="s">
        <v>2920</v>
      </c>
      <c r="V487">
        <v>181</v>
      </c>
      <c r="W487" t="s">
        <v>2844</v>
      </c>
      <c r="X487" t="b">
        <v>0</v>
      </c>
      <c r="Y487" t="s">
        <v>2008</v>
      </c>
      <c r="Z487" s="6"/>
    </row>
    <row r="488" spans="1:26" ht="14.45" customHeight="1">
      <c r="A488">
        <v>14</v>
      </c>
      <c r="B488" t="s">
        <v>2355</v>
      </c>
      <c r="C488" t="s">
        <v>2356</v>
      </c>
      <c r="D488" t="s">
        <v>2003</v>
      </c>
      <c r="E488" s="7">
        <v>44839</v>
      </c>
      <c r="F488">
        <v>5</v>
      </c>
      <c r="G488">
        <f t="shared" si="7"/>
        <v>0.127</v>
      </c>
      <c r="H488" t="s">
        <v>1814</v>
      </c>
      <c r="I488" t="s">
        <v>1882</v>
      </c>
      <c r="J488" t="s">
        <v>1883</v>
      </c>
      <c r="K488" t="s">
        <v>2921</v>
      </c>
      <c r="M488" t="b">
        <v>1</v>
      </c>
      <c r="N488" s="7">
        <v>45587</v>
      </c>
      <c r="O488" t="s">
        <v>1639</v>
      </c>
      <c r="P488">
        <v>35.310161110000003</v>
      </c>
      <c r="Q488">
        <v>-120.6630368</v>
      </c>
      <c r="R488" t="s">
        <v>1808</v>
      </c>
      <c r="S488">
        <v>14971</v>
      </c>
      <c r="T488" t="s">
        <v>1809</v>
      </c>
      <c r="U488" t="s">
        <v>2922</v>
      </c>
      <c r="V488">
        <v>179</v>
      </c>
      <c r="W488" t="s">
        <v>2844</v>
      </c>
      <c r="X488" t="b">
        <v>0</v>
      </c>
      <c r="Y488" t="s">
        <v>1968</v>
      </c>
      <c r="Z488" s="6"/>
    </row>
    <row r="489" spans="1:26" ht="14.45" customHeight="1">
      <c r="A489">
        <v>245</v>
      </c>
      <c r="B489" t="s">
        <v>1879</v>
      </c>
      <c r="C489" t="s">
        <v>1880</v>
      </c>
      <c r="D489" t="s">
        <v>1826</v>
      </c>
      <c r="E489" s="7">
        <v>44839</v>
      </c>
      <c r="F489">
        <v>18</v>
      </c>
      <c r="G489">
        <f t="shared" si="7"/>
        <v>0.4572</v>
      </c>
      <c r="H489" t="s">
        <v>1842</v>
      </c>
      <c r="I489" t="s">
        <v>1882</v>
      </c>
      <c r="J489" t="s">
        <v>1883</v>
      </c>
      <c r="K489" t="s">
        <v>2923</v>
      </c>
      <c r="M489" t="b">
        <v>1</v>
      </c>
      <c r="N489" s="7">
        <v>45923</v>
      </c>
      <c r="O489" t="s">
        <v>1399</v>
      </c>
      <c r="P489">
        <v>35.310229419999999</v>
      </c>
      <c r="Q489">
        <v>-120.6633568</v>
      </c>
      <c r="R489" t="s">
        <v>1808</v>
      </c>
      <c r="S489">
        <v>14972</v>
      </c>
      <c r="T489" t="s">
        <v>1809</v>
      </c>
      <c r="U489" t="s">
        <v>2421</v>
      </c>
      <c r="V489">
        <v>180</v>
      </c>
      <c r="W489" t="s">
        <v>2844</v>
      </c>
      <c r="X489" t="b">
        <v>0</v>
      </c>
      <c r="Y489" t="s">
        <v>1968</v>
      </c>
      <c r="Z489" s="6"/>
    </row>
    <row r="490" spans="1:26" ht="14.45" customHeight="1">
      <c r="A490">
        <v>334</v>
      </c>
      <c r="B490" t="s">
        <v>2439</v>
      </c>
      <c r="C490" t="s">
        <v>2440</v>
      </c>
      <c r="D490" t="s">
        <v>2003</v>
      </c>
      <c r="E490" s="7">
        <v>44839</v>
      </c>
      <c r="F490">
        <v>5</v>
      </c>
      <c r="G490">
        <f t="shared" si="7"/>
        <v>0.127</v>
      </c>
      <c r="H490" t="s">
        <v>1814</v>
      </c>
      <c r="I490" t="s">
        <v>1971</v>
      </c>
      <c r="J490" t="s">
        <v>2380</v>
      </c>
      <c r="K490" t="s">
        <v>2924</v>
      </c>
      <c r="M490" t="b">
        <v>1</v>
      </c>
      <c r="N490" s="7">
        <v>44846</v>
      </c>
      <c r="O490" t="s">
        <v>2442</v>
      </c>
      <c r="P490">
        <v>35.309909500000003</v>
      </c>
      <c r="Q490">
        <v>-120.6632853</v>
      </c>
      <c r="R490" t="s">
        <v>1808</v>
      </c>
      <c r="S490">
        <v>14965</v>
      </c>
      <c r="T490" t="s">
        <v>1809</v>
      </c>
      <c r="U490" t="s">
        <v>2443</v>
      </c>
      <c r="V490">
        <v>173</v>
      </c>
      <c r="W490" t="s">
        <v>2844</v>
      </c>
      <c r="X490" t="b">
        <v>0</v>
      </c>
      <c r="Y490" t="s">
        <v>2008</v>
      </c>
      <c r="Z490" s="6"/>
    </row>
    <row r="491" spans="1:26" ht="14.45" customHeight="1">
      <c r="A491">
        <v>335</v>
      </c>
      <c r="B491" t="s">
        <v>2439</v>
      </c>
      <c r="C491" t="s">
        <v>2440</v>
      </c>
      <c r="D491" t="s">
        <v>2003</v>
      </c>
      <c r="E491" s="7">
        <v>44839</v>
      </c>
      <c r="F491">
        <v>6</v>
      </c>
      <c r="G491">
        <f t="shared" si="7"/>
        <v>0.15239999999999998</v>
      </c>
      <c r="H491" t="s">
        <v>1804</v>
      </c>
      <c r="I491" t="s">
        <v>1971</v>
      </c>
      <c r="J491" t="s">
        <v>2380</v>
      </c>
      <c r="K491" t="s">
        <v>2925</v>
      </c>
      <c r="M491" t="b">
        <v>1</v>
      </c>
      <c r="N491" s="7">
        <v>44846</v>
      </c>
      <c r="O491" t="s">
        <v>2442</v>
      </c>
      <c r="P491">
        <v>35.309891989999997</v>
      </c>
      <c r="Q491">
        <v>-120.6632888</v>
      </c>
      <c r="R491" t="s">
        <v>1808</v>
      </c>
      <c r="S491">
        <v>14967</v>
      </c>
      <c r="T491" t="s">
        <v>1809</v>
      </c>
      <c r="U491" t="s">
        <v>2443</v>
      </c>
      <c r="V491">
        <v>175</v>
      </c>
      <c r="W491" t="s">
        <v>2844</v>
      </c>
      <c r="X491" t="b">
        <v>0</v>
      </c>
      <c r="Y491" t="s">
        <v>2008</v>
      </c>
      <c r="Z491" s="6"/>
    </row>
    <row r="492" spans="1:26" ht="14.45" customHeight="1">
      <c r="A492">
        <v>336</v>
      </c>
      <c r="B492" t="s">
        <v>2439</v>
      </c>
      <c r="C492" t="s">
        <v>2440</v>
      </c>
      <c r="D492" t="s">
        <v>2003</v>
      </c>
      <c r="E492" s="7">
        <v>44839</v>
      </c>
      <c r="F492">
        <v>6</v>
      </c>
      <c r="G492">
        <f t="shared" si="7"/>
        <v>0.15239999999999998</v>
      </c>
      <c r="H492" t="s">
        <v>1804</v>
      </c>
      <c r="I492" t="s">
        <v>1971</v>
      </c>
      <c r="J492" t="s">
        <v>2380</v>
      </c>
      <c r="K492" t="s">
        <v>2926</v>
      </c>
      <c r="M492" t="b">
        <v>1</v>
      </c>
      <c r="N492" s="7">
        <v>44846</v>
      </c>
      <c r="O492" t="s">
        <v>2442</v>
      </c>
      <c r="P492">
        <v>35.309892349999998</v>
      </c>
      <c r="Q492">
        <v>-120.6632656</v>
      </c>
      <c r="R492" t="s">
        <v>1808</v>
      </c>
      <c r="S492">
        <v>14966</v>
      </c>
      <c r="T492" t="s">
        <v>1809</v>
      </c>
      <c r="U492" t="s">
        <v>2443</v>
      </c>
      <c r="V492">
        <v>174</v>
      </c>
      <c r="W492" t="s">
        <v>2844</v>
      </c>
      <c r="X492" t="b">
        <v>0</v>
      </c>
      <c r="Y492" t="s">
        <v>2008</v>
      </c>
      <c r="Z492" s="667"/>
    </row>
    <row r="493" spans="1:26" ht="14.45" customHeight="1">
      <c r="A493">
        <v>123</v>
      </c>
      <c r="B493" t="s">
        <v>2927</v>
      </c>
      <c r="C493" t="s">
        <v>2928</v>
      </c>
      <c r="D493" t="s">
        <v>2003</v>
      </c>
      <c r="E493" s="7">
        <v>44839</v>
      </c>
      <c r="F493">
        <v>9</v>
      </c>
      <c r="G493">
        <f t="shared" si="7"/>
        <v>0.2286</v>
      </c>
      <c r="H493" t="s">
        <v>1804</v>
      </c>
      <c r="I493" t="s">
        <v>2228</v>
      </c>
      <c r="J493" t="s">
        <v>2575</v>
      </c>
      <c r="K493" t="s">
        <v>2929</v>
      </c>
      <c r="M493" t="b">
        <v>1</v>
      </c>
      <c r="N493" s="7">
        <v>45923</v>
      </c>
      <c r="O493" t="s">
        <v>2930</v>
      </c>
      <c r="P493">
        <v>35.310035659999997</v>
      </c>
      <c r="Q493">
        <v>-120.6630061</v>
      </c>
      <c r="R493" t="s">
        <v>1808</v>
      </c>
      <c r="S493">
        <v>14957</v>
      </c>
      <c r="T493" t="s">
        <v>1809</v>
      </c>
      <c r="U493" t="s">
        <v>2931</v>
      </c>
      <c r="V493">
        <v>165</v>
      </c>
      <c r="W493" t="s">
        <v>2844</v>
      </c>
      <c r="X493" t="b">
        <v>0</v>
      </c>
      <c r="Y493" t="s">
        <v>2008</v>
      </c>
      <c r="Z493" s="667"/>
    </row>
    <row r="494" spans="1:26" ht="14.45" customHeight="1">
      <c r="A494">
        <v>124</v>
      </c>
      <c r="B494" t="s">
        <v>2927</v>
      </c>
      <c r="C494" t="s">
        <v>2928</v>
      </c>
      <c r="D494" t="s">
        <v>2003</v>
      </c>
      <c r="E494" s="7">
        <v>44839</v>
      </c>
      <c r="F494">
        <v>11</v>
      </c>
      <c r="G494">
        <f t="shared" si="7"/>
        <v>0.27939999999999998</v>
      </c>
      <c r="H494" t="s">
        <v>1804</v>
      </c>
      <c r="I494" t="s">
        <v>2228</v>
      </c>
      <c r="J494" t="s">
        <v>2575</v>
      </c>
      <c r="K494" t="s">
        <v>2932</v>
      </c>
      <c r="M494" t="b">
        <v>1</v>
      </c>
      <c r="N494" s="7">
        <v>45923</v>
      </c>
      <c r="O494" t="s">
        <v>2930</v>
      </c>
      <c r="P494">
        <v>35.31005974</v>
      </c>
      <c r="Q494">
        <v>-120.6630115</v>
      </c>
      <c r="R494" t="s">
        <v>1808</v>
      </c>
      <c r="S494">
        <v>14956</v>
      </c>
      <c r="T494" t="s">
        <v>1809</v>
      </c>
      <c r="U494" t="s">
        <v>2931</v>
      </c>
      <c r="V494">
        <v>164</v>
      </c>
      <c r="W494" t="s">
        <v>2844</v>
      </c>
      <c r="X494" t="b">
        <v>0</v>
      </c>
      <c r="Y494" t="s">
        <v>2008</v>
      </c>
      <c r="Z494" s="667"/>
    </row>
    <row r="495" spans="1:26" ht="14.45" customHeight="1">
      <c r="A495">
        <v>125</v>
      </c>
      <c r="B495" t="s">
        <v>2927</v>
      </c>
      <c r="C495" t="s">
        <v>2928</v>
      </c>
      <c r="D495" t="s">
        <v>2003</v>
      </c>
      <c r="E495" s="7">
        <v>44839</v>
      </c>
      <c r="F495">
        <v>12</v>
      </c>
      <c r="G495">
        <f t="shared" si="7"/>
        <v>0.30479999999999996</v>
      </c>
      <c r="H495" t="s">
        <v>1855</v>
      </c>
      <c r="I495" t="s">
        <v>2228</v>
      </c>
      <c r="J495" t="s">
        <v>2575</v>
      </c>
      <c r="K495" t="s">
        <v>2933</v>
      </c>
      <c r="M495" t="b">
        <v>1</v>
      </c>
      <c r="N495" s="7">
        <v>44846</v>
      </c>
      <c r="O495" t="s">
        <v>2930</v>
      </c>
      <c r="P495">
        <v>35.309962030000001</v>
      </c>
      <c r="Q495">
        <v>-120.66298399999999</v>
      </c>
      <c r="R495" t="s">
        <v>1808</v>
      </c>
      <c r="S495">
        <v>14959</v>
      </c>
      <c r="T495" t="s">
        <v>1809</v>
      </c>
      <c r="U495" t="s">
        <v>2931</v>
      </c>
      <c r="V495">
        <v>167</v>
      </c>
      <c r="W495" t="s">
        <v>2844</v>
      </c>
      <c r="X495" t="b">
        <v>0</v>
      </c>
      <c r="Y495" t="s">
        <v>2008</v>
      </c>
      <c r="Z495" s="667"/>
    </row>
    <row r="496" spans="1:26" ht="14.45" customHeight="1">
      <c r="A496">
        <v>126</v>
      </c>
      <c r="B496" t="s">
        <v>2927</v>
      </c>
      <c r="C496" t="s">
        <v>2928</v>
      </c>
      <c r="D496" t="s">
        <v>2003</v>
      </c>
      <c r="E496" s="7">
        <v>44839</v>
      </c>
      <c r="F496">
        <v>16</v>
      </c>
      <c r="G496">
        <f t="shared" si="7"/>
        <v>0.40639999999999998</v>
      </c>
      <c r="H496" t="s">
        <v>1855</v>
      </c>
      <c r="I496" t="s">
        <v>2228</v>
      </c>
      <c r="J496" t="s">
        <v>2575</v>
      </c>
      <c r="K496" t="s">
        <v>2934</v>
      </c>
      <c r="M496" t="b">
        <v>1</v>
      </c>
      <c r="N496" s="7">
        <v>45573</v>
      </c>
      <c r="O496" t="s">
        <v>2930</v>
      </c>
      <c r="P496">
        <v>35.31008053</v>
      </c>
      <c r="Q496">
        <v>-120.6630195</v>
      </c>
      <c r="R496" t="s">
        <v>1808</v>
      </c>
      <c r="S496">
        <v>14955</v>
      </c>
      <c r="T496" t="s">
        <v>1809</v>
      </c>
      <c r="U496" t="s">
        <v>2931</v>
      </c>
      <c r="V496">
        <v>163</v>
      </c>
      <c r="W496" t="s">
        <v>2844</v>
      </c>
      <c r="X496" t="b">
        <v>0</v>
      </c>
      <c r="Y496" t="s">
        <v>2008</v>
      </c>
      <c r="Z496" s="667"/>
    </row>
    <row r="497" spans="1:26" ht="14.45" customHeight="1">
      <c r="A497">
        <v>127</v>
      </c>
      <c r="B497" t="s">
        <v>2927</v>
      </c>
      <c r="C497" t="s">
        <v>2928</v>
      </c>
      <c r="D497" t="s">
        <v>2003</v>
      </c>
      <c r="E497" s="7">
        <v>44839</v>
      </c>
      <c r="F497">
        <v>18</v>
      </c>
      <c r="G497">
        <f t="shared" si="7"/>
        <v>0.4572</v>
      </c>
      <c r="H497" t="s">
        <v>1842</v>
      </c>
      <c r="I497" t="s">
        <v>2228</v>
      </c>
      <c r="J497" t="s">
        <v>2575</v>
      </c>
      <c r="K497" t="s">
        <v>2935</v>
      </c>
      <c r="M497" t="b">
        <v>1</v>
      </c>
      <c r="N497" s="7">
        <v>45923</v>
      </c>
      <c r="O497" t="s">
        <v>2930</v>
      </c>
      <c r="P497">
        <v>35.309935400000001</v>
      </c>
      <c r="Q497">
        <v>-120.6629777</v>
      </c>
      <c r="R497" t="s">
        <v>1808</v>
      </c>
      <c r="S497">
        <v>14960</v>
      </c>
      <c r="T497" t="s">
        <v>1809</v>
      </c>
      <c r="U497" t="s">
        <v>2931</v>
      </c>
      <c r="V497">
        <v>168</v>
      </c>
      <c r="W497" t="s">
        <v>2844</v>
      </c>
      <c r="X497" t="b">
        <v>0</v>
      </c>
      <c r="Y497" t="s">
        <v>2008</v>
      </c>
      <c r="Z497" s="667"/>
    </row>
    <row r="498" spans="1:26" ht="14.45" customHeight="1">
      <c r="A498">
        <v>128</v>
      </c>
      <c r="B498" t="s">
        <v>2927</v>
      </c>
      <c r="C498" t="s">
        <v>2928</v>
      </c>
      <c r="D498" t="s">
        <v>2003</v>
      </c>
      <c r="E498" s="7">
        <v>44839</v>
      </c>
      <c r="F498">
        <v>21</v>
      </c>
      <c r="G498">
        <f t="shared" si="7"/>
        <v>0.53339999999999999</v>
      </c>
      <c r="H498" t="s">
        <v>1842</v>
      </c>
      <c r="I498" t="s">
        <v>2228</v>
      </c>
      <c r="J498" t="s">
        <v>2575</v>
      </c>
      <c r="K498" t="s">
        <v>2936</v>
      </c>
      <c r="M498" t="b">
        <v>1</v>
      </c>
      <c r="N498" s="7">
        <v>44846</v>
      </c>
      <c r="O498" t="s">
        <v>2930</v>
      </c>
      <c r="P498">
        <v>35.309987200000002</v>
      </c>
      <c r="Q498">
        <v>-120.6629875</v>
      </c>
      <c r="R498" t="s">
        <v>1808</v>
      </c>
      <c r="S498">
        <v>14958</v>
      </c>
      <c r="T498" t="s">
        <v>1809</v>
      </c>
      <c r="U498" t="s">
        <v>2931</v>
      </c>
      <c r="V498">
        <v>166</v>
      </c>
      <c r="W498" t="s">
        <v>2844</v>
      </c>
      <c r="X498" t="b">
        <v>0</v>
      </c>
      <c r="Y498" t="s">
        <v>2008</v>
      </c>
      <c r="Z498" s="6"/>
    </row>
    <row r="499" spans="1:26" ht="14.45" customHeight="1">
      <c r="A499">
        <v>226</v>
      </c>
      <c r="B499" t="s">
        <v>2937</v>
      </c>
      <c r="C499" t="s">
        <v>2938</v>
      </c>
      <c r="D499" t="s">
        <v>2003</v>
      </c>
      <c r="E499" s="7">
        <v>44839</v>
      </c>
      <c r="F499">
        <v>6</v>
      </c>
      <c r="G499">
        <f t="shared" si="7"/>
        <v>0.15239999999999998</v>
      </c>
      <c r="H499" t="s">
        <v>1804</v>
      </c>
      <c r="J499" t="s">
        <v>2939</v>
      </c>
      <c r="K499" t="s">
        <v>2940</v>
      </c>
      <c r="M499" t="b">
        <v>1</v>
      </c>
      <c r="N499" s="7">
        <v>45637</v>
      </c>
      <c r="O499" t="s">
        <v>2941</v>
      </c>
      <c r="P499">
        <v>35.310023630000003</v>
      </c>
      <c r="Q499">
        <v>-120.66312139999999</v>
      </c>
      <c r="R499" t="s">
        <v>1808</v>
      </c>
      <c r="S499">
        <v>14963</v>
      </c>
      <c r="T499" t="s">
        <v>1809</v>
      </c>
      <c r="U499" t="s">
        <v>2942</v>
      </c>
      <c r="V499">
        <v>171</v>
      </c>
      <c r="W499" t="s">
        <v>2844</v>
      </c>
      <c r="X499" t="b">
        <v>0</v>
      </c>
      <c r="Y499" t="s">
        <v>2008</v>
      </c>
      <c r="Z499" s="6"/>
    </row>
    <row r="500" spans="1:26" ht="14.45" customHeight="1">
      <c r="A500">
        <v>227</v>
      </c>
      <c r="B500" t="s">
        <v>2937</v>
      </c>
      <c r="C500" t="s">
        <v>2938</v>
      </c>
      <c r="D500" t="s">
        <v>2003</v>
      </c>
      <c r="E500" s="7">
        <v>44839</v>
      </c>
      <c r="F500">
        <v>8</v>
      </c>
      <c r="G500">
        <f t="shared" si="7"/>
        <v>0.20319999999999999</v>
      </c>
      <c r="H500" t="s">
        <v>1804</v>
      </c>
      <c r="J500" t="s">
        <v>2939</v>
      </c>
      <c r="K500" t="s">
        <v>2943</v>
      </c>
      <c r="M500" t="b">
        <v>1</v>
      </c>
      <c r="N500" s="7">
        <v>45637</v>
      </c>
      <c r="O500" t="s">
        <v>2941</v>
      </c>
      <c r="P500">
        <v>35.309960150000002</v>
      </c>
      <c r="Q500">
        <v>-120.6630986</v>
      </c>
      <c r="R500" t="s">
        <v>1808</v>
      </c>
      <c r="S500">
        <v>14964</v>
      </c>
      <c r="T500" t="s">
        <v>1809</v>
      </c>
      <c r="U500" t="s">
        <v>2942</v>
      </c>
      <c r="V500">
        <v>172</v>
      </c>
      <c r="W500" t="s">
        <v>2844</v>
      </c>
      <c r="X500" t="b">
        <v>0</v>
      </c>
      <c r="Y500" t="s">
        <v>2008</v>
      </c>
      <c r="Z500" s="6"/>
    </row>
    <row r="501" spans="1:26" ht="14.45" customHeight="1">
      <c r="A501">
        <v>447</v>
      </c>
      <c r="B501" t="s">
        <v>2280</v>
      </c>
      <c r="C501" t="s">
        <v>2281</v>
      </c>
      <c r="D501" t="s">
        <v>2003</v>
      </c>
      <c r="E501" s="7">
        <v>44839</v>
      </c>
      <c r="F501">
        <v>15</v>
      </c>
      <c r="G501">
        <f t="shared" si="7"/>
        <v>0.38100000000000001</v>
      </c>
      <c r="H501" t="s">
        <v>1855</v>
      </c>
      <c r="J501" t="s">
        <v>2282</v>
      </c>
      <c r="K501" t="s">
        <v>2944</v>
      </c>
      <c r="M501" t="b">
        <v>1</v>
      </c>
      <c r="N501" s="7">
        <v>45587</v>
      </c>
      <c r="O501" t="s">
        <v>2284</v>
      </c>
      <c r="P501">
        <v>35.309941549999998</v>
      </c>
      <c r="Q501">
        <v>-120.6632006</v>
      </c>
      <c r="R501" t="s">
        <v>1808</v>
      </c>
      <c r="S501">
        <v>14961</v>
      </c>
      <c r="T501" t="s">
        <v>1809</v>
      </c>
      <c r="U501" t="s">
        <v>2285</v>
      </c>
      <c r="V501">
        <v>169</v>
      </c>
      <c r="W501" t="s">
        <v>2844</v>
      </c>
      <c r="X501" t="b">
        <v>0</v>
      </c>
      <c r="Y501" t="s">
        <v>2008</v>
      </c>
      <c r="Z501" s="667"/>
    </row>
    <row r="502" spans="1:26" ht="14.45" customHeight="1">
      <c r="A502">
        <v>448</v>
      </c>
      <c r="B502" t="s">
        <v>2280</v>
      </c>
      <c r="C502" t="s">
        <v>2281</v>
      </c>
      <c r="D502" t="s">
        <v>2003</v>
      </c>
      <c r="E502" s="7">
        <v>44839</v>
      </c>
      <c r="F502">
        <v>16</v>
      </c>
      <c r="G502">
        <f t="shared" si="7"/>
        <v>0.40639999999999998</v>
      </c>
      <c r="H502" t="s">
        <v>1855</v>
      </c>
      <c r="J502" t="s">
        <v>2282</v>
      </c>
      <c r="K502" t="s">
        <v>2945</v>
      </c>
      <c r="M502" t="b">
        <v>1</v>
      </c>
      <c r="N502" s="7">
        <v>45587</v>
      </c>
      <c r="O502" t="s">
        <v>2284</v>
      </c>
      <c r="P502">
        <v>35.310006110000003</v>
      </c>
      <c r="Q502">
        <v>-120.66321929999999</v>
      </c>
      <c r="R502" t="s">
        <v>1808</v>
      </c>
      <c r="S502">
        <v>14962</v>
      </c>
      <c r="T502" t="s">
        <v>1809</v>
      </c>
      <c r="U502" t="s">
        <v>2285</v>
      </c>
      <c r="V502">
        <v>170</v>
      </c>
      <c r="W502" t="s">
        <v>2844</v>
      </c>
      <c r="X502" t="b">
        <v>0</v>
      </c>
      <c r="Y502" t="s">
        <v>2008</v>
      </c>
      <c r="Z502" s="667"/>
    </row>
    <row r="503" spans="1:26" ht="14.45" customHeight="1">
      <c r="A503">
        <v>8</v>
      </c>
      <c r="B503" t="s">
        <v>1802</v>
      </c>
      <c r="C503" t="s">
        <v>1803</v>
      </c>
      <c r="D503" t="s">
        <v>2003</v>
      </c>
      <c r="E503" s="7">
        <v>44838</v>
      </c>
      <c r="F503">
        <v>7</v>
      </c>
      <c r="G503">
        <f t="shared" si="7"/>
        <v>0.17779999999999999</v>
      </c>
      <c r="H503" t="s">
        <v>1804</v>
      </c>
      <c r="I503" t="s">
        <v>1805</v>
      </c>
      <c r="J503" t="s">
        <v>1803</v>
      </c>
      <c r="K503" t="s">
        <v>2946</v>
      </c>
      <c r="M503" t="b">
        <v>1</v>
      </c>
      <c r="N503" s="7">
        <v>45575</v>
      </c>
      <c r="O503" t="s">
        <v>1807</v>
      </c>
      <c r="P503">
        <v>35.310660349999999</v>
      </c>
      <c r="Q503">
        <v>-120.66293450000001</v>
      </c>
      <c r="R503" t="s">
        <v>1808</v>
      </c>
      <c r="S503">
        <v>14941</v>
      </c>
      <c r="T503" t="s">
        <v>1809</v>
      </c>
      <c r="U503" t="s">
        <v>2947</v>
      </c>
      <c r="V503">
        <v>151</v>
      </c>
      <c r="W503" t="s">
        <v>2948</v>
      </c>
      <c r="X503" t="b">
        <v>0</v>
      </c>
      <c r="Y503" t="s">
        <v>1811</v>
      </c>
      <c r="Z503" s="6"/>
    </row>
    <row r="504" spans="1:26" ht="14.45" customHeight="1">
      <c r="A504">
        <v>398</v>
      </c>
      <c r="B504" t="s">
        <v>1824</v>
      </c>
      <c r="C504" t="s">
        <v>1825</v>
      </c>
      <c r="D504" t="s">
        <v>2003</v>
      </c>
      <c r="E504" s="7">
        <v>44838</v>
      </c>
      <c r="F504">
        <v>12</v>
      </c>
      <c r="G504">
        <f t="shared" si="7"/>
        <v>0.30479999999999996</v>
      </c>
      <c r="H504" t="s">
        <v>1855</v>
      </c>
      <c r="I504" t="s">
        <v>1815</v>
      </c>
      <c r="J504" t="s">
        <v>1825</v>
      </c>
      <c r="K504" t="s">
        <v>2949</v>
      </c>
      <c r="M504" t="b">
        <v>1</v>
      </c>
      <c r="N504" s="7">
        <v>45930</v>
      </c>
      <c r="O504" t="s">
        <v>1828</v>
      </c>
      <c r="P504">
        <v>35.310900670000002</v>
      </c>
      <c r="Q504">
        <v>-120.6628407</v>
      </c>
      <c r="R504" t="s">
        <v>1808</v>
      </c>
      <c r="S504">
        <v>14928</v>
      </c>
      <c r="T504" t="s">
        <v>1809</v>
      </c>
      <c r="U504" t="s">
        <v>2950</v>
      </c>
      <c r="V504">
        <v>140</v>
      </c>
      <c r="W504" t="s">
        <v>2948</v>
      </c>
      <c r="X504" t="b">
        <v>0</v>
      </c>
      <c r="Y504" t="s">
        <v>1811</v>
      </c>
      <c r="Z504" s="667"/>
    </row>
    <row r="505" spans="1:26" ht="14.45" customHeight="1">
      <c r="A505">
        <v>399</v>
      </c>
      <c r="B505" t="s">
        <v>1824</v>
      </c>
      <c r="C505" t="s">
        <v>1825</v>
      </c>
      <c r="D505" t="s">
        <v>2003</v>
      </c>
      <c r="E505" s="7">
        <v>44838</v>
      </c>
      <c r="F505">
        <v>14</v>
      </c>
      <c r="G505">
        <f t="shared" si="7"/>
        <v>0.35559999999999997</v>
      </c>
      <c r="H505" t="s">
        <v>1855</v>
      </c>
      <c r="I505" t="s">
        <v>1815</v>
      </c>
      <c r="J505" t="s">
        <v>1825</v>
      </c>
      <c r="K505" t="s">
        <v>2951</v>
      </c>
      <c r="M505" t="b">
        <v>1</v>
      </c>
      <c r="N505" s="7">
        <v>45610</v>
      </c>
      <c r="O505" t="s">
        <v>1828</v>
      </c>
      <c r="P505">
        <v>35.310832660000003</v>
      </c>
      <c r="Q505">
        <v>-120.6628015</v>
      </c>
      <c r="R505" t="s">
        <v>1808</v>
      </c>
      <c r="S505">
        <v>14933</v>
      </c>
      <c r="T505" t="s">
        <v>1809</v>
      </c>
      <c r="U505" t="s">
        <v>2950</v>
      </c>
      <c r="V505">
        <v>144</v>
      </c>
      <c r="W505" t="s">
        <v>2948</v>
      </c>
      <c r="X505" t="b">
        <v>0</v>
      </c>
      <c r="Y505" t="s">
        <v>1811</v>
      </c>
      <c r="Z505" s="667"/>
    </row>
    <row r="506" spans="1:26" ht="14.45" customHeight="1">
      <c r="A506">
        <v>554</v>
      </c>
      <c r="B506" t="s">
        <v>1876</v>
      </c>
      <c r="C506" t="s">
        <v>1877</v>
      </c>
      <c r="D506" t="s">
        <v>2003</v>
      </c>
      <c r="E506" s="7">
        <v>44838</v>
      </c>
      <c r="F506">
        <v>8</v>
      </c>
      <c r="G506">
        <f t="shared" si="7"/>
        <v>0.20319999999999999</v>
      </c>
      <c r="H506" t="s">
        <v>1804</v>
      </c>
      <c r="I506" t="s">
        <v>1815</v>
      </c>
      <c r="J506" t="s">
        <v>1821</v>
      </c>
      <c r="K506" t="s">
        <v>2952</v>
      </c>
      <c r="M506" t="b">
        <v>1</v>
      </c>
      <c r="N506" s="7">
        <v>45603</v>
      </c>
      <c r="O506" t="s">
        <v>1181</v>
      </c>
      <c r="P506">
        <v>35.310594309999999</v>
      </c>
      <c r="Q506">
        <v>-120.6629198</v>
      </c>
      <c r="R506" t="s">
        <v>1808</v>
      </c>
      <c r="S506">
        <v>14934</v>
      </c>
      <c r="T506" t="s">
        <v>1809</v>
      </c>
      <c r="U506" t="s">
        <v>2953</v>
      </c>
      <c r="V506">
        <v>145</v>
      </c>
      <c r="W506" t="s">
        <v>2948</v>
      </c>
      <c r="X506" t="b">
        <v>0</v>
      </c>
      <c r="Y506" t="s">
        <v>1811</v>
      </c>
      <c r="Z506" s="667"/>
    </row>
    <row r="507" spans="1:26" ht="14.45" customHeight="1">
      <c r="A507">
        <v>515</v>
      </c>
      <c r="B507" t="s">
        <v>1886</v>
      </c>
      <c r="C507" t="s">
        <v>1887</v>
      </c>
      <c r="D507" t="s">
        <v>2003</v>
      </c>
      <c r="E507" s="7">
        <v>44838</v>
      </c>
      <c r="F507">
        <v>6</v>
      </c>
      <c r="G507">
        <f t="shared" si="7"/>
        <v>0.15239999999999998</v>
      </c>
      <c r="H507" t="s">
        <v>1804</v>
      </c>
      <c r="I507" t="s">
        <v>1888</v>
      </c>
      <c r="J507" t="s">
        <v>1889</v>
      </c>
      <c r="K507" t="s">
        <v>2954</v>
      </c>
      <c r="M507" t="b">
        <v>1</v>
      </c>
      <c r="N507" s="7">
        <v>45614</v>
      </c>
      <c r="O507" t="s">
        <v>1891</v>
      </c>
      <c r="P507">
        <v>35.310713839999998</v>
      </c>
      <c r="Q507">
        <v>-120.6627252</v>
      </c>
      <c r="R507" t="s">
        <v>1808</v>
      </c>
      <c r="S507">
        <v>14931</v>
      </c>
      <c r="T507" t="s">
        <v>1809</v>
      </c>
      <c r="U507" t="s">
        <v>2955</v>
      </c>
      <c r="V507">
        <v>143</v>
      </c>
      <c r="W507" t="s">
        <v>2347</v>
      </c>
      <c r="X507" t="b">
        <v>0</v>
      </c>
      <c r="Y507" t="s">
        <v>1811</v>
      </c>
      <c r="Z507" s="667"/>
    </row>
    <row r="508" spans="1:26" ht="14.45" customHeight="1">
      <c r="A508">
        <v>229</v>
      </c>
      <c r="B508" t="s">
        <v>2956</v>
      </c>
      <c r="C508" t="s">
        <v>2957</v>
      </c>
      <c r="D508" t="s">
        <v>2003</v>
      </c>
      <c r="E508" s="7">
        <v>44838</v>
      </c>
      <c r="F508">
        <v>52</v>
      </c>
      <c r="G508">
        <f t="shared" si="7"/>
        <v>1.3208</v>
      </c>
      <c r="H508" t="s">
        <v>1881</v>
      </c>
      <c r="J508" t="s">
        <v>2011</v>
      </c>
      <c r="K508" t="s">
        <v>2958</v>
      </c>
      <c r="M508" t="b">
        <v>1</v>
      </c>
      <c r="N508" s="7">
        <v>45603</v>
      </c>
      <c r="O508" t="s">
        <v>2959</v>
      </c>
      <c r="P508">
        <v>35.31076332</v>
      </c>
      <c r="Q508">
        <v>-120.6627841</v>
      </c>
      <c r="R508" t="s">
        <v>1808</v>
      </c>
      <c r="S508">
        <v>14918</v>
      </c>
      <c r="T508" t="s">
        <v>1809</v>
      </c>
      <c r="U508" t="s">
        <v>2960</v>
      </c>
      <c r="V508">
        <v>131</v>
      </c>
      <c r="W508" t="s">
        <v>2948</v>
      </c>
      <c r="X508" t="b">
        <v>0</v>
      </c>
      <c r="Y508" t="s">
        <v>1811</v>
      </c>
      <c r="Z508" s="6"/>
    </row>
    <row r="509" spans="1:26" ht="14.45" customHeight="1">
      <c r="A509">
        <v>388</v>
      </c>
      <c r="B509" t="s">
        <v>2889</v>
      </c>
      <c r="C509" t="s">
        <v>2890</v>
      </c>
      <c r="D509" t="s">
        <v>1826</v>
      </c>
      <c r="E509" s="7">
        <v>44838</v>
      </c>
      <c r="F509">
        <v>3</v>
      </c>
      <c r="G509">
        <f t="shared" si="7"/>
        <v>7.619999999999999E-2</v>
      </c>
      <c r="H509" t="s">
        <v>1814</v>
      </c>
      <c r="I509" t="s">
        <v>2891</v>
      </c>
      <c r="J509" t="s">
        <v>2892</v>
      </c>
      <c r="K509" t="s">
        <v>2961</v>
      </c>
      <c r="M509" t="b">
        <v>1</v>
      </c>
      <c r="N509" s="7">
        <v>45610</v>
      </c>
      <c r="O509" t="s">
        <v>2894</v>
      </c>
      <c r="P509">
        <v>35.310371439999997</v>
      </c>
      <c r="Q509">
        <v>-120.66092380000001</v>
      </c>
      <c r="R509" t="s">
        <v>1808</v>
      </c>
      <c r="S509">
        <v>14954</v>
      </c>
      <c r="T509" t="s">
        <v>1809</v>
      </c>
      <c r="U509" t="s">
        <v>2962</v>
      </c>
      <c r="V509">
        <v>162</v>
      </c>
      <c r="W509" t="s">
        <v>2844</v>
      </c>
      <c r="X509" t="b">
        <v>0</v>
      </c>
      <c r="Y509" t="s">
        <v>2041</v>
      </c>
      <c r="Z509" s="6"/>
    </row>
    <row r="510" spans="1:26" ht="14.45" customHeight="1">
      <c r="A510">
        <v>389</v>
      </c>
      <c r="B510" t="s">
        <v>2889</v>
      </c>
      <c r="C510" t="s">
        <v>2890</v>
      </c>
      <c r="D510" t="s">
        <v>1826</v>
      </c>
      <c r="E510" s="7">
        <v>44838</v>
      </c>
      <c r="F510">
        <v>4</v>
      </c>
      <c r="G510">
        <f t="shared" si="7"/>
        <v>0.1016</v>
      </c>
      <c r="H510" t="s">
        <v>1814</v>
      </c>
      <c r="I510" t="s">
        <v>2891</v>
      </c>
      <c r="J510" t="s">
        <v>2892</v>
      </c>
      <c r="K510" t="s">
        <v>2963</v>
      </c>
      <c r="M510" t="b">
        <v>1</v>
      </c>
      <c r="N510" s="7">
        <v>45610</v>
      </c>
      <c r="O510" t="s">
        <v>2894</v>
      </c>
      <c r="P510">
        <v>35.310362679999997</v>
      </c>
      <c r="Q510">
        <v>-120.6609488</v>
      </c>
      <c r="R510" t="s">
        <v>1808</v>
      </c>
      <c r="S510">
        <v>14953</v>
      </c>
      <c r="T510" t="s">
        <v>1809</v>
      </c>
      <c r="U510" t="s">
        <v>2962</v>
      </c>
      <c r="V510">
        <v>161</v>
      </c>
      <c r="W510" t="s">
        <v>2844</v>
      </c>
      <c r="X510" t="b">
        <v>0</v>
      </c>
      <c r="Y510" t="s">
        <v>2041</v>
      </c>
      <c r="Z510" s="6"/>
    </row>
    <row r="511" spans="1:26" ht="14.45" customHeight="1">
      <c r="A511">
        <v>464</v>
      </c>
      <c r="B511" t="s">
        <v>2044</v>
      </c>
      <c r="C511" t="s">
        <v>2045</v>
      </c>
      <c r="D511" t="s">
        <v>2003</v>
      </c>
      <c r="E511" s="7">
        <v>44838</v>
      </c>
      <c r="F511">
        <v>46</v>
      </c>
      <c r="G511">
        <f t="shared" si="7"/>
        <v>1.1683999999999999</v>
      </c>
      <c r="H511" t="s">
        <v>1881</v>
      </c>
      <c r="J511" t="s">
        <v>2045</v>
      </c>
      <c r="K511" t="s">
        <v>2964</v>
      </c>
      <c r="M511" t="b">
        <v>1</v>
      </c>
      <c r="N511" s="7">
        <v>45610</v>
      </c>
      <c r="O511" t="s">
        <v>2047</v>
      </c>
      <c r="P511">
        <v>35.310377269999996</v>
      </c>
      <c r="Q511">
        <v>-120.66097980000001</v>
      </c>
      <c r="R511" t="s">
        <v>1808</v>
      </c>
      <c r="S511">
        <v>14952</v>
      </c>
      <c r="T511" t="s">
        <v>1809</v>
      </c>
      <c r="U511" t="s">
        <v>2965</v>
      </c>
      <c r="V511">
        <v>160</v>
      </c>
      <c r="W511" t="s">
        <v>2844</v>
      </c>
      <c r="X511" t="b">
        <v>0</v>
      </c>
      <c r="Y511" t="s">
        <v>2041</v>
      </c>
      <c r="Z511" s="6"/>
    </row>
    <row r="512" spans="1:26" ht="14.45" customHeight="1">
      <c r="A512">
        <v>321</v>
      </c>
      <c r="B512" t="s">
        <v>2269</v>
      </c>
      <c r="C512" t="s">
        <v>2270</v>
      </c>
      <c r="D512" t="s">
        <v>2003</v>
      </c>
      <c r="E512" s="7">
        <v>44838</v>
      </c>
      <c r="F512">
        <v>1</v>
      </c>
      <c r="G512">
        <f t="shared" si="7"/>
        <v>2.5399999999999999E-2</v>
      </c>
      <c r="H512" t="s">
        <v>1838</v>
      </c>
      <c r="I512" t="s">
        <v>1971</v>
      </c>
      <c r="J512" t="s">
        <v>2271</v>
      </c>
      <c r="K512" t="s">
        <v>2966</v>
      </c>
      <c r="M512" t="b">
        <v>1</v>
      </c>
      <c r="N512" s="7">
        <v>45589</v>
      </c>
      <c r="O512" t="s">
        <v>2273</v>
      </c>
      <c r="P512">
        <v>35.310117640000001</v>
      </c>
      <c r="Q512">
        <v>-120.6609363</v>
      </c>
      <c r="R512" t="s">
        <v>1808</v>
      </c>
      <c r="S512">
        <v>14946</v>
      </c>
      <c r="T512" t="s">
        <v>1809</v>
      </c>
      <c r="U512" t="s">
        <v>2967</v>
      </c>
      <c r="V512">
        <v>154</v>
      </c>
      <c r="W512" t="s">
        <v>2844</v>
      </c>
      <c r="X512" t="b">
        <v>0</v>
      </c>
      <c r="Y512" t="s">
        <v>2224</v>
      </c>
      <c r="Z512" s="6"/>
    </row>
    <row r="513" spans="1:26" ht="14.45" customHeight="1">
      <c r="A513">
        <v>406</v>
      </c>
      <c r="B513" t="s">
        <v>2968</v>
      </c>
      <c r="C513" t="s">
        <v>2969</v>
      </c>
      <c r="D513" t="s">
        <v>1826</v>
      </c>
      <c r="E513" s="7">
        <v>44838</v>
      </c>
      <c r="F513">
        <v>16</v>
      </c>
      <c r="G513">
        <f t="shared" si="7"/>
        <v>0.40639999999999998</v>
      </c>
      <c r="H513" t="s">
        <v>1855</v>
      </c>
      <c r="I513" t="s">
        <v>1971</v>
      </c>
      <c r="J513" t="s">
        <v>2380</v>
      </c>
      <c r="K513" t="s">
        <v>2970</v>
      </c>
      <c r="M513" t="b">
        <v>1</v>
      </c>
      <c r="N513" s="7">
        <v>45580</v>
      </c>
      <c r="O513" t="s">
        <v>2971</v>
      </c>
      <c r="P513">
        <v>35.30995472</v>
      </c>
      <c r="Q513">
        <v>-120.6607456</v>
      </c>
      <c r="R513" t="s">
        <v>1808</v>
      </c>
      <c r="S513">
        <v>14947</v>
      </c>
      <c r="T513" t="s">
        <v>1809</v>
      </c>
      <c r="U513" t="s">
        <v>2972</v>
      </c>
      <c r="V513">
        <v>155</v>
      </c>
      <c r="W513" t="s">
        <v>2886</v>
      </c>
      <c r="X513" t="b">
        <v>0</v>
      </c>
      <c r="Y513" t="s">
        <v>2224</v>
      </c>
      <c r="Z513" s="6"/>
    </row>
    <row r="514" spans="1:26" ht="14.45" customHeight="1">
      <c r="A514">
        <v>407</v>
      </c>
      <c r="B514" t="s">
        <v>2968</v>
      </c>
      <c r="C514" t="s">
        <v>2969</v>
      </c>
      <c r="D514" t="s">
        <v>1826</v>
      </c>
      <c r="E514" s="7">
        <v>44838</v>
      </c>
      <c r="F514">
        <v>45</v>
      </c>
      <c r="G514">
        <f t="shared" si="7"/>
        <v>1.143</v>
      </c>
      <c r="H514" t="s">
        <v>1881</v>
      </c>
      <c r="I514" t="s">
        <v>1971</v>
      </c>
      <c r="J514" t="s">
        <v>2380</v>
      </c>
      <c r="K514" t="s">
        <v>2973</v>
      </c>
      <c r="M514" t="b">
        <v>1</v>
      </c>
      <c r="N514" s="7">
        <v>45637</v>
      </c>
      <c r="O514" t="s">
        <v>2971</v>
      </c>
      <c r="P514">
        <v>35.310065260000002</v>
      </c>
      <c r="Q514">
        <v>-120.6606651</v>
      </c>
      <c r="R514" t="s">
        <v>1808</v>
      </c>
      <c r="S514">
        <v>14895</v>
      </c>
      <c r="T514" t="s">
        <v>1809</v>
      </c>
      <c r="U514" t="s">
        <v>2974</v>
      </c>
      <c r="V514">
        <v>110</v>
      </c>
      <c r="W514" t="s">
        <v>2852</v>
      </c>
      <c r="X514" t="b">
        <v>0</v>
      </c>
      <c r="Y514" t="s">
        <v>2224</v>
      </c>
      <c r="Z514" s="6"/>
    </row>
    <row r="515" spans="1:26" ht="14.45" customHeight="1">
      <c r="A515">
        <v>408</v>
      </c>
      <c r="B515" t="s">
        <v>2968</v>
      </c>
      <c r="C515" t="s">
        <v>2969</v>
      </c>
      <c r="D515" t="s">
        <v>2003</v>
      </c>
      <c r="E515" s="7">
        <v>44838</v>
      </c>
      <c r="F515">
        <v>55</v>
      </c>
      <c r="G515">
        <f t="shared" ref="G515:G578" si="8">F515*0.0254</f>
        <v>1.397</v>
      </c>
      <c r="H515" t="s">
        <v>1881</v>
      </c>
      <c r="I515" t="s">
        <v>1971</v>
      </c>
      <c r="J515" t="s">
        <v>2380</v>
      </c>
      <c r="K515" t="s">
        <v>2975</v>
      </c>
      <c r="M515" t="b">
        <v>1</v>
      </c>
      <c r="N515" s="7">
        <v>45580</v>
      </c>
      <c r="O515" t="s">
        <v>2971</v>
      </c>
      <c r="P515">
        <v>35.310030240000003</v>
      </c>
      <c r="Q515">
        <v>-120.6608341</v>
      </c>
      <c r="R515" t="s">
        <v>1808</v>
      </c>
      <c r="S515">
        <v>14866</v>
      </c>
      <c r="T515" t="s">
        <v>1809</v>
      </c>
      <c r="U515" t="s">
        <v>2976</v>
      </c>
      <c r="V515">
        <v>86</v>
      </c>
      <c r="W515" t="s">
        <v>2844</v>
      </c>
      <c r="X515" t="b">
        <v>0</v>
      </c>
      <c r="Y515" t="s">
        <v>2224</v>
      </c>
      <c r="Z515" s="6"/>
    </row>
    <row r="516" spans="1:26" ht="14.45" customHeight="1">
      <c r="A516">
        <v>325</v>
      </c>
      <c r="B516" t="s">
        <v>2148</v>
      </c>
      <c r="C516" t="s">
        <v>2149</v>
      </c>
      <c r="D516" t="s">
        <v>1946</v>
      </c>
      <c r="E516" s="7">
        <v>44838</v>
      </c>
      <c r="F516">
        <v>9</v>
      </c>
      <c r="G516">
        <f t="shared" si="8"/>
        <v>0.2286</v>
      </c>
      <c r="H516" t="s">
        <v>1804</v>
      </c>
      <c r="I516" t="s">
        <v>1882</v>
      </c>
      <c r="J516" t="s">
        <v>2150</v>
      </c>
      <c r="K516" t="s">
        <v>2977</v>
      </c>
      <c r="M516" t="b">
        <v>1</v>
      </c>
      <c r="N516" s="7">
        <v>45637</v>
      </c>
      <c r="O516" t="s">
        <v>1409</v>
      </c>
      <c r="P516">
        <v>35.310004990000003</v>
      </c>
      <c r="Q516">
        <v>-120.6612993</v>
      </c>
      <c r="R516" t="s">
        <v>1808</v>
      </c>
      <c r="S516">
        <v>14950</v>
      </c>
      <c r="T516" t="s">
        <v>1809</v>
      </c>
      <c r="U516" t="s">
        <v>2978</v>
      </c>
      <c r="V516">
        <v>158</v>
      </c>
      <c r="W516" t="s">
        <v>2844</v>
      </c>
      <c r="X516" t="b">
        <v>0</v>
      </c>
      <c r="Y516" t="s">
        <v>2224</v>
      </c>
      <c r="Z516" s="6"/>
    </row>
    <row r="517" spans="1:26" ht="14.45" customHeight="1">
      <c r="A517">
        <v>129</v>
      </c>
      <c r="B517" t="s">
        <v>2979</v>
      </c>
      <c r="C517" t="s">
        <v>2980</v>
      </c>
      <c r="D517" t="s">
        <v>2003</v>
      </c>
      <c r="E517" s="7">
        <v>44838</v>
      </c>
      <c r="F517">
        <v>31</v>
      </c>
      <c r="G517">
        <f t="shared" si="8"/>
        <v>0.78739999999999999</v>
      </c>
      <c r="H517" t="s">
        <v>1881</v>
      </c>
      <c r="I517" t="s">
        <v>2169</v>
      </c>
      <c r="J517" t="s">
        <v>2183</v>
      </c>
      <c r="K517" t="s">
        <v>2981</v>
      </c>
      <c r="M517" t="b">
        <v>1</v>
      </c>
      <c r="N517" s="7">
        <v>45637</v>
      </c>
      <c r="O517" t="s">
        <v>1495</v>
      </c>
      <c r="P517">
        <v>35.310462680000001</v>
      </c>
      <c r="Q517">
        <v>-120.661599</v>
      </c>
      <c r="R517" t="s">
        <v>1808</v>
      </c>
      <c r="S517">
        <v>14896</v>
      </c>
      <c r="T517" t="s">
        <v>1809</v>
      </c>
      <c r="U517" t="s">
        <v>2982</v>
      </c>
      <c r="V517">
        <v>111</v>
      </c>
      <c r="W517" t="s">
        <v>2983</v>
      </c>
      <c r="X517" t="b">
        <v>0</v>
      </c>
      <c r="Y517" t="s">
        <v>2055</v>
      </c>
      <c r="Z517" s="6"/>
    </row>
    <row r="518" spans="1:26" ht="14.45" customHeight="1">
      <c r="A518">
        <v>203</v>
      </c>
      <c r="B518" t="s">
        <v>1624</v>
      </c>
      <c r="C518" t="s">
        <v>2072</v>
      </c>
      <c r="D518" t="s">
        <v>2003</v>
      </c>
      <c r="E518" s="7">
        <v>44838</v>
      </c>
      <c r="F518">
        <v>17</v>
      </c>
      <c r="G518">
        <f t="shared" si="8"/>
        <v>0.43179999999999996</v>
      </c>
      <c r="H518" t="s">
        <v>1855</v>
      </c>
      <c r="I518" t="s">
        <v>1982</v>
      </c>
      <c r="J518" t="s">
        <v>1983</v>
      </c>
      <c r="K518" t="s">
        <v>2984</v>
      </c>
      <c r="M518" t="b">
        <v>1</v>
      </c>
      <c r="N518" s="7">
        <v>44838</v>
      </c>
      <c r="O518" t="s">
        <v>2074</v>
      </c>
      <c r="P518">
        <v>35.310344809999997</v>
      </c>
      <c r="Q518">
        <v>-120.661751</v>
      </c>
      <c r="R518" t="s">
        <v>1808</v>
      </c>
      <c r="S518">
        <v>14939</v>
      </c>
      <c r="T518" t="s">
        <v>1809</v>
      </c>
      <c r="U518" t="s">
        <v>2386</v>
      </c>
      <c r="V518">
        <v>149</v>
      </c>
      <c r="W518" t="s">
        <v>2985</v>
      </c>
      <c r="X518" t="b">
        <v>0</v>
      </c>
      <c r="Y518" t="s">
        <v>2055</v>
      </c>
      <c r="Z518" s="6"/>
    </row>
    <row r="519" spans="1:26" ht="14.45" customHeight="1">
      <c r="A519">
        <v>233</v>
      </c>
      <c r="B519" t="s">
        <v>2325</v>
      </c>
      <c r="C519" t="s">
        <v>2326</v>
      </c>
      <c r="D519" t="s">
        <v>2003</v>
      </c>
      <c r="E519" s="7">
        <v>44838</v>
      </c>
      <c r="F519">
        <v>14</v>
      </c>
      <c r="G519">
        <f t="shared" si="8"/>
        <v>0.35559999999999997</v>
      </c>
      <c r="H519" t="s">
        <v>1855</v>
      </c>
      <c r="I519" t="s">
        <v>1982</v>
      </c>
      <c r="J519" t="s">
        <v>1983</v>
      </c>
      <c r="K519" t="s">
        <v>2986</v>
      </c>
      <c r="M519" t="b">
        <v>1</v>
      </c>
      <c r="N519" s="7">
        <v>45604</v>
      </c>
      <c r="O519" t="s">
        <v>2328</v>
      </c>
      <c r="P519">
        <v>35.310577649999999</v>
      </c>
      <c r="Q519">
        <v>-120.6618725</v>
      </c>
      <c r="R519" t="s">
        <v>1808</v>
      </c>
      <c r="S519">
        <v>14869</v>
      </c>
      <c r="T519" t="s">
        <v>1809</v>
      </c>
      <c r="U519" t="s">
        <v>2329</v>
      </c>
      <c r="V519">
        <v>89</v>
      </c>
      <c r="W519" t="s">
        <v>2983</v>
      </c>
      <c r="X519" t="b">
        <v>0</v>
      </c>
      <c r="Y519" t="s">
        <v>2055</v>
      </c>
      <c r="Z519" s="6"/>
    </row>
    <row r="520" spans="1:26" ht="14.45" customHeight="1">
      <c r="A520">
        <v>234</v>
      </c>
      <c r="B520" t="s">
        <v>2325</v>
      </c>
      <c r="C520" t="s">
        <v>2326</v>
      </c>
      <c r="D520" t="s">
        <v>2003</v>
      </c>
      <c r="E520" s="7">
        <v>44838</v>
      </c>
      <c r="F520">
        <v>18</v>
      </c>
      <c r="G520">
        <f t="shared" si="8"/>
        <v>0.4572</v>
      </c>
      <c r="H520" t="s">
        <v>1842</v>
      </c>
      <c r="I520" t="s">
        <v>1982</v>
      </c>
      <c r="J520" t="s">
        <v>1983</v>
      </c>
      <c r="K520" t="s">
        <v>2987</v>
      </c>
      <c r="M520" t="b">
        <v>1</v>
      </c>
      <c r="N520" s="7">
        <v>45580</v>
      </c>
      <c r="O520" t="s">
        <v>2328</v>
      </c>
      <c r="P520">
        <v>35.310603659999998</v>
      </c>
      <c r="Q520">
        <v>-120.6618563</v>
      </c>
      <c r="R520" t="s">
        <v>1808</v>
      </c>
      <c r="S520">
        <v>14883</v>
      </c>
      <c r="T520" t="s">
        <v>1809</v>
      </c>
      <c r="U520" t="s">
        <v>2329</v>
      </c>
      <c r="V520">
        <v>101</v>
      </c>
      <c r="W520" t="s">
        <v>2983</v>
      </c>
      <c r="X520" t="b">
        <v>0</v>
      </c>
      <c r="Y520" t="s">
        <v>2055</v>
      </c>
      <c r="Z520" s="6"/>
    </row>
    <row r="521" spans="1:26" ht="14.45" customHeight="1">
      <c r="A521">
        <v>15</v>
      </c>
      <c r="B521" t="s">
        <v>2355</v>
      </c>
      <c r="C521" t="s">
        <v>2356</v>
      </c>
      <c r="D521" t="s">
        <v>2003</v>
      </c>
      <c r="E521" s="7">
        <v>44838</v>
      </c>
      <c r="F521">
        <v>11</v>
      </c>
      <c r="G521">
        <f t="shared" si="8"/>
        <v>0.27939999999999998</v>
      </c>
      <c r="H521" t="s">
        <v>1804</v>
      </c>
      <c r="I521" t="s">
        <v>1882</v>
      </c>
      <c r="J521" t="s">
        <v>1883</v>
      </c>
      <c r="K521" t="s">
        <v>2988</v>
      </c>
      <c r="M521" t="b">
        <v>1</v>
      </c>
      <c r="N521" s="7">
        <v>45604</v>
      </c>
      <c r="O521" t="s">
        <v>1639</v>
      </c>
      <c r="P521">
        <v>35.310566889999997</v>
      </c>
      <c r="Q521">
        <v>-120.66178429999999</v>
      </c>
      <c r="R521" t="s">
        <v>1808</v>
      </c>
      <c r="S521">
        <v>14887</v>
      </c>
      <c r="T521" t="s">
        <v>1809</v>
      </c>
      <c r="U521" t="s">
        <v>2989</v>
      </c>
      <c r="V521">
        <v>105</v>
      </c>
      <c r="W521" t="s">
        <v>2983</v>
      </c>
      <c r="X521" t="b">
        <v>0</v>
      </c>
      <c r="Y521" t="s">
        <v>2055</v>
      </c>
      <c r="Z521" s="6"/>
    </row>
    <row r="522" spans="1:26" ht="14.45" customHeight="1">
      <c r="A522">
        <v>326</v>
      </c>
      <c r="B522" t="s">
        <v>2148</v>
      </c>
      <c r="C522" t="s">
        <v>2149</v>
      </c>
      <c r="D522" t="s">
        <v>2003</v>
      </c>
      <c r="E522" s="7">
        <v>44838</v>
      </c>
      <c r="F522">
        <v>22</v>
      </c>
      <c r="G522">
        <f t="shared" si="8"/>
        <v>0.55879999999999996</v>
      </c>
      <c r="H522" t="s">
        <v>1842</v>
      </c>
      <c r="I522" t="s">
        <v>1882</v>
      </c>
      <c r="J522" t="s">
        <v>2150</v>
      </c>
      <c r="K522" t="s">
        <v>2990</v>
      </c>
      <c r="M522" t="b">
        <v>1</v>
      </c>
      <c r="N522" s="7">
        <v>45637</v>
      </c>
      <c r="O522" t="s">
        <v>1409</v>
      </c>
      <c r="P522">
        <v>35.310386559999998</v>
      </c>
      <c r="Q522">
        <v>-120.6613589</v>
      </c>
      <c r="R522" t="s">
        <v>1808</v>
      </c>
      <c r="S522">
        <v>14921</v>
      </c>
      <c r="T522" t="s">
        <v>1809</v>
      </c>
      <c r="U522" t="s">
        <v>2152</v>
      </c>
      <c r="V522">
        <v>133</v>
      </c>
      <c r="W522" t="s">
        <v>2983</v>
      </c>
      <c r="X522" t="b">
        <v>0</v>
      </c>
      <c r="Y522" t="s">
        <v>2055</v>
      </c>
      <c r="Z522" s="6"/>
    </row>
    <row r="523" spans="1:26" ht="14.45" customHeight="1">
      <c r="A523">
        <v>327</v>
      </c>
      <c r="B523" t="s">
        <v>2148</v>
      </c>
      <c r="C523" t="s">
        <v>2149</v>
      </c>
      <c r="D523" t="s">
        <v>2003</v>
      </c>
      <c r="E523" s="7">
        <v>44838</v>
      </c>
      <c r="F523">
        <v>22</v>
      </c>
      <c r="G523">
        <f t="shared" si="8"/>
        <v>0.55879999999999996</v>
      </c>
      <c r="H523" t="s">
        <v>1842</v>
      </c>
      <c r="I523" t="s">
        <v>1882</v>
      </c>
      <c r="J523" t="s">
        <v>2150</v>
      </c>
      <c r="K523" t="s">
        <v>2991</v>
      </c>
      <c r="M523" t="b">
        <v>1</v>
      </c>
      <c r="N523" s="7">
        <v>45610</v>
      </c>
      <c r="O523" t="s">
        <v>1409</v>
      </c>
      <c r="P523">
        <v>35.310454780000001</v>
      </c>
      <c r="Q523">
        <v>-120.6614932</v>
      </c>
      <c r="R523" t="s">
        <v>1808</v>
      </c>
      <c r="S523">
        <v>14903</v>
      </c>
      <c r="T523" t="s">
        <v>1809</v>
      </c>
      <c r="U523" t="s">
        <v>2152</v>
      </c>
      <c r="V523">
        <v>118</v>
      </c>
      <c r="W523" t="s">
        <v>2983</v>
      </c>
      <c r="X523" t="b">
        <v>0</v>
      </c>
      <c r="Y523" t="s">
        <v>2055</v>
      </c>
      <c r="Z523" s="6"/>
    </row>
    <row r="524" spans="1:26" ht="14.45" customHeight="1">
      <c r="A524">
        <v>328</v>
      </c>
      <c r="B524" t="s">
        <v>2148</v>
      </c>
      <c r="C524" t="s">
        <v>2149</v>
      </c>
      <c r="D524" t="s">
        <v>2003</v>
      </c>
      <c r="E524" s="7">
        <v>44838</v>
      </c>
      <c r="F524">
        <v>25</v>
      </c>
      <c r="G524">
        <f t="shared" si="8"/>
        <v>0.63500000000000001</v>
      </c>
      <c r="H524" t="s">
        <v>1866</v>
      </c>
      <c r="I524" t="s">
        <v>1882</v>
      </c>
      <c r="J524" t="s">
        <v>2150</v>
      </c>
      <c r="K524" t="s">
        <v>2992</v>
      </c>
      <c r="M524" t="b">
        <v>1</v>
      </c>
      <c r="N524" s="7">
        <v>45637</v>
      </c>
      <c r="O524" t="s">
        <v>1409</v>
      </c>
      <c r="P524">
        <v>35.310398380000002</v>
      </c>
      <c r="Q524">
        <v>-120.6614175</v>
      </c>
      <c r="R524" t="s">
        <v>1808</v>
      </c>
      <c r="S524">
        <v>14915</v>
      </c>
      <c r="T524" t="s">
        <v>1809</v>
      </c>
      <c r="U524" t="s">
        <v>2152</v>
      </c>
      <c r="V524">
        <v>129</v>
      </c>
      <c r="W524" t="s">
        <v>2983</v>
      </c>
      <c r="X524" t="b">
        <v>0</v>
      </c>
      <c r="Y524" t="s">
        <v>2055</v>
      </c>
      <c r="Z524" s="6"/>
    </row>
    <row r="525" spans="1:26" ht="14.45" customHeight="1">
      <c r="A525">
        <v>329</v>
      </c>
      <c r="B525" t="s">
        <v>2148</v>
      </c>
      <c r="C525" t="s">
        <v>2149</v>
      </c>
      <c r="D525" t="s">
        <v>2003</v>
      </c>
      <c r="E525" s="7">
        <v>44838</v>
      </c>
      <c r="F525">
        <v>28</v>
      </c>
      <c r="G525">
        <f t="shared" si="8"/>
        <v>0.71119999999999994</v>
      </c>
      <c r="H525" t="s">
        <v>1866</v>
      </c>
      <c r="I525" t="s">
        <v>1882</v>
      </c>
      <c r="J525" t="s">
        <v>2150</v>
      </c>
      <c r="K525" t="s">
        <v>2993</v>
      </c>
      <c r="M525" t="b">
        <v>1</v>
      </c>
      <c r="N525" s="7">
        <v>45637</v>
      </c>
      <c r="O525" t="s">
        <v>1409</v>
      </c>
      <c r="P525">
        <v>35.310398919999997</v>
      </c>
      <c r="Q525">
        <v>-120.6613122</v>
      </c>
      <c r="R525" t="s">
        <v>1808</v>
      </c>
      <c r="S525">
        <v>14925</v>
      </c>
      <c r="T525" t="s">
        <v>1809</v>
      </c>
      <c r="U525" t="s">
        <v>2152</v>
      </c>
      <c r="V525">
        <v>137</v>
      </c>
      <c r="W525" t="s">
        <v>2983</v>
      </c>
      <c r="X525" t="b">
        <v>0</v>
      </c>
      <c r="Y525" t="s">
        <v>2055</v>
      </c>
      <c r="Z525" s="6"/>
    </row>
    <row r="526" spans="1:26" ht="14.45" customHeight="1">
      <c r="A526">
        <v>330</v>
      </c>
      <c r="B526" t="s">
        <v>2148</v>
      </c>
      <c r="C526" t="s">
        <v>2149</v>
      </c>
      <c r="D526" t="s">
        <v>2003</v>
      </c>
      <c r="E526" s="7">
        <v>44838</v>
      </c>
      <c r="F526">
        <v>30</v>
      </c>
      <c r="G526">
        <f t="shared" si="8"/>
        <v>0.76200000000000001</v>
      </c>
      <c r="H526" t="s">
        <v>1881</v>
      </c>
      <c r="I526" t="s">
        <v>1882</v>
      </c>
      <c r="J526" t="s">
        <v>2150</v>
      </c>
      <c r="K526" t="s">
        <v>2994</v>
      </c>
      <c r="M526" t="b">
        <v>1</v>
      </c>
      <c r="N526" s="7">
        <v>45637</v>
      </c>
      <c r="O526" t="s">
        <v>1409</v>
      </c>
      <c r="P526">
        <v>35.310437589999999</v>
      </c>
      <c r="Q526">
        <v>-120.6614366</v>
      </c>
      <c r="R526" t="s">
        <v>1808</v>
      </c>
      <c r="S526">
        <v>14912</v>
      </c>
      <c r="T526" t="s">
        <v>1809</v>
      </c>
      <c r="U526" t="s">
        <v>2152</v>
      </c>
      <c r="V526">
        <v>127</v>
      </c>
      <c r="W526" t="s">
        <v>2983</v>
      </c>
      <c r="X526" t="b">
        <v>0</v>
      </c>
      <c r="Y526" t="s">
        <v>2055</v>
      </c>
      <c r="Z526" s="6"/>
    </row>
    <row r="527" spans="1:26" ht="14.45" customHeight="1">
      <c r="A527">
        <v>426</v>
      </c>
      <c r="B527" t="s">
        <v>2027</v>
      </c>
      <c r="C527" t="s">
        <v>2028</v>
      </c>
      <c r="D527" t="s">
        <v>1826</v>
      </c>
      <c r="E527" s="7">
        <v>44838</v>
      </c>
      <c r="F527">
        <v>4</v>
      </c>
      <c r="G527">
        <f t="shared" si="8"/>
        <v>0.1016</v>
      </c>
      <c r="H527" t="s">
        <v>1814</v>
      </c>
      <c r="J527" t="s">
        <v>1983</v>
      </c>
      <c r="K527" t="s">
        <v>2995</v>
      </c>
      <c r="M527" t="b">
        <v>1</v>
      </c>
      <c r="N527" s="7">
        <v>45637</v>
      </c>
      <c r="O527" t="s">
        <v>2030</v>
      </c>
      <c r="P527">
        <v>35.310344659999998</v>
      </c>
      <c r="Q527">
        <v>-120.6613773</v>
      </c>
      <c r="R527" t="s">
        <v>1808</v>
      </c>
      <c r="S527">
        <v>14927</v>
      </c>
      <c r="T527" t="s">
        <v>1809</v>
      </c>
      <c r="U527" t="s">
        <v>2996</v>
      </c>
      <c r="V527">
        <v>139</v>
      </c>
      <c r="W527" t="s">
        <v>2899</v>
      </c>
      <c r="X527" t="b">
        <v>0</v>
      </c>
      <c r="Y527" t="s">
        <v>2055</v>
      </c>
      <c r="Z527" s="6"/>
    </row>
    <row r="528" spans="1:26" ht="14.45" customHeight="1">
      <c r="A528">
        <v>154</v>
      </c>
      <c r="B528" t="s">
        <v>1969</v>
      </c>
      <c r="C528" t="s">
        <v>1970</v>
      </c>
      <c r="D528" t="s">
        <v>1826</v>
      </c>
      <c r="E528" s="7">
        <v>44838</v>
      </c>
      <c r="F528">
        <v>11</v>
      </c>
      <c r="G528">
        <f t="shared" si="8"/>
        <v>0.27939999999999998</v>
      </c>
      <c r="H528" t="s">
        <v>1804</v>
      </c>
      <c r="I528" t="s">
        <v>1971</v>
      </c>
      <c r="J528" t="s">
        <v>1972</v>
      </c>
      <c r="K528" t="s">
        <v>2997</v>
      </c>
      <c r="M528" t="b">
        <v>1</v>
      </c>
      <c r="N528" s="7">
        <v>45930</v>
      </c>
      <c r="O528" t="s">
        <v>1187</v>
      </c>
      <c r="P528">
        <v>35.310918209999997</v>
      </c>
      <c r="Q528">
        <v>-120.6627301</v>
      </c>
      <c r="R528" t="s">
        <v>1808</v>
      </c>
      <c r="S528">
        <v>14875</v>
      </c>
      <c r="T528" t="s">
        <v>1809</v>
      </c>
      <c r="U528" t="s">
        <v>2289</v>
      </c>
      <c r="V528">
        <v>95</v>
      </c>
      <c r="W528" t="s">
        <v>2948</v>
      </c>
      <c r="X528" t="b">
        <v>0</v>
      </c>
      <c r="Y528" t="s">
        <v>2116</v>
      </c>
      <c r="Z528" s="6"/>
    </row>
    <row r="529" spans="1:26" ht="14.45" customHeight="1">
      <c r="A529">
        <v>157</v>
      </c>
      <c r="B529" t="s">
        <v>1969</v>
      </c>
      <c r="C529" t="s">
        <v>1970</v>
      </c>
      <c r="D529" t="s">
        <v>1826</v>
      </c>
      <c r="E529" s="7">
        <v>44838</v>
      </c>
      <c r="F529">
        <v>13</v>
      </c>
      <c r="G529">
        <f t="shared" si="8"/>
        <v>0.33019999999999999</v>
      </c>
      <c r="H529" t="s">
        <v>1855</v>
      </c>
      <c r="I529" t="s">
        <v>1971</v>
      </c>
      <c r="J529" t="s">
        <v>1972</v>
      </c>
      <c r="K529" t="s">
        <v>2998</v>
      </c>
      <c r="M529" t="b">
        <v>1</v>
      </c>
      <c r="N529" s="7">
        <v>45930</v>
      </c>
      <c r="O529" t="s">
        <v>1187</v>
      </c>
      <c r="P529">
        <v>35.310870889999997</v>
      </c>
      <c r="Q529">
        <v>-120.6626746</v>
      </c>
      <c r="R529" t="s">
        <v>1808</v>
      </c>
      <c r="S529">
        <v>14881</v>
      </c>
      <c r="T529" t="s">
        <v>1809</v>
      </c>
      <c r="U529" t="s">
        <v>2289</v>
      </c>
      <c r="V529">
        <v>99</v>
      </c>
      <c r="W529" t="s">
        <v>2347</v>
      </c>
      <c r="X529" t="b">
        <v>0</v>
      </c>
      <c r="Y529" t="s">
        <v>2116</v>
      </c>
      <c r="Z529" s="6"/>
    </row>
    <row r="530" spans="1:26" ht="14.45" customHeight="1">
      <c r="A530">
        <v>158</v>
      </c>
      <c r="B530" t="s">
        <v>1969</v>
      </c>
      <c r="C530" t="s">
        <v>1970</v>
      </c>
      <c r="D530" t="s">
        <v>1826</v>
      </c>
      <c r="E530" s="7">
        <v>44838</v>
      </c>
      <c r="F530">
        <v>13</v>
      </c>
      <c r="G530">
        <f t="shared" si="8"/>
        <v>0.33019999999999999</v>
      </c>
      <c r="H530" t="s">
        <v>1855</v>
      </c>
      <c r="I530" t="s">
        <v>1971</v>
      </c>
      <c r="J530" t="s">
        <v>1972</v>
      </c>
      <c r="K530" t="s">
        <v>2999</v>
      </c>
      <c r="M530" t="b">
        <v>1</v>
      </c>
      <c r="N530" s="7">
        <v>45603</v>
      </c>
      <c r="O530" t="s">
        <v>1187</v>
      </c>
      <c r="P530">
        <v>35.31089377</v>
      </c>
      <c r="Q530">
        <v>-120.6626931</v>
      </c>
      <c r="R530" t="s">
        <v>1808</v>
      </c>
      <c r="S530">
        <v>14872</v>
      </c>
      <c r="T530" t="s">
        <v>1809</v>
      </c>
      <c r="U530" t="s">
        <v>2289</v>
      </c>
      <c r="V530">
        <v>92</v>
      </c>
      <c r="W530" t="s">
        <v>2347</v>
      </c>
      <c r="X530" t="b">
        <v>0</v>
      </c>
      <c r="Y530" t="s">
        <v>2116</v>
      </c>
      <c r="Z530" s="6"/>
    </row>
    <row r="531" spans="1:26" ht="14.45" customHeight="1">
      <c r="A531">
        <v>167</v>
      </c>
      <c r="B531" t="s">
        <v>1969</v>
      </c>
      <c r="C531" t="s">
        <v>1970</v>
      </c>
      <c r="D531" t="s">
        <v>1946</v>
      </c>
      <c r="E531" s="7">
        <v>44838</v>
      </c>
      <c r="F531">
        <v>36</v>
      </c>
      <c r="G531">
        <f t="shared" si="8"/>
        <v>0.91439999999999999</v>
      </c>
      <c r="H531" t="s">
        <v>1881</v>
      </c>
      <c r="I531" t="s">
        <v>1971</v>
      </c>
      <c r="J531" t="s">
        <v>1972</v>
      </c>
      <c r="K531" t="s">
        <v>3000</v>
      </c>
      <c r="M531" t="b">
        <v>1</v>
      </c>
      <c r="N531" s="7">
        <v>45603</v>
      </c>
      <c r="O531" t="s">
        <v>1187</v>
      </c>
      <c r="P531">
        <v>35.310897410000003</v>
      </c>
      <c r="Q531">
        <v>-120.6626523</v>
      </c>
      <c r="R531" t="s">
        <v>1808</v>
      </c>
      <c r="S531">
        <v>14879</v>
      </c>
      <c r="T531" t="s">
        <v>1809</v>
      </c>
      <c r="U531" t="s">
        <v>2289</v>
      </c>
      <c r="V531">
        <v>97</v>
      </c>
      <c r="W531" t="s">
        <v>2948</v>
      </c>
      <c r="X531" t="b">
        <v>0</v>
      </c>
      <c r="Y531" t="s">
        <v>2116</v>
      </c>
      <c r="Z531" s="6"/>
    </row>
    <row r="532" spans="1:26" ht="14.45" customHeight="1">
      <c r="A532">
        <v>168</v>
      </c>
      <c r="B532" t="s">
        <v>1969</v>
      </c>
      <c r="C532" t="s">
        <v>1970</v>
      </c>
      <c r="D532" t="s">
        <v>1826</v>
      </c>
      <c r="E532" s="7">
        <v>44838</v>
      </c>
      <c r="F532">
        <v>38</v>
      </c>
      <c r="G532">
        <f t="shared" si="8"/>
        <v>0.96519999999999995</v>
      </c>
      <c r="H532" t="s">
        <v>1881</v>
      </c>
      <c r="I532" t="s">
        <v>1971</v>
      </c>
      <c r="J532" t="s">
        <v>1972</v>
      </c>
      <c r="K532" t="s">
        <v>3001</v>
      </c>
      <c r="M532" t="b">
        <v>1</v>
      </c>
      <c r="N532" s="7">
        <v>45930</v>
      </c>
      <c r="O532" t="s">
        <v>1187</v>
      </c>
      <c r="P532">
        <v>35.310865679999999</v>
      </c>
      <c r="Q532">
        <v>-120.6627084</v>
      </c>
      <c r="R532" t="s">
        <v>1808</v>
      </c>
      <c r="S532">
        <v>14867</v>
      </c>
      <c r="T532" t="s">
        <v>1809</v>
      </c>
      <c r="U532" t="s">
        <v>2289</v>
      </c>
      <c r="V532">
        <v>87</v>
      </c>
      <c r="W532" t="s">
        <v>2948</v>
      </c>
      <c r="X532" t="b">
        <v>0</v>
      </c>
      <c r="Y532" t="s">
        <v>2116</v>
      </c>
      <c r="Z532" s="6"/>
    </row>
    <row r="533" spans="1:26" ht="14.45" customHeight="1">
      <c r="A533">
        <v>237</v>
      </c>
      <c r="B533" t="s">
        <v>3002</v>
      </c>
      <c r="C533" t="s">
        <v>3003</v>
      </c>
      <c r="D533" t="s">
        <v>2003</v>
      </c>
      <c r="E533" s="7">
        <v>44838</v>
      </c>
      <c r="F533">
        <v>22</v>
      </c>
      <c r="G533">
        <f t="shared" si="8"/>
        <v>0.55879999999999996</v>
      </c>
      <c r="H533" t="s">
        <v>1842</v>
      </c>
      <c r="I533" t="s">
        <v>1971</v>
      </c>
      <c r="J533" t="s">
        <v>3004</v>
      </c>
      <c r="K533" t="s">
        <v>3005</v>
      </c>
      <c r="M533" t="b">
        <v>1</v>
      </c>
      <c r="N533" s="7">
        <v>45603</v>
      </c>
      <c r="O533" t="s">
        <v>1186</v>
      </c>
      <c r="P533">
        <v>35.310777590000001</v>
      </c>
      <c r="Q533">
        <v>-120.66264889999999</v>
      </c>
      <c r="R533" t="s">
        <v>1808</v>
      </c>
      <c r="S533">
        <v>14851</v>
      </c>
      <c r="T533" t="s">
        <v>1809</v>
      </c>
      <c r="U533" t="s">
        <v>3006</v>
      </c>
      <c r="V533">
        <v>74</v>
      </c>
      <c r="W533" t="s">
        <v>2347</v>
      </c>
      <c r="X533" t="b">
        <v>0</v>
      </c>
      <c r="Y533" t="s">
        <v>2116</v>
      </c>
      <c r="Z533" s="6"/>
    </row>
    <row r="534" spans="1:26" ht="14.45" customHeight="1">
      <c r="A534">
        <v>505</v>
      </c>
      <c r="B534" t="s">
        <v>3007</v>
      </c>
      <c r="C534" t="s">
        <v>3008</v>
      </c>
      <c r="D534" t="s">
        <v>2003</v>
      </c>
      <c r="E534" s="7">
        <v>44838</v>
      </c>
      <c r="F534">
        <v>9</v>
      </c>
      <c r="G534">
        <f t="shared" si="8"/>
        <v>0.2286</v>
      </c>
      <c r="H534" t="s">
        <v>1804</v>
      </c>
      <c r="I534" t="s">
        <v>3009</v>
      </c>
      <c r="J534" t="s">
        <v>3010</v>
      </c>
      <c r="K534" t="s">
        <v>3011</v>
      </c>
      <c r="M534" t="b">
        <v>1</v>
      </c>
      <c r="N534" s="7">
        <v>45603</v>
      </c>
      <c r="O534" t="s">
        <v>3012</v>
      </c>
      <c r="P534">
        <v>35.310839680000001</v>
      </c>
      <c r="Q534">
        <v>-120.6625892</v>
      </c>
      <c r="R534" t="s">
        <v>1808</v>
      </c>
      <c r="S534">
        <v>14926</v>
      </c>
      <c r="T534" t="s">
        <v>1809</v>
      </c>
      <c r="U534" t="s">
        <v>3013</v>
      </c>
      <c r="V534">
        <v>138</v>
      </c>
      <c r="W534" t="s">
        <v>2948</v>
      </c>
      <c r="X534" t="b">
        <v>0</v>
      </c>
      <c r="Y534" t="s">
        <v>2116</v>
      </c>
      <c r="Z534" s="6"/>
    </row>
    <row r="535" spans="1:26" ht="14.45" customHeight="1">
      <c r="A535">
        <v>506</v>
      </c>
      <c r="B535" t="s">
        <v>3007</v>
      </c>
      <c r="C535" t="s">
        <v>3008</v>
      </c>
      <c r="D535" t="s">
        <v>1826</v>
      </c>
      <c r="E535" s="7">
        <v>44838</v>
      </c>
      <c r="F535">
        <v>10</v>
      </c>
      <c r="G535">
        <f t="shared" si="8"/>
        <v>0.254</v>
      </c>
      <c r="H535" t="s">
        <v>1804</v>
      </c>
      <c r="I535" t="s">
        <v>3009</v>
      </c>
      <c r="J535" t="s">
        <v>3010</v>
      </c>
      <c r="K535" t="s">
        <v>3014</v>
      </c>
      <c r="M535" t="b">
        <v>1</v>
      </c>
      <c r="N535" s="7">
        <v>45603</v>
      </c>
      <c r="O535" t="s">
        <v>3012</v>
      </c>
      <c r="P535">
        <v>35.310849040000001</v>
      </c>
      <c r="Q535">
        <v>-120.66260320000001</v>
      </c>
      <c r="R535" t="s">
        <v>1808</v>
      </c>
      <c r="S535">
        <v>14854</v>
      </c>
      <c r="T535" t="s">
        <v>1809</v>
      </c>
      <c r="U535" t="s">
        <v>3013</v>
      </c>
      <c r="V535">
        <v>77</v>
      </c>
      <c r="W535" t="s">
        <v>2948</v>
      </c>
      <c r="X535" t="b">
        <v>0</v>
      </c>
      <c r="Y535" t="s">
        <v>2116</v>
      </c>
      <c r="Z535" s="6"/>
    </row>
    <row r="536" spans="1:26" ht="14.45" customHeight="1">
      <c r="A536">
        <v>451</v>
      </c>
      <c r="B536" t="s">
        <v>2280</v>
      </c>
      <c r="C536" t="s">
        <v>2281</v>
      </c>
      <c r="D536" t="s">
        <v>1946</v>
      </c>
      <c r="E536" s="7">
        <v>44838</v>
      </c>
      <c r="F536">
        <v>21</v>
      </c>
      <c r="G536">
        <f t="shared" si="8"/>
        <v>0.53339999999999999</v>
      </c>
      <c r="H536" t="s">
        <v>1842</v>
      </c>
      <c r="J536" t="s">
        <v>2282</v>
      </c>
      <c r="K536" t="s">
        <v>3015</v>
      </c>
      <c r="M536" t="b">
        <v>1</v>
      </c>
      <c r="N536" s="7">
        <v>45637</v>
      </c>
      <c r="O536" t="s">
        <v>2284</v>
      </c>
      <c r="P536">
        <v>35.310258109999999</v>
      </c>
      <c r="Q536">
        <v>-120.66089650000001</v>
      </c>
      <c r="R536" t="s">
        <v>1808</v>
      </c>
      <c r="S536">
        <v>14951</v>
      </c>
      <c r="T536" t="s">
        <v>1809</v>
      </c>
      <c r="U536" t="s">
        <v>2285</v>
      </c>
      <c r="V536">
        <v>159</v>
      </c>
      <c r="W536" t="s">
        <v>2844</v>
      </c>
      <c r="X536" t="b">
        <v>0</v>
      </c>
      <c r="Y536" t="s">
        <v>2601</v>
      </c>
      <c r="Z536" s="667"/>
    </row>
    <row r="537" spans="1:26" ht="14.45" customHeight="1">
      <c r="A537">
        <v>565</v>
      </c>
      <c r="B537" t="s">
        <v>2602</v>
      </c>
      <c r="C537" t="s">
        <v>2603</v>
      </c>
      <c r="D537" t="s">
        <v>1946</v>
      </c>
      <c r="E537" s="7">
        <v>44838</v>
      </c>
      <c r="F537">
        <v>22</v>
      </c>
      <c r="G537">
        <f t="shared" si="8"/>
        <v>0.55879999999999996</v>
      </c>
      <c r="H537" t="s">
        <v>1842</v>
      </c>
      <c r="I537" t="s">
        <v>2089</v>
      </c>
      <c r="J537" t="s">
        <v>2604</v>
      </c>
      <c r="K537" t="s">
        <v>3016</v>
      </c>
      <c r="M537" t="b">
        <v>1</v>
      </c>
      <c r="N537" s="7">
        <v>45590</v>
      </c>
      <c r="O537" t="s">
        <v>2606</v>
      </c>
      <c r="P537">
        <v>35.310446489999997</v>
      </c>
      <c r="Q537">
        <v>-120.6625339</v>
      </c>
      <c r="R537" t="s">
        <v>1808</v>
      </c>
      <c r="S537">
        <v>14855</v>
      </c>
      <c r="T537" t="s">
        <v>1809</v>
      </c>
      <c r="U537" t="s">
        <v>2607</v>
      </c>
      <c r="V537">
        <v>78</v>
      </c>
      <c r="W537" t="s">
        <v>2985</v>
      </c>
      <c r="X537" t="b">
        <v>0</v>
      </c>
      <c r="Y537" t="s">
        <v>2075</v>
      </c>
      <c r="Z537" s="667"/>
    </row>
    <row r="538" spans="1:26" ht="14.45" customHeight="1">
      <c r="A538">
        <v>566</v>
      </c>
      <c r="B538" t="s">
        <v>2602</v>
      </c>
      <c r="C538" t="s">
        <v>2603</v>
      </c>
      <c r="D538" t="s">
        <v>1946</v>
      </c>
      <c r="E538" s="7">
        <v>44838</v>
      </c>
      <c r="F538">
        <v>22</v>
      </c>
      <c r="G538">
        <f t="shared" si="8"/>
        <v>0.55879999999999996</v>
      </c>
      <c r="H538" t="s">
        <v>1842</v>
      </c>
      <c r="I538" t="s">
        <v>2089</v>
      </c>
      <c r="J538" t="s">
        <v>2604</v>
      </c>
      <c r="K538" t="s">
        <v>3017</v>
      </c>
      <c r="M538" t="b">
        <v>1</v>
      </c>
      <c r="N538" s="7">
        <v>45590</v>
      </c>
      <c r="O538" t="s">
        <v>2606</v>
      </c>
      <c r="P538">
        <v>35.310460720000002</v>
      </c>
      <c r="Q538">
        <v>-120.6625942</v>
      </c>
      <c r="R538" t="s">
        <v>1808</v>
      </c>
      <c r="S538">
        <v>14853</v>
      </c>
      <c r="T538" t="s">
        <v>1809</v>
      </c>
      <c r="U538" t="s">
        <v>3018</v>
      </c>
      <c r="V538">
        <v>76</v>
      </c>
      <c r="W538" t="s">
        <v>2985</v>
      </c>
      <c r="X538" t="b">
        <v>0</v>
      </c>
      <c r="Y538" t="s">
        <v>2075</v>
      </c>
      <c r="Z538" s="6"/>
    </row>
    <row r="539" spans="1:26" ht="14.45" customHeight="1">
      <c r="A539">
        <v>151</v>
      </c>
      <c r="B539" t="s">
        <v>1969</v>
      </c>
      <c r="C539" t="s">
        <v>1970</v>
      </c>
      <c r="D539" t="s">
        <v>2014</v>
      </c>
      <c r="E539" s="7">
        <v>44838</v>
      </c>
      <c r="F539">
        <v>3</v>
      </c>
      <c r="G539">
        <f t="shared" si="8"/>
        <v>7.619999999999999E-2</v>
      </c>
      <c r="H539" t="s">
        <v>1814</v>
      </c>
      <c r="I539" t="s">
        <v>1971</v>
      </c>
      <c r="J539" t="s">
        <v>1972</v>
      </c>
      <c r="K539" t="s">
        <v>3019</v>
      </c>
      <c r="M539" t="b">
        <v>1</v>
      </c>
      <c r="N539" s="7">
        <v>45610</v>
      </c>
      <c r="O539" t="s">
        <v>1187</v>
      </c>
      <c r="P539">
        <v>35.310494230000003</v>
      </c>
      <c r="Q539">
        <v>-120.6623993</v>
      </c>
      <c r="R539" t="s">
        <v>1808</v>
      </c>
      <c r="S539">
        <v>14864</v>
      </c>
      <c r="T539" t="s">
        <v>1809</v>
      </c>
      <c r="U539" t="s">
        <v>2289</v>
      </c>
      <c r="V539">
        <v>84</v>
      </c>
      <c r="W539" t="s">
        <v>2985</v>
      </c>
      <c r="X539" t="b">
        <v>0</v>
      </c>
      <c r="Y539" t="s">
        <v>2075</v>
      </c>
      <c r="Z539" s="6"/>
    </row>
    <row r="540" spans="1:26" ht="14.45" customHeight="1">
      <c r="A540">
        <v>155</v>
      </c>
      <c r="B540" t="s">
        <v>1969</v>
      </c>
      <c r="C540" t="s">
        <v>1970</v>
      </c>
      <c r="D540" t="s">
        <v>2003</v>
      </c>
      <c r="E540" s="7">
        <v>44838</v>
      </c>
      <c r="F540">
        <v>11</v>
      </c>
      <c r="G540">
        <f t="shared" si="8"/>
        <v>0.27939999999999998</v>
      </c>
      <c r="H540" t="s">
        <v>1804</v>
      </c>
      <c r="I540" t="s">
        <v>1971</v>
      </c>
      <c r="J540" t="s">
        <v>1972</v>
      </c>
      <c r="K540" t="s">
        <v>3020</v>
      </c>
      <c r="M540" t="b">
        <v>1</v>
      </c>
      <c r="N540" s="7">
        <v>45608</v>
      </c>
      <c r="O540" t="s">
        <v>1187</v>
      </c>
      <c r="P540">
        <v>35.310516</v>
      </c>
      <c r="Q540">
        <v>-120.6625382</v>
      </c>
      <c r="R540" t="s">
        <v>1808</v>
      </c>
      <c r="S540">
        <v>14860</v>
      </c>
      <c r="T540" t="s">
        <v>1809</v>
      </c>
      <c r="U540" t="s">
        <v>2289</v>
      </c>
      <c r="V540">
        <v>82</v>
      </c>
      <c r="W540" t="s">
        <v>2985</v>
      </c>
      <c r="X540" t="b">
        <v>0</v>
      </c>
      <c r="Y540" t="s">
        <v>2075</v>
      </c>
      <c r="Z540" s="6"/>
    </row>
    <row r="541" spans="1:26" ht="14.45" customHeight="1">
      <c r="A541">
        <v>159</v>
      </c>
      <c r="B541" t="s">
        <v>1969</v>
      </c>
      <c r="C541" t="s">
        <v>1970</v>
      </c>
      <c r="D541" t="s">
        <v>2003</v>
      </c>
      <c r="E541" s="7">
        <v>44838</v>
      </c>
      <c r="F541">
        <v>19</v>
      </c>
      <c r="G541">
        <f t="shared" si="8"/>
        <v>0.48259999999999997</v>
      </c>
      <c r="H541" t="s">
        <v>1842</v>
      </c>
      <c r="I541" t="s">
        <v>1971</v>
      </c>
      <c r="J541" t="s">
        <v>1972</v>
      </c>
      <c r="K541" t="s">
        <v>3021</v>
      </c>
      <c r="M541" t="b">
        <v>1</v>
      </c>
      <c r="N541" s="7">
        <v>45590</v>
      </c>
      <c r="O541" t="s">
        <v>1187</v>
      </c>
      <c r="P541">
        <v>35.310518719999997</v>
      </c>
      <c r="Q541">
        <v>-120.6624346</v>
      </c>
      <c r="R541" t="s">
        <v>1808</v>
      </c>
      <c r="S541">
        <v>14865</v>
      </c>
      <c r="T541" t="s">
        <v>1809</v>
      </c>
      <c r="U541" t="s">
        <v>2289</v>
      </c>
      <c r="V541">
        <v>85</v>
      </c>
      <c r="W541" t="s">
        <v>2985</v>
      </c>
      <c r="X541" t="b">
        <v>0</v>
      </c>
      <c r="Y541" t="s">
        <v>2075</v>
      </c>
      <c r="Z541" s="6"/>
    </row>
    <row r="542" spans="1:26" ht="14.45" customHeight="1">
      <c r="A542">
        <v>162</v>
      </c>
      <c r="B542" t="s">
        <v>1969</v>
      </c>
      <c r="C542" t="s">
        <v>1970</v>
      </c>
      <c r="D542" t="s">
        <v>1946</v>
      </c>
      <c r="E542" s="7">
        <v>44838</v>
      </c>
      <c r="F542">
        <v>21</v>
      </c>
      <c r="G542">
        <f t="shared" si="8"/>
        <v>0.53339999999999999</v>
      </c>
      <c r="H542" t="s">
        <v>1842</v>
      </c>
      <c r="I542" t="s">
        <v>1971</v>
      </c>
      <c r="J542" t="s">
        <v>1972</v>
      </c>
      <c r="K542" t="s">
        <v>3022</v>
      </c>
      <c r="M542" t="b">
        <v>1</v>
      </c>
      <c r="N542" s="7">
        <v>45610</v>
      </c>
      <c r="O542" t="s">
        <v>1187</v>
      </c>
      <c r="P542">
        <v>35.310451190000002</v>
      </c>
      <c r="Q542">
        <v>-120.6623682</v>
      </c>
      <c r="R542" t="s">
        <v>1808</v>
      </c>
      <c r="S542">
        <v>14873</v>
      </c>
      <c r="T542" t="s">
        <v>1809</v>
      </c>
      <c r="U542" t="s">
        <v>3023</v>
      </c>
      <c r="V542">
        <v>93</v>
      </c>
      <c r="W542" t="s">
        <v>2985</v>
      </c>
      <c r="X542" t="b">
        <v>0</v>
      </c>
      <c r="Y542" t="s">
        <v>2075</v>
      </c>
      <c r="Z542" s="6"/>
    </row>
    <row r="543" spans="1:26" ht="14.45" customHeight="1">
      <c r="A543">
        <v>164</v>
      </c>
      <c r="B543" t="s">
        <v>1969</v>
      </c>
      <c r="C543" t="s">
        <v>1970</v>
      </c>
      <c r="D543" t="s">
        <v>1946</v>
      </c>
      <c r="E543" s="7">
        <v>44838</v>
      </c>
      <c r="F543">
        <v>29</v>
      </c>
      <c r="G543">
        <f t="shared" si="8"/>
        <v>0.73659999999999992</v>
      </c>
      <c r="H543" t="s">
        <v>1866</v>
      </c>
      <c r="I543" t="s">
        <v>1971</v>
      </c>
      <c r="J543" t="s">
        <v>1972</v>
      </c>
      <c r="K543" t="s">
        <v>3024</v>
      </c>
      <c r="M543" t="b">
        <v>1</v>
      </c>
      <c r="N543" s="7">
        <v>45610</v>
      </c>
      <c r="O543" t="s">
        <v>1187</v>
      </c>
      <c r="P543">
        <v>35.31047401</v>
      </c>
      <c r="Q543">
        <v>-120.6623785</v>
      </c>
      <c r="R543" t="s">
        <v>1808</v>
      </c>
      <c r="S543">
        <v>14871</v>
      </c>
      <c r="T543" t="s">
        <v>1809</v>
      </c>
      <c r="U543" t="s">
        <v>2289</v>
      </c>
      <c r="V543">
        <v>91</v>
      </c>
      <c r="W543" t="s">
        <v>2985</v>
      </c>
      <c r="X543" t="b">
        <v>0</v>
      </c>
      <c r="Y543" t="s">
        <v>2075</v>
      </c>
      <c r="Z543" s="6"/>
    </row>
    <row r="544" spans="1:26" ht="14.45" customHeight="1">
      <c r="A544">
        <v>165</v>
      </c>
      <c r="B544" t="s">
        <v>1969</v>
      </c>
      <c r="C544" t="s">
        <v>1970</v>
      </c>
      <c r="D544" t="s">
        <v>1946</v>
      </c>
      <c r="E544" s="7">
        <v>44838</v>
      </c>
      <c r="F544">
        <v>32</v>
      </c>
      <c r="G544">
        <f t="shared" si="8"/>
        <v>0.81279999999999997</v>
      </c>
      <c r="H544" t="s">
        <v>1881</v>
      </c>
      <c r="I544" t="s">
        <v>1971</v>
      </c>
      <c r="J544" t="s">
        <v>1972</v>
      </c>
      <c r="K544" t="s">
        <v>3025</v>
      </c>
      <c r="M544" t="b">
        <v>1</v>
      </c>
      <c r="N544" s="7">
        <v>45638</v>
      </c>
      <c r="O544" t="s">
        <v>1187</v>
      </c>
      <c r="P544">
        <v>35.310392800000002</v>
      </c>
      <c r="Q544">
        <v>-120.6623951</v>
      </c>
      <c r="R544" t="s">
        <v>1808</v>
      </c>
      <c r="S544">
        <v>14870</v>
      </c>
      <c r="T544" t="s">
        <v>1809</v>
      </c>
      <c r="U544" t="s">
        <v>3026</v>
      </c>
      <c r="V544">
        <v>90</v>
      </c>
      <c r="W544" t="s">
        <v>2985</v>
      </c>
      <c r="X544" t="b">
        <v>0</v>
      </c>
      <c r="Y544" t="s">
        <v>2075</v>
      </c>
      <c r="Z544" s="6"/>
    </row>
    <row r="545" spans="1:26" ht="14.45" customHeight="1">
      <c r="A545">
        <v>191</v>
      </c>
      <c r="B545" t="s">
        <v>1624</v>
      </c>
      <c r="C545" t="s">
        <v>2072</v>
      </c>
      <c r="D545" t="s">
        <v>1989</v>
      </c>
      <c r="E545" s="7">
        <v>44838</v>
      </c>
      <c r="F545">
        <v>9</v>
      </c>
      <c r="G545">
        <f t="shared" si="8"/>
        <v>0.2286</v>
      </c>
      <c r="H545" t="s">
        <v>1804</v>
      </c>
      <c r="I545" t="s">
        <v>1982</v>
      </c>
      <c r="J545" t="s">
        <v>1983</v>
      </c>
      <c r="K545" t="s">
        <v>3027</v>
      </c>
      <c r="M545" t="b">
        <v>1</v>
      </c>
      <c r="N545" s="7">
        <v>45610</v>
      </c>
      <c r="O545" t="s">
        <v>2074</v>
      </c>
      <c r="P545">
        <v>35.310260229999997</v>
      </c>
      <c r="Q545">
        <v>-120.6624137</v>
      </c>
      <c r="R545" t="s">
        <v>1808</v>
      </c>
      <c r="S545">
        <v>14905</v>
      </c>
      <c r="T545" t="s">
        <v>1809</v>
      </c>
      <c r="U545" t="s">
        <v>2386</v>
      </c>
      <c r="V545">
        <v>120</v>
      </c>
      <c r="W545" t="s">
        <v>2985</v>
      </c>
      <c r="X545" t="b">
        <v>0</v>
      </c>
      <c r="Y545" t="s">
        <v>2075</v>
      </c>
      <c r="Z545" s="6"/>
    </row>
    <row r="546" spans="1:26" ht="14.45" customHeight="1">
      <c r="A546">
        <v>199</v>
      </c>
      <c r="B546" t="s">
        <v>1624</v>
      </c>
      <c r="C546" t="s">
        <v>2072</v>
      </c>
      <c r="D546" t="s">
        <v>1826</v>
      </c>
      <c r="E546" s="7">
        <v>44838</v>
      </c>
      <c r="F546">
        <v>16</v>
      </c>
      <c r="G546">
        <f t="shared" si="8"/>
        <v>0.40639999999999998</v>
      </c>
      <c r="H546" t="s">
        <v>1855</v>
      </c>
      <c r="I546" t="s">
        <v>1982</v>
      </c>
      <c r="J546" t="s">
        <v>1983</v>
      </c>
      <c r="K546" t="s">
        <v>3028</v>
      </c>
      <c r="M546" t="b">
        <v>1</v>
      </c>
      <c r="N546" s="7">
        <v>45610</v>
      </c>
      <c r="O546" t="s">
        <v>2074</v>
      </c>
      <c r="P546">
        <v>35.310422789999997</v>
      </c>
      <c r="Q546">
        <v>-120.66212</v>
      </c>
      <c r="R546" t="s">
        <v>1808</v>
      </c>
      <c r="S546">
        <v>14936</v>
      </c>
      <c r="T546" t="s">
        <v>1809</v>
      </c>
      <c r="U546" t="s">
        <v>2386</v>
      </c>
      <c r="V546">
        <v>146</v>
      </c>
      <c r="W546" t="s">
        <v>2985</v>
      </c>
      <c r="X546" t="b">
        <v>0</v>
      </c>
      <c r="Y546" t="s">
        <v>2075</v>
      </c>
      <c r="Z546" s="667"/>
    </row>
    <row r="547" spans="1:26" ht="14.45" customHeight="1">
      <c r="A547">
        <v>212</v>
      </c>
      <c r="B547" t="s">
        <v>1624</v>
      </c>
      <c r="C547" t="s">
        <v>2072</v>
      </c>
      <c r="D547" t="s">
        <v>2003</v>
      </c>
      <c r="E547" s="7">
        <v>44838</v>
      </c>
      <c r="F547">
        <v>20</v>
      </c>
      <c r="G547">
        <f t="shared" si="8"/>
        <v>0.50800000000000001</v>
      </c>
      <c r="H547" t="s">
        <v>1842</v>
      </c>
      <c r="I547" t="s">
        <v>1982</v>
      </c>
      <c r="J547" t="s">
        <v>1983</v>
      </c>
      <c r="K547" t="s">
        <v>3029</v>
      </c>
      <c r="M547" t="b">
        <v>1</v>
      </c>
      <c r="N547" s="7">
        <v>45610</v>
      </c>
      <c r="O547" t="s">
        <v>2074</v>
      </c>
      <c r="P547">
        <v>35.310312209999999</v>
      </c>
      <c r="Q547">
        <v>-120.6623936</v>
      </c>
      <c r="R547" t="s">
        <v>1808</v>
      </c>
      <c r="S547">
        <v>14897</v>
      </c>
      <c r="T547" t="s">
        <v>1809</v>
      </c>
      <c r="U547" t="s">
        <v>2386</v>
      </c>
      <c r="V547">
        <v>112</v>
      </c>
      <c r="W547" t="s">
        <v>2985</v>
      </c>
      <c r="X547" t="b">
        <v>0</v>
      </c>
      <c r="Y547" t="s">
        <v>2075</v>
      </c>
      <c r="Z547" s="667"/>
    </row>
    <row r="548" spans="1:26" ht="14.45" customHeight="1">
      <c r="A548">
        <v>274</v>
      </c>
      <c r="B548" t="s">
        <v>2290</v>
      </c>
      <c r="C548" t="s">
        <v>2291</v>
      </c>
      <c r="D548" t="s">
        <v>1826</v>
      </c>
      <c r="E548" s="7">
        <v>44838</v>
      </c>
      <c r="F548">
        <v>15</v>
      </c>
      <c r="G548">
        <f t="shared" si="8"/>
        <v>0.38100000000000001</v>
      </c>
      <c r="H548" t="s">
        <v>1855</v>
      </c>
      <c r="I548" t="s">
        <v>1982</v>
      </c>
      <c r="J548" t="s">
        <v>1983</v>
      </c>
      <c r="K548" t="s">
        <v>3030</v>
      </c>
      <c r="M548" t="b">
        <v>1</v>
      </c>
      <c r="N548" s="7">
        <v>45604</v>
      </c>
      <c r="O548" t="s">
        <v>1393</v>
      </c>
      <c r="P548">
        <v>35.310372139999998</v>
      </c>
      <c r="Q548">
        <v>-120.6620054</v>
      </c>
      <c r="R548" t="s">
        <v>1808</v>
      </c>
      <c r="S548">
        <v>14917</v>
      </c>
      <c r="T548" t="s">
        <v>1809</v>
      </c>
      <c r="U548" t="s">
        <v>3031</v>
      </c>
      <c r="V548">
        <v>130</v>
      </c>
      <c r="W548" t="s">
        <v>2985</v>
      </c>
      <c r="X548" t="b">
        <v>0</v>
      </c>
      <c r="Y548" t="s">
        <v>2075</v>
      </c>
      <c r="Z548" s="667"/>
    </row>
    <row r="549" spans="1:26" ht="14.45" customHeight="1">
      <c r="A549">
        <v>106</v>
      </c>
      <c r="B549" t="s">
        <v>2310</v>
      </c>
      <c r="C549" t="s">
        <v>2311</v>
      </c>
      <c r="D549" t="s">
        <v>2003</v>
      </c>
      <c r="E549" s="7">
        <v>44838</v>
      </c>
      <c r="F549">
        <v>2</v>
      </c>
      <c r="G549">
        <f t="shared" si="8"/>
        <v>5.0799999999999998E-2</v>
      </c>
      <c r="H549" t="s">
        <v>1838</v>
      </c>
      <c r="J549" t="s">
        <v>2312</v>
      </c>
      <c r="K549" t="s">
        <v>3032</v>
      </c>
      <c r="M549" t="b">
        <v>1</v>
      </c>
      <c r="N549" s="7">
        <v>45637</v>
      </c>
      <c r="O549" t="s">
        <v>2314</v>
      </c>
      <c r="P549">
        <v>35.310283429999998</v>
      </c>
      <c r="Q549">
        <v>-120.6625406</v>
      </c>
      <c r="R549" t="s">
        <v>1808</v>
      </c>
      <c r="S549">
        <v>14849</v>
      </c>
      <c r="T549" t="s">
        <v>1809</v>
      </c>
      <c r="U549" t="s">
        <v>2315</v>
      </c>
      <c r="V549">
        <v>72</v>
      </c>
      <c r="W549" t="s">
        <v>2985</v>
      </c>
      <c r="X549" t="b">
        <v>0</v>
      </c>
      <c r="Y549" t="s">
        <v>2075</v>
      </c>
      <c r="Z549" s="6"/>
    </row>
    <row r="550" spans="1:26" ht="14.45" customHeight="1">
      <c r="A550">
        <v>109</v>
      </c>
      <c r="B550" t="s">
        <v>2310</v>
      </c>
      <c r="C550" t="s">
        <v>2311</v>
      </c>
      <c r="D550" t="s">
        <v>2003</v>
      </c>
      <c r="E550" s="7">
        <v>44838</v>
      </c>
      <c r="F550">
        <v>4</v>
      </c>
      <c r="G550">
        <f t="shared" si="8"/>
        <v>0.1016</v>
      </c>
      <c r="H550" t="s">
        <v>1814</v>
      </c>
      <c r="J550" t="s">
        <v>2312</v>
      </c>
      <c r="K550" t="s">
        <v>3033</v>
      </c>
      <c r="M550" t="b">
        <v>1</v>
      </c>
      <c r="N550" s="7">
        <v>45637</v>
      </c>
      <c r="O550" t="s">
        <v>2314</v>
      </c>
      <c r="P550">
        <v>35.3102692</v>
      </c>
      <c r="Q550">
        <v>-120.6625768</v>
      </c>
      <c r="R550" t="s">
        <v>1808</v>
      </c>
      <c r="S550">
        <v>14850</v>
      </c>
      <c r="T550" t="s">
        <v>1809</v>
      </c>
      <c r="U550" t="s">
        <v>2315</v>
      </c>
      <c r="V550">
        <v>73</v>
      </c>
      <c r="W550" t="s">
        <v>2985</v>
      </c>
      <c r="X550" t="b">
        <v>0</v>
      </c>
      <c r="Y550" t="s">
        <v>2075</v>
      </c>
      <c r="Z550" s="6"/>
    </row>
    <row r="551" spans="1:26" ht="14.45" customHeight="1">
      <c r="A551">
        <v>225</v>
      </c>
      <c r="B551" t="s">
        <v>3034</v>
      </c>
      <c r="C551" t="s">
        <v>3035</v>
      </c>
      <c r="D551" t="s">
        <v>1946</v>
      </c>
      <c r="E551" s="7">
        <v>44838</v>
      </c>
      <c r="F551">
        <v>10</v>
      </c>
      <c r="G551">
        <f t="shared" si="8"/>
        <v>0.254</v>
      </c>
      <c r="H551" t="s">
        <v>1804</v>
      </c>
      <c r="J551" t="s">
        <v>2229</v>
      </c>
      <c r="K551" t="s">
        <v>3036</v>
      </c>
      <c r="M551" t="b">
        <v>1</v>
      </c>
      <c r="N551" s="7">
        <v>45637</v>
      </c>
      <c r="O551" t="s">
        <v>3037</v>
      </c>
      <c r="P551">
        <v>35.310373890000001</v>
      </c>
      <c r="Q551">
        <v>-120.6619796</v>
      </c>
      <c r="R551" t="s">
        <v>1808</v>
      </c>
      <c r="S551">
        <v>14920</v>
      </c>
      <c r="T551" t="s">
        <v>1809</v>
      </c>
      <c r="U551" t="s">
        <v>3038</v>
      </c>
      <c r="V551">
        <v>132</v>
      </c>
      <c r="W551" t="s">
        <v>2985</v>
      </c>
      <c r="X551" t="b">
        <v>0</v>
      </c>
      <c r="Y551" t="s">
        <v>2075</v>
      </c>
      <c r="Z551" s="6"/>
    </row>
    <row r="552" spans="1:26" ht="14.45" customHeight="1">
      <c r="A552">
        <v>499</v>
      </c>
      <c r="B552" t="s">
        <v>1668</v>
      </c>
      <c r="C552" t="s">
        <v>2057</v>
      </c>
      <c r="D552" t="s">
        <v>1826</v>
      </c>
      <c r="E552" s="7">
        <v>44824</v>
      </c>
      <c r="F552">
        <v>2</v>
      </c>
      <c r="G552">
        <f t="shared" si="8"/>
        <v>5.0799999999999998E-2</v>
      </c>
      <c r="H552" t="s">
        <v>1838</v>
      </c>
      <c r="I552" t="s">
        <v>1982</v>
      </c>
      <c r="J552" t="s">
        <v>1983</v>
      </c>
      <c r="K552" t="s">
        <v>3039</v>
      </c>
      <c r="M552" t="b">
        <v>1</v>
      </c>
      <c r="N552" s="7">
        <v>45614</v>
      </c>
      <c r="O552" t="s">
        <v>1506</v>
      </c>
      <c r="P552">
        <v>35.310767269999999</v>
      </c>
      <c r="Q552">
        <v>-120.6632582</v>
      </c>
      <c r="R552" t="s">
        <v>1808</v>
      </c>
      <c r="S552">
        <v>14703</v>
      </c>
      <c r="T552" t="s">
        <v>1809</v>
      </c>
      <c r="U552" t="s">
        <v>2059</v>
      </c>
      <c r="V552">
        <v>47</v>
      </c>
      <c r="W552" t="s">
        <v>2347</v>
      </c>
      <c r="X552" t="b">
        <v>0</v>
      </c>
      <c r="Y552" t="s">
        <v>1811</v>
      </c>
      <c r="Z552" s="6"/>
    </row>
    <row r="553" spans="1:26" ht="14.45" customHeight="1">
      <c r="A553">
        <v>541</v>
      </c>
      <c r="B553" t="s">
        <v>2102</v>
      </c>
      <c r="C553" t="s">
        <v>2103</v>
      </c>
      <c r="D553" t="s">
        <v>2003</v>
      </c>
      <c r="E553" s="7">
        <v>44824</v>
      </c>
      <c r="F553">
        <v>6</v>
      </c>
      <c r="G553">
        <f t="shared" si="8"/>
        <v>0.15239999999999998</v>
      </c>
      <c r="H553" t="s">
        <v>1804</v>
      </c>
      <c r="I553" t="s">
        <v>2104</v>
      </c>
      <c r="J553" t="s">
        <v>2105</v>
      </c>
      <c r="K553" t="s">
        <v>3040</v>
      </c>
      <c r="M553" t="b">
        <v>1</v>
      </c>
      <c r="N553" s="7">
        <v>45603</v>
      </c>
      <c r="O553" t="s">
        <v>2107</v>
      </c>
      <c r="P553">
        <v>35.310806650000004</v>
      </c>
      <c r="Q553">
        <v>-120.66320279999999</v>
      </c>
      <c r="R553" t="s">
        <v>1808</v>
      </c>
      <c r="S553">
        <v>14701</v>
      </c>
      <c r="T553" t="s">
        <v>1809</v>
      </c>
      <c r="U553" t="s">
        <v>2108</v>
      </c>
      <c r="V553">
        <v>45</v>
      </c>
      <c r="W553" t="s">
        <v>2948</v>
      </c>
      <c r="X553" t="b">
        <v>0</v>
      </c>
      <c r="Y553" t="s">
        <v>1811</v>
      </c>
      <c r="Z553" s="667"/>
    </row>
    <row r="554" spans="1:26" ht="14.45" customHeight="1">
      <c r="A554">
        <v>518</v>
      </c>
      <c r="B554" t="s">
        <v>1886</v>
      </c>
      <c r="C554" t="s">
        <v>1887</v>
      </c>
      <c r="D554" t="s">
        <v>1826</v>
      </c>
      <c r="E554" s="7">
        <v>44824</v>
      </c>
      <c r="F554">
        <v>10</v>
      </c>
      <c r="G554">
        <f t="shared" si="8"/>
        <v>0.254</v>
      </c>
      <c r="H554" t="s">
        <v>1804</v>
      </c>
      <c r="I554" t="s">
        <v>1888</v>
      </c>
      <c r="J554" t="s">
        <v>1889</v>
      </c>
      <c r="K554" t="s">
        <v>3041</v>
      </c>
      <c r="M554" t="b">
        <v>1</v>
      </c>
      <c r="N554" s="7">
        <v>45923</v>
      </c>
      <c r="O554" t="s">
        <v>1891</v>
      </c>
      <c r="P554">
        <v>35.310559830000003</v>
      </c>
      <c r="Q554">
        <v>-120.6633709</v>
      </c>
      <c r="R554" t="s">
        <v>1808</v>
      </c>
      <c r="S554">
        <v>14680</v>
      </c>
      <c r="T554" t="s">
        <v>1809</v>
      </c>
      <c r="U554" t="s">
        <v>2368</v>
      </c>
      <c r="V554">
        <v>26</v>
      </c>
      <c r="W554" t="s">
        <v>2684</v>
      </c>
      <c r="X554" t="b">
        <v>0</v>
      </c>
      <c r="Y554" t="s">
        <v>1811</v>
      </c>
      <c r="Z554" s="667"/>
    </row>
    <row r="555" spans="1:26" ht="14.45" customHeight="1">
      <c r="A555">
        <v>28</v>
      </c>
      <c r="B555" t="s">
        <v>2397</v>
      </c>
      <c r="C555" t="s">
        <v>2212</v>
      </c>
      <c r="D555" t="s">
        <v>2003</v>
      </c>
      <c r="E555" s="7">
        <v>44824</v>
      </c>
      <c r="F555">
        <v>26</v>
      </c>
      <c r="G555">
        <f t="shared" si="8"/>
        <v>0.66039999999999999</v>
      </c>
      <c r="H555" t="s">
        <v>1866</v>
      </c>
      <c r="J555" t="s">
        <v>2212</v>
      </c>
      <c r="K555" t="s">
        <v>3042</v>
      </c>
      <c r="M555" t="b">
        <v>1</v>
      </c>
      <c r="N555" s="7">
        <v>45608</v>
      </c>
      <c r="O555" t="s">
        <v>2399</v>
      </c>
      <c r="P555">
        <v>35.31052905</v>
      </c>
      <c r="Q555">
        <v>-120.6632821</v>
      </c>
      <c r="R555" t="s">
        <v>1808</v>
      </c>
      <c r="S555">
        <v>14699</v>
      </c>
      <c r="T555" t="s">
        <v>1809</v>
      </c>
      <c r="U555" t="s">
        <v>3043</v>
      </c>
      <c r="V555">
        <v>44</v>
      </c>
      <c r="W555" t="s">
        <v>2347</v>
      </c>
      <c r="X555" t="b">
        <v>0</v>
      </c>
      <c r="Y555" t="s">
        <v>1811</v>
      </c>
      <c r="Z555" s="6"/>
    </row>
    <row r="556" spans="1:26" ht="14.45" customHeight="1">
      <c r="A556">
        <v>30</v>
      </c>
      <c r="B556" t="s">
        <v>2397</v>
      </c>
      <c r="C556" t="s">
        <v>2212</v>
      </c>
      <c r="D556" t="s">
        <v>2003</v>
      </c>
      <c r="E556" s="7">
        <v>44824</v>
      </c>
      <c r="F556">
        <v>35</v>
      </c>
      <c r="G556">
        <f t="shared" si="8"/>
        <v>0.88900000000000001</v>
      </c>
      <c r="H556" t="s">
        <v>1881</v>
      </c>
      <c r="J556" t="s">
        <v>2212</v>
      </c>
      <c r="K556" t="s">
        <v>3044</v>
      </c>
      <c r="M556" t="b">
        <v>1</v>
      </c>
      <c r="N556" s="7">
        <v>45923</v>
      </c>
      <c r="O556" t="s">
        <v>2399</v>
      </c>
      <c r="P556">
        <v>35.310530499999999</v>
      </c>
      <c r="Q556">
        <v>-120.66332060000001</v>
      </c>
      <c r="R556" t="s">
        <v>1808</v>
      </c>
      <c r="S556">
        <v>14681</v>
      </c>
      <c r="T556" t="s">
        <v>1809</v>
      </c>
      <c r="U556" t="s">
        <v>3043</v>
      </c>
      <c r="V556">
        <v>27</v>
      </c>
      <c r="W556" t="s">
        <v>2347</v>
      </c>
      <c r="X556" t="b">
        <v>0</v>
      </c>
      <c r="Y556" t="s">
        <v>1811</v>
      </c>
      <c r="Z556" s="6"/>
    </row>
    <row r="557" spans="1:26" ht="14.45" customHeight="1">
      <c r="A557">
        <v>31</v>
      </c>
      <c r="B557" t="s">
        <v>2397</v>
      </c>
      <c r="C557" t="s">
        <v>2212</v>
      </c>
      <c r="D557" t="s">
        <v>2003</v>
      </c>
      <c r="E557" s="7">
        <v>44824</v>
      </c>
      <c r="F557">
        <v>41</v>
      </c>
      <c r="G557">
        <f t="shared" si="8"/>
        <v>1.0413999999999999</v>
      </c>
      <c r="H557" t="s">
        <v>1881</v>
      </c>
      <c r="J557" t="s">
        <v>2212</v>
      </c>
      <c r="K557" t="s">
        <v>3045</v>
      </c>
      <c r="M557" t="b">
        <v>1</v>
      </c>
      <c r="N557" s="7">
        <v>45923</v>
      </c>
      <c r="O557" t="s">
        <v>2399</v>
      </c>
      <c r="P557">
        <v>35.310597129999998</v>
      </c>
      <c r="Q557">
        <v>-120.6633391</v>
      </c>
      <c r="R557" t="s">
        <v>1808</v>
      </c>
      <c r="S557">
        <v>14697</v>
      </c>
      <c r="T557" t="s">
        <v>1809</v>
      </c>
      <c r="U557" t="s">
        <v>3043</v>
      </c>
      <c r="V557">
        <v>42</v>
      </c>
      <c r="W557" t="s">
        <v>2347</v>
      </c>
      <c r="X557" t="b">
        <v>0</v>
      </c>
      <c r="Y557" t="s">
        <v>1811</v>
      </c>
      <c r="Z557" s="667"/>
    </row>
    <row r="558" spans="1:26" ht="14.45" customHeight="1">
      <c r="A558">
        <v>32</v>
      </c>
      <c r="B558" t="s">
        <v>2397</v>
      </c>
      <c r="C558" t="s">
        <v>2212</v>
      </c>
      <c r="D558" t="s">
        <v>2003</v>
      </c>
      <c r="E558" s="7">
        <v>44824</v>
      </c>
      <c r="F558">
        <v>49</v>
      </c>
      <c r="G558">
        <f t="shared" si="8"/>
        <v>1.2445999999999999</v>
      </c>
      <c r="H558" t="s">
        <v>1881</v>
      </c>
      <c r="J558" t="s">
        <v>2212</v>
      </c>
      <c r="K558" t="s">
        <v>3046</v>
      </c>
      <c r="M558" t="b">
        <v>1</v>
      </c>
      <c r="N558" s="7">
        <v>45923</v>
      </c>
      <c r="O558" t="s">
        <v>2399</v>
      </c>
      <c r="P558">
        <v>35.310580999999999</v>
      </c>
      <c r="Q558">
        <v>-120.6632208</v>
      </c>
      <c r="R558" t="s">
        <v>1808</v>
      </c>
      <c r="S558">
        <v>14695</v>
      </c>
      <c r="T558" t="s">
        <v>1809</v>
      </c>
      <c r="U558" t="s">
        <v>3043</v>
      </c>
      <c r="V558">
        <v>40</v>
      </c>
      <c r="W558" t="s">
        <v>2347</v>
      </c>
      <c r="X558" t="b">
        <v>0</v>
      </c>
      <c r="Y558" t="s">
        <v>1811</v>
      </c>
      <c r="Z558" s="667"/>
    </row>
    <row r="559" spans="1:26" ht="14.45" customHeight="1">
      <c r="A559">
        <v>502</v>
      </c>
      <c r="B559" t="s">
        <v>1668</v>
      </c>
      <c r="C559" t="s">
        <v>2057</v>
      </c>
      <c r="D559" t="s">
        <v>1826</v>
      </c>
      <c r="E559" s="7">
        <v>44824</v>
      </c>
      <c r="F559">
        <v>30</v>
      </c>
      <c r="G559">
        <f t="shared" si="8"/>
        <v>0.76200000000000001</v>
      </c>
      <c r="H559" t="s">
        <v>1881</v>
      </c>
      <c r="I559" t="s">
        <v>1982</v>
      </c>
      <c r="J559" t="s">
        <v>1983</v>
      </c>
      <c r="K559" t="s">
        <v>3047</v>
      </c>
      <c r="M559" t="b">
        <v>1</v>
      </c>
      <c r="N559" s="7">
        <v>45923</v>
      </c>
      <c r="O559" t="s">
        <v>1506</v>
      </c>
      <c r="P559">
        <v>35.310383059999999</v>
      </c>
      <c r="Q559">
        <v>-120.6631072</v>
      </c>
      <c r="R559" t="s">
        <v>1808</v>
      </c>
      <c r="S559">
        <v>14646</v>
      </c>
      <c r="T559" t="s">
        <v>1809</v>
      </c>
      <c r="U559" t="s">
        <v>2059</v>
      </c>
      <c r="V559">
        <v>3</v>
      </c>
      <c r="W559" t="s">
        <v>2899</v>
      </c>
      <c r="X559" t="b">
        <v>0</v>
      </c>
      <c r="Y559" t="s">
        <v>1968</v>
      </c>
      <c r="Z559" s="667"/>
    </row>
    <row r="560" spans="1:26" ht="14.45" customHeight="1">
      <c r="A560">
        <v>131</v>
      </c>
      <c r="B560" t="s">
        <v>2294</v>
      </c>
      <c r="C560" t="s">
        <v>2295</v>
      </c>
      <c r="D560" t="s">
        <v>1946</v>
      </c>
      <c r="E560" s="7">
        <v>44824</v>
      </c>
      <c r="F560">
        <v>26</v>
      </c>
      <c r="G560">
        <f t="shared" si="8"/>
        <v>0.66039999999999999</v>
      </c>
      <c r="H560" t="s">
        <v>1866</v>
      </c>
      <c r="I560" t="s">
        <v>1882</v>
      </c>
      <c r="J560" t="s">
        <v>2150</v>
      </c>
      <c r="K560" t="s">
        <v>3048</v>
      </c>
      <c r="L560" t="s">
        <v>3049</v>
      </c>
      <c r="M560" t="b">
        <v>1</v>
      </c>
      <c r="N560" s="7">
        <v>45587</v>
      </c>
      <c r="O560" t="s">
        <v>1402</v>
      </c>
      <c r="P560">
        <v>35.310185760000003</v>
      </c>
      <c r="Q560">
        <v>-120.66300579999999</v>
      </c>
      <c r="R560" t="s">
        <v>1808</v>
      </c>
      <c r="S560">
        <v>14642</v>
      </c>
      <c r="T560" t="s">
        <v>1809</v>
      </c>
      <c r="U560" t="s">
        <v>3050</v>
      </c>
      <c r="V560">
        <v>1</v>
      </c>
      <c r="W560" t="s">
        <v>3051</v>
      </c>
      <c r="X560" t="b">
        <v>0</v>
      </c>
      <c r="Y560" t="s">
        <v>1968</v>
      </c>
      <c r="Z560" s="667"/>
    </row>
    <row r="561" spans="1:26" ht="14.45" customHeight="1">
      <c r="A561">
        <v>477</v>
      </c>
      <c r="B561" t="s">
        <v>2910</v>
      </c>
      <c r="C561" t="s">
        <v>2911</v>
      </c>
      <c r="D561" t="s">
        <v>2003</v>
      </c>
      <c r="E561" s="7">
        <v>44824</v>
      </c>
      <c r="F561">
        <v>11</v>
      </c>
      <c r="G561">
        <f t="shared" si="8"/>
        <v>0.27939999999999998</v>
      </c>
      <c r="H561" t="s">
        <v>1804</v>
      </c>
      <c r="I561" t="s">
        <v>2004</v>
      </c>
      <c r="J561" t="s">
        <v>2912</v>
      </c>
      <c r="K561" t="s">
        <v>3052</v>
      </c>
      <c r="M561" t="b">
        <v>1</v>
      </c>
      <c r="N561" s="7">
        <v>45608</v>
      </c>
      <c r="O561" t="s">
        <v>2914</v>
      </c>
      <c r="P561">
        <v>35.310503259999997</v>
      </c>
      <c r="Q561">
        <v>-120.663083</v>
      </c>
      <c r="R561" t="s">
        <v>1808</v>
      </c>
      <c r="S561">
        <v>14673</v>
      </c>
      <c r="T561" t="s">
        <v>1809</v>
      </c>
      <c r="U561" t="s">
        <v>3053</v>
      </c>
      <c r="V561">
        <v>21</v>
      </c>
      <c r="W561" t="s">
        <v>2684</v>
      </c>
      <c r="X561" t="b">
        <v>0</v>
      </c>
      <c r="Y561" t="s">
        <v>2249</v>
      </c>
      <c r="Z561" s="667"/>
    </row>
    <row r="562" spans="1:26" ht="14.45" customHeight="1">
      <c r="A562">
        <v>205</v>
      </c>
      <c r="B562" t="s">
        <v>1624</v>
      </c>
      <c r="C562" t="s">
        <v>2072</v>
      </c>
      <c r="D562" t="s">
        <v>2003</v>
      </c>
      <c r="E562" s="7">
        <v>44824</v>
      </c>
      <c r="F562">
        <v>17</v>
      </c>
      <c r="G562">
        <f t="shared" si="8"/>
        <v>0.43179999999999996</v>
      </c>
      <c r="H562" t="s">
        <v>1855</v>
      </c>
      <c r="I562" t="s">
        <v>1982</v>
      </c>
      <c r="J562" t="s">
        <v>1983</v>
      </c>
      <c r="K562" t="s">
        <v>3054</v>
      </c>
      <c r="M562" t="b">
        <v>1</v>
      </c>
      <c r="N562" s="7">
        <v>45587</v>
      </c>
      <c r="O562" t="s">
        <v>2074</v>
      </c>
      <c r="P562">
        <v>35.310300669999997</v>
      </c>
      <c r="Q562">
        <v>-120.66293469999999</v>
      </c>
      <c r="R562" t="s">
        <v>1808</v>
      </c>
      <c r="S562">
        <v>14678</v>
      </c>
      <c r="T562" t="s">
        <v>1809</v>
      </c>
      <c r="U562" t="s">
        <v>2386</v>
      </c>
      <c r="V562">
        <v>24</v>
      </c>
      <c r="W562" t="s">
        <v>3055</v>
      </c>
      <c r="X562" t="b">
        <v>0</v>
      </c>
      <c r="Y562" t="s">
        <v>2249</v>
      </c>
      <c r="Z562" s="667"/>
    </row>
    <row r="563" spans="1:26" ht="14.45" customHeight="1">
      <c r="A563">
        <v>466</v>
      </c>
      <c r="B563" t="s">
        <v>3056</v>
      </c>
      <c r="C563" t="s">
        <v>3057</v>
      </c>
      <c r="D563" t="s">
        <v>1826</v>
      </c>
      <c r="E563" s="7">
        <v>44824</v>
      </c>
      <c r="F563">
        <v>33</v>
      </c>
      <c r="G563">
        <f t="shared" si="8"/>
        <v>0.83819999999999995</v>
      </c>
      <c r="H563" t="s">
        <v>1881</v>
      </c>
      <c r="I563" t="s">
        <v>1856</v>
      </c>
      <c r="J563" t="s">
        <v>2212</v>
      </c>
      <c r="K563" t="s">
        <v>3058</v>
      </c>
      <c r="M563" t="b">
        <v>1</v>
      </c>
      <c r="N563" s="7">
        <v>45637</v>
      </c>
      <c r="O563" t="s">
        <v>3059</v>
      </c>
      <c r="P563">
        <v>35.31048612</v>
      </c>
      <c r="Q563">
        <v>-120.663149</v>
      </c>
      <c r="R563" t="s">
        <v>1808</v>
      </c>
      <c r="S563">
        <v>14672</v>
      </c>
      <c r="T563" t="s">
        <v>1809</v>
      </c>
      <c r="U563" t="s">
        <v>3060</v>
      </c>
      <c r="V563">
        <v>20</v>
      </c>
      <c r="W563" t="s">
        <v>2684</v>
      </c>
      <c r="X563" t="b">
        <v>0</v>
      </c>
      <c r="Y563" t="s">
        <v>2249</v>
      </c>
      <c r="Z563" s="667"/>
    </row>
    <row r="564" spans="1:26" ht="14.45" customHeight="1">
      <c r="A564">
        <v>378</v>
      </c>
      <c r="B564" t="s">
        <v>3061</v>
      </c>
      <c r="C564" t="s">
        <v>3062</v>
      </c>
      <c r="D564" t="s">
        <v>1826</v>
      </c>
      <c r="E564" s="7">
        <v>44824</v>
      </c>
      <c r="F564">
        <v>22</v>
      </c>
      <c r="G564">
        <f t="shared" si="8"/>
        <v>0.55879999999999996</v>
      </c>
      <c r="H564" t="s">
        <v>1842</v>
      </c>
      <c r="J564" t="s">
        <v>2619</v>
      </c>
      <c r="K564" t="s">
        <v>3063</v>
      </c>
      <c r="M564" t="b">
        <v>1</v>
      </c>
      <c r="N564" s="7">
        <v>45608</v>
      </c>
      <c r="O564" t="s">
        <v>3064</v>
      </c>
      <c r="P564">
        <v>35.310391029999998</v>
      </c>
      <c r="Q564">
        <v>-120.6628492</v>
      </c>
      <c r="R564" t="s">
        <v>1808</v>
      </c>
      <c r="S564">
        <v>14712</v>
      </c>
      <c r="T564" t="s">
        <v>1809</v>
      </c>
      <c r="U564" t="s">
        <v>3065</v>
      </c>
      <c r="V564">
        <v>53</v>
      </c>
      <c r="W564" t="s">
        <v>2985</v>
      </c>
      <c r="X564" t="b">
        <v>0</v>
      </c>
      <c r="Y564" t="s">
        <v>2249</v>
      </c>
      <c r="Z564" s="667"/>
    </row>
    <row r="565" spans="1:26" ht="14.45" customHeight="1">
      <c r="A565">
        <v>339</v>
      </c>
      <c r="B565" t="s">
        <v>2439</v>
      </c>
      <c r="C565" t="s">
        <v>2440</v>
      </c>
      <c r="D565" t="s">
        <v>2003</v>
      </c>
      <c r="E565" s="7">
        <v>44824</v>
      </c>
      <c r="F565">
        <v>9</v>
      </c>
      <c r="G565">
        <f t="shared" si="8"/>
        <v>0.2286</v>
      </c>
      <c r="H565" t="s">
        <v>1804</v>
      </c>
      <c r="I565" t="s">
        <v>1971</v>
      </c>
      <c r="J565" t="s">
        <v>2380</v>
      </c>
      <c r="K565" t="s">
        <v>3066</v>
      </c>
      <c r="M565" t="b">
        <v>1</v>
      </c>
      <c r="N565" s="7">
        <v>45637</v>
      </c>
      <c r="O565" t="s">
        <v>2442</v>
      </c>
      <c r="P565">
        <v>35.310560850000002</v>
      </c>
      <c r="Q565">
        <v>-120.6619587</v>
      </c>
      <c r="R565" t="s">
        <v>1808</v>
      </c>
      <c r="S565">
        <v>14724</v>
      </c>
      <c r="T565" t="s">
        <v>1809</v>
      </c>
      <c r="U565" t="s">
        <v>3067</v>
      </c>
      <c r="V565">
        <v>64</v>
      </c>
      <c r="W565" t="s">
        <v>2983</v>
      </c>
      <c r="X565" t="b">
        <v>0</v>
      </c>
      <c r="Y565" t="s">
        <v>2055</v>
      </c>
      <c r="Z565" s="6"/>
    </row>
    <row r="566" spans="1:26" ht="14.45" customHeight="1">
      <c r="A566">
        <v>340</v>
      </c>
      <c r="B566" t="s">
        <v>2439</v>
      </c>
      <c r="C566" t="s">
        <v>2440</v>
      </c>
      <c r="D566" t="s">
        <v>2003</v>
      </c>
      <c r="E566" s="7">
        <v>44824</v>
      </c>
      <c r="F566">
        <v>9</v>
      </c>
      <c r="G566">
        <f t="shared" si="8"/>
        <v>0.2286</v>
      </c>
      <c r="H566" t="s">
        <v>1804</v>
      </c>
      <c r="I566" t="s">
        <v>1971</v>
      </c>
      <c r="J566" t="s">
        <v>2380</v>
      </c>
      <c r="K566" t="s">
        <v>3068</v>
      </c>
      <c r="M566" t="b">
        <v>1</v>
      </c>
      <c r="N566" s="7">
        <v>45637</v>
      </c>
      <c r="O566" t="s">
        <v>2442</v>
      </c>
      <c r="P566">
        <v>35.310550999999997</v>
      </c>
      <c r="Q566">
        <v>-120.66193730000001</v>
      </c>
      <c r="R566" t="s">
        <v>1808</v>
      </c>
      <c r="S566">
        <v>14717</v>
      </c>
      <c r="T566" t="s">
        <v>1809</v>
      </c>
      <c r="U566" t="s">
        <v>3067</v>
      </c>
      <c r="V566">
        <v>58</v>
      </c>
      <c r="W566" t="s">
        <v>2983</v>
      </c>
      <c r="X566" t="b">
        <v>0</v>
      </c>
      <c r="Y566" t="s">
        <v>2055</v>
      </c>
      <c r="Z566" s="6"/>
    </row>
    <row r="567" spans="1:26" ht="14.45" customHeight="1">
      <c r="A567">
        <v>428</v>
      </c>
      <c r="B567" t="s">
        <v>2027</v>
      </c>
      <c r="C567" t="s">
        <v>2028</v>
      </c>
      <c r="D567" t="s">
        <v>1826</v>
      </c>
      <c r="E567" s="7">
        <v>44824</v>
      </c>
      <c r="F567">
        <v>6</v>
      </c>
      <c r="G567">
        <f t="shared" si="8"/>
        <v>0.15239999999999998</v>
      </c>
      <c r="H567" t="s">
        <v>1804</v>
      </c>
      <c r="J567" t="s">
        <v>1983</v>
      </c>
      <c r="K567" t="s">
        <v>3069</v>
      </c>
      <c r="M567" t="b">
        <v>1</v>
      </c>
      <c r="N567" s="7">
        <v>45637</v>
      </c>
      <c r="O567" t="s">
        <v>2030</v>
      </c>
      <c r="P567">
        <v>35.310568889999999</v>
      </c>
      <c r="Q567">
        <v>-120.66212350000001</v>
      </c>
      <c r="R567" t="s">
        <v>1808</v>
      </c>
      <c r="S567">
        <v>14687</v>
      </c>
      <c r="T567" t="s">
        <v>1809</v>
      </c>
      <c r="U567" t="s">
        <v>3070</v>
      </c>
      <c r="V567">
        <v>33</v>
      </c>
      <c r="W567" t="s">
        <v>2899</v>
      </c>
      <c r="X567" t="b">
        <v>0</v>
      </c>
      <c r="Y567" t="s">
        <v>2055</v>
      </c>
      <c r="Z567" s="6"/>
    </row>
    <row r="568" spans="1:26" ht="14.45" customHeight="1">
      <c r="A568">
        <v>444</v>
      </c>
      <c r="B568" t="s">
        <v>2280</v>
      </c>
      <c r="C568" t="s">
        <v>2281</v>
      </c>
      <c r="D568" t="s">
        <v>1826</v>
      </c>
      <c r="E568" s="7">
        <v>44824</v>
      </c>
      <c r="F568">
        <v>4</v>
      </c>
      <c r="G568">
        <f t="shared" si="8"/>
        <v>0.1016</v>
      </c>
      <c r="H568" t="s">
        <v>1814</v>
      </c>
      <c r="J568" t="s">
        <v>2282</v>
      </c>
      <c r="K568" t="s">
        <v>3071</v>
      </c>
      <c r="M568" t="b">
        <v>1</v>
      </c>
      <c r="N568" s="7">
        <v>45614</v>
      </c>
      <c r="O568" t="s">
        <v>2284</v>
      </c>
      <c r="P568">
        <v>35.310590779999998</v>
      </c>
      <c r="Q568">
        <v>-120.662165</v>
      </c>
      <c r="R568" t="s">
        <v>1808</v>
      </c>
      <c r="S568">
        <v>14698</v>
      </c>
      <c r="T568" t="s">
        <v>1809</v>
      </c>
      <c r="U568" t="s">
        <v>3072</v>
      </c>
      <c r="V568">
        <v>43</v>
      </c>
      <c r="W568" t="s">
        <v>2983</v>
      </c>
      <c r="X568" t="b">
        <v>0</v>
      </c>
      <c r="Y568" t="s">
        <v>2055</v>
      </c>
      <c r="Z568" s="6"/>
    </row>
    <row r="569" spans="1:26" ht="14.45" customHeight="1">
      <c r="A569">
        <v>446</v>
      </c>
      <c r="B569" t="s">
        <v>2280</v>
      </c>
      <c r="C569" t="s">
        <v>2281</v>
      </c>
      <c r="D569" t="s">
        <v>1826</v>
      </c>
      <c r="E569" s="7">
        <v>44824</v>
      </c>
      <c r="F569">
        <v>12</v>
      </c>
      <c r="G569">
        <f t="shared" si="8"/>
        <v>0.30479999999999996</v>
      </c>
      <c r="H569" t="s">
        <v>1855</v>
      </c>
      <c r="J569" t="s">
        <v>2282</v>
      </c>
      <c r="K569" t="s">
        <v>3073</v>
      </c>
      <c r="M569" t="b">
        <v>1</v>
      </c>
      <c r="N569" s="7">
        <v>45614</v>
      </c>
      <c r="O569" t="s">
        <v>2284</v>
      </c>
      <c r="P569">
        <v>35.31056452</v>
      </c>
      <c r="Q569">
        <v>-120.66219049999999</v>
      </c>
      <c r="R569" t="s">
        <v>1808</v>
      </c>
      <c r="S569">
        <v>14693</v>
      </c>
      <c r="T569" t="s">
        <v>1809</v>
      </c>
      <c r="U569" t="s">
        <v>2285</v>
      </c>
      <c r="V569">
        <v>39</v>
      </c>
      <c r="W569" t="s">
        <v>2899</v>
      </c>
      <c r="X569" t="b">
        <v>0</v>
      </c>
      <c r="Y569" t="s">
        <v>2055</v>
      </c>
      <c r="Z569" s="6"/>
    </row>
    <row r="570" spans="1:26" ht="14.45" customHeight="1">
      <c r="A570">
        <v>450</v>
      </c>
      <c r="B570" t="s">
        <v>2280</v>
      </c>
      <c r="C570" t="s">
        <v>2281</v>
      </c>
      <c r="D570" t="s">
        <v>1826</v>
      </c>
      <c r="E570" s="7">
        <v>44824</v>
      </c>
      <c r="F570">
        <v>17</v>
      </c>
      <c r="G570">
        <f t="shared" si="8"/>
        <v>0.43179999999999996</v>
      </c>
      <c r="H570" t="s">
        <v>1855</v>
      </c>
      <c r="J570" t="s">
        <v>2282</v>
      </c>
      <c r="K570" t="s">
        <v>3074</v>
      </c>
      <c r="M570" t="b">
        <v>1</v>
      </c>
      <c r="N570" s="7">
        <v>45614</v>
      </c>
      <c r="O570" t="s">
        <v>2284</v>
      </c>
      <c r="P570">
        <v>35.310601730000002</v>
      </c>
      <c r="Q570">
        <v>-120.6620779</v>
      </c>
      <c r="R570" t="s">
        <v>1808</v>
      </c>
      <c r="S570">
        <v>14684</v>
      </c>
      <c r="T570" t="s">
        <v>1809</v>
      </c>
      <c r="U570" t="s">
        <v>3075</v>
      </c>
      <c r="V570">
        <v>30</v>
      </c>
      <c r="W570" t="s">
        <v>2899</v>
      </c>
      <c r="X570" t="b">
        <v>0</v>
      </c>
      <c r="Y570" t="s">
        <v>2055</v>
      </c>
      <c r="Z570" s="6"/>
    </row>
    <row r="571" spans="1:26" ht="14.45" customHeight="1">
      <c r="A571">
        <v>452</v>
      </c>
      <c r="B571" t="s">
        <v>2280</v>
      </c>
      <c r="C571" t="s">
        <v>2281</v>
      </c>
      <c r="D571" t="s">
        <v>1826</v>
      </c>
      <c r="E571" s="7">
        <v>44824</v>
      </c>
      <c r="F571">
        <v>34</v>
      </c>
      <c r="G571">
        <f t="shared" si="8"/>
        <v>0.86359999999999992</v>
      </c>
      <c r="H571" t="s">
        <v>1881</v>
      </c>
      <c r="J571" t="s">
        <v>2282</v>
      </c>
      <c r="K571" t="s">
        <v>3076</v>
      </c>
      <c r="M571" t="b">
        <v>1</v>
      </c>
      <c r="N571" s="7">
        <v>45614</v>
      </c>
      <c r="O571" t="s">
        <v>2284</v>
      </c>
      <c r="P571">
        <v>35.310554670000002</v>
      </c>
      <c r="Q571">
        <v>-120.6620551</v>
      </c>
      <c r="R571" t="s">
        <v>1808</v>
      </c>
      <c r="S571">
        <v>14686</v>
      </c>
      <c r="T571" t="s">
        <v>1809</v>
      </c>
      <c r="U571" t="s">
        <v>3075</v>
      </c>
      <c r="V571">
        <v>32</v>
      </c>
      <c r="W571" t="s">
        <v>2899</v>
      </c>
      <c r="X571" t="b">
        <v>0</v>
      </c>
      <c r="Y571" t="s">
        <v>2055</v>
      </c>
      <c r="Z571" s="6"/>
    </row>
    <row r="572" spans="1:26" ht="14.45" customHeight="1">
      <c r="A572">
        <v>445</v>
      </c>
      <c r="B572" t="s">
        <v>2280</v>
      </c>
      <c r="C572" t="s">
        <v>2281</v>
      </c>
      <c r="D572" t="s">
        <v>1826</v>
      </c>
      <c r="E572" s="7">
        <v>44824</v>
      </c>
      <c r="F572">
        <v>10</v>
      </c>
      <c r="G572">
        <f t="shared" si="8"/>
        <v>0.254</v>
      </c>
      <c r="H572" t="s">
        <v>1804</v>
      </c>
      <c r="J572" t="s">
        <v>2282</v>
      </c>
      <c r="K572" t="s">
        <v>3077</v>
      </c>
      <c r="M572" t="b">
        <v>1</v>
      </c>
      <c r="N572" s="7">
        <v>45614</v>
      </c>
      <c r="O572" t="s">
        <v>2284</v>
      </c>
      <c r="P572">
        <v>35.310629069999997</v>
      </c>
      <c r="Q572">
        <v>-120.66214770000001</v>
      </c>
      <c r="R572" t="s">
        <v>1808</v>
      </c>
      <c r="S572">
        <v>14682</v>
      </c>
      <c r="T572" t="s">
        <v>1809</v>
      </c>
      <c r="U572" t="s">
        <v>3075</v>
      </c>
      <c r="V572">
        <v>28</v>
      </c>
      <c r="W572" t="s">
        <v>2899</v>
      </c>
      <c r="X572" t="b">
        <v>0</v>
      </c>
      <c r="Y572" t="s">
        <v>2101</v>
      </c>
      <c r="Z572" s="667"/>
    </row>
    <row r="573" spans="1:26" ht="14.45" customHeight="1">
      <c r="A573">
        <v>449</v>
      </c>
      <c r="B573" t="s">
        <v>2280</v>
      </c>
      <c r="C573" t="s">
        <v>2281</v>
      </c>
      <c r="D573" t="s">
        <v>2003</v>
      </c>
      <c r="E573" s="7">
        <v>44824</v>
      </c>
      <c r="F573">
        <v>16</v>
      </c>
      <c r="G573">
        <f t="shared" si="8"/>
        <v>0.40639999999999998</v>
      </c>
      <c r="H573" t="s">
        <v>1855</v>
      </c>
      <c r="J573" t="s">
        <v>2282</v>
      </c>
      <c r="K573" t="s">
        <v>3078</v>
      </c>
      <c r="M573" t="b">
        <v>1</v>
      </c>
      <c r="N573" s="7">
        <v>45597</v>
      </c>
      <c r="O573" t="s">
        <v>2284</v>
      </c>
      <c r="P573">
        <v>35.310625790000003</v>
      </c>
      <c r="Q573">
        <v>-120.6621866</v>
      </c>
      <c r="R573" t="s">
        <v>1808</v>
      </c>
      <c r="S573">
        <v>14679</v>
      </c>
      <c r="T573" t="s">
        <v>1809</v>
      </c>
      <c r="U573" t="s">
        <v>3079</v>
      </c>
      <c r="V573">
        <v>25</v>
      </c>
      <c r="W573" t="s">
        <v>2899</v>
      </c>
      <c r="X573" t="b">
        <v>0</v>
      </c>
      <c r="Y573" t="s">
        <v>2101</v>
      </c>
      <c r="Z573" s="667"/>
    </row>
    <row r="574" spans="1:26" ht="14.45" customHeight="1">
      <c r="A574">
        <v>297</v>
      </c>
      <c r="B574" t="s">
        <v>2001</v>
      </c>
      <c r="C574" t="s">
        <v>2002</v>
      </c>
      <c r="D574" t="s">
        <v>2003</v>
      </c>
      <c r="E574" s="7">
        <v>44824</v>
      </c>
      <c r="F574">
        <v>3</v>
      </c>
      <c r="G574">
        <f t="shared" si="8"/>
        <v>7.619999999999999E-2</v>
      </c>
      <c r="H574" t="s">
        <v>1814</v>
      </c>
      <c r="I574" t="s">
        <v>2004</v>
      </c>
      <c r="J574" t="s">
        <v>2005</v>
      </c>
      <c r="K574" t="s">
        <v>3080</v>
      </c>
      <c r="M574" t="b">
        <v>1</v>
      </c>
      <c r="N574" s="7">
        <v>45637</v>
      </c>
      <c r="O574" t="s">
        <v>2007</v>
      </c>
      <c r="P574">
        <v>35.310462180000002</v>
      </c>
      <c r="Q574">
        <v>-120.6627778</v>
      </c>
      <c r="R574" t="s">
        <v>1808</v>
      </c>
      <c r="S574">
        <v>14660</v>
      </c>
      <c r="T574" t="s">
        <v>1809</v>
      </c>
      <c r="U574" t="s">
        <v>3081</v>
      </c>
      <c r="V574">
        <v>12</v>
      </c>
      <c r="W574" t="s">
        <v>2899</v>
      </c>
      <c r="X574" t="b">
        <v>0</v>
      </c>
      <c r="Y574" t="s">
        <v>2116</v>
      </c>
      <c r="Z574" s="667"/>
    </row>
    <row r="575" spans="1:26" ht="14.45" customHeight="1">
      <c r="A575">
        <v>298</v>
      </c>
      <c r="B575" t="s">
        <v>2001</v>
      </c>
      <c r="C575" t="s">
        <v>2002</v>
      </c>
      <c r="D575" t="s">
        <v>1826</v>
      </c>
      <c r="E575" s="7">
        <v>44824</v>
      </c>
      <c r="F575">
        <v>3</v>
      </c>
      <c r="G575">
        <f t="shared" si="8"/>
        <v>7.619999999999999E-2</v>
      </c>
      <c r="H575" t="s">
        <v>1814</v>
      </c>
      <c r="I575" t="s">
        <v>2004</v>
      </c>
      <c r="J575" t="s">
        <v>2005</v>
      </c>
      <c r="K575" t="s">
        <v>3082</v>
      </c>
      <c r="M575" t="b">
        <v>1</v>
      </c>
      <c r="N575" s="7">
        <v>45637</v>
      </c>
      <c r="O575" t="s">
        <v>2007</v>
      </c>
      <c r="P575">
        <v>35.310454450000002</v>
      </c>
      <c r="Q575">
        <v>-120.6627737</v>
      </c>
      <c r="R575" t="s">
        <v>1808</v>
      </c>
      <c r="S575">
        <v>14657</v>
      </c>
      <c r="T575" t="s">
        <v>1809</v>
      </c>
      <c r="U575" t="s">
        <v>2539</v>
      </c>
      <c r="V575">
        <v>11</v>
      </c>
      <c r="W575" t="s">
        <v>2899</v>
      </c>
      <c r="X575" t="b">
        <v>0</v>
      </c>
      <c r="Y575" t="s">
        <v>2116</v>
      </c>
      <c r="Z575" s="667"/>
    </row>
    <row r="576" spans="1:26" ht="14.45" customHeight="1">
      <c r="A576">
        <v>526</v>
      </c>
      <c r="B576" t="s">
        <v>3083</v>
      </c>
      <c r="C576" t="s">
        <v>3084</v>
      </c>
      <c r="D576" t="s">
        <v>2003</v>
      </c>
      <c r="E576" s="7">
        <v>44824</v>
      </c>
      <c r="F576">
        <v>7</v>
      </c>
      <c r="G576">
        <f t="shared" si="8"/>
        <v>0.17779999999999999</v>
      </c>
      <c r="H576" t="s">
        <v>1804</v>
      </c>
      <c r="I576" t="s">
        <v>2104</v>
      </c>
      <c r="J576" t="s">
        <v>3085</v>
      </c>
      <c r="K576" t="s">
        <v>3086</v>
      </c>
      <c r="M576" t="b">
        <v>1</v>
      </c>
      <c r="N576" s="7">
        <v>45637</v>
      </c>
      <c r="O576" t="s">
        <v>3087</v>
      </c>
      <c r="P576">
        <v>35.310477990000003</v>
      </c>
      <c r="Q576">
        <v>-120.66280039999999</v>
      </c>
      <c r="R576" t="s">
        <v>1808</v>
      </c>
      <c r="S576">
        <v>14665</v>
      </c>
      <c r="T576" t="s">
        <v>1809</v>
      </c>
      <c r="U576" t="s">
        <v>3088</v>
      </c>
      <c r="V576">
        <v>14</v>
      </c>
      <c r="W576" t="s">
        <v>2899</v>
      </c>
      <c r="X576" t="b">
        <v>0</v>
      </c>
      <c r="Y576" t="s">
        <v>2116</v>
      </c>
      <c r="Z576" s="6"/>
    </row>
    <row r="577" spans="1:26" ht="14.45" customHeight="1">
      <c r="A577">
        <v>418</v>
      </c>
      <c r="B577" t="s">
        <v>3089</v>
      </c>
      <c r="C577" t="s">
        <v>3090</v>
      </c>
      <c r="D577" t="s">
        <v>1946</v>
      </c>
      <c r="E577" s="7">
        <v>44824</v>
      </c>
      <c r="F577">
        <v>24</v>
      </c>
      <c r="G577">
        <f t="shared" si="8"/>
        <v>0.60959999999999992</v>
      </c>
      <c r="H577" t="s">
        <v>1866</v>
      </c>
      <c r="J577" t="s">
        <v>3091</v>
      </c>
      <c r="K577" t="s">
        <v>3092</v>
      </c>
      <c r="M577" t="b">
        <v>1</v>
      </c>
      <c r="N577" s="7">
        <v>45637</v>
      </c>
      <c r="O577" t="s">
        <v>3093</v>
      </c>
      <c r="P577">
        <v>35.310490819999998</v>
      </c>
      <c r="Q577">
        <v>-120.6627235</v>
      </c>
      <c r="R577" t="s">
        <v>1808</v>
      </c>
      <c r="S577">
        <v>14667</v>
      </c>
      <c r="T577" t="s">
        <v>1809</v>
      </c>
      <c r="U577" t="s">
        <v>3094</v>
      </c>
      <c r="V577">
        <v>16</v>
      </c>
      <c r="W577" t="s">
        <v>2899</v>
      </c>
      <c r="X577" t="b">
        <v>0</v>
      </c>
      <c r="Y577" t="s">
        <v>2116</v>
      </c>
      <c r="Z577" s="6"/>
    </row>
    <row r="578" spans="1:26" ht="14.45" customHeight="1">
      <c r="A578">
        <v>405</v>
      </c>
      <c r="B578" t="s">
        <v>2968</v>
      </c>
      <c r="C578" t="s">
        <v>2969</v>
      </c>
      <c r="D578" t="s">
        <v>1989</v>
      </c>
      <c r="E578" s="7">
        <v>44824</v>
      </c>
      <c r="F578">
        <v>8</v>
      </c>
      <c r="G578">
        <f t="shared" si="8"/>
        <v>0.20319999999999999</v>
      </c>
      <c r="H578" t="s">
        <v>1804</v>
      </c>
      <c r="I578" t="s">
        <v>1971</v>
      </c>
      <c r="J578" t="s">
        <v>2380</v>
      </c>
      <c r="K578" t="s">
        <v>3095</v>
      </c>
      <c r="M578" t="b">
        <v>1</v>
      </c>
      <c r="N578" s="7">
        <v>45590</v>
      </c>
      <c r="O578" t="s">
        <v>2971</v>
      </c>
      <c r="P578">
        <v>35.310217770000001</v>
      </c>
      <c r="Q578">
        <v>-120.6628034</v>
      </c>
      <c r="R578" t="s">
        <v>1808</v>
      </c>
      <c r="S578">
        <v>14671</v>
      </c>
      <c r="T578" t="s">
        <v>1809</v>
      </c>
      <c r="U578" t="s">
        <v>2974</v>
      </c>
      <c r="V578">
        <v>19</v>
      </c>
      <c r="W578" t="s">
        <v>3055</v>
      </c>
      <c r="X578" t="b">
        <v>0</v>
      </c>
      <c r="Y578" t="s">
        <v>2075</v>
      </c>
      <c r="Z578" s="667"/>
    </row>
    <row r="579" spans="1:26" ht="14.45" customHeight="1">
      <c r="A579">
        <v>122</v>
      </c>
      <c r="B579" t="s">
        <v>2504</v>
      </c>
      <c r="C579" t="s">
        <v>2505</v>
      </c>
      <c r="D579" t="s">
        <v>2003</v>
      </c>
      <c r="E579" s="7">
        <v>44824</v>
      </c>
      <c r="F579">
        <v>33</v>
      </c>
      <c r="G579">
        <f t="shared" ref="G579:G593" si="9">F579*0.0254</f>
        <v>0.83819999999999995</v>
      </c>
      <c r="H579" t="s">
        <v>1881</v>
      </c>
      <c r="I579" t="s">
        <v>1982</v>
      </c>
      <c r="J579" t="s">
        <v>1983</v>
      </c>
      <c r="K579" t="s">
        <v>3096</v>
      </c>
      <c r="M579" t="b">
        <v>1</v>
      </c>
      <c r="N579" s="7">
        <v>44824</v>
      </c>
      <c r="O579" t="s">
        <v>2507</v>
      </c>
      <c r="P579">
        <v>35.310422549999998</v>
      </c>
      <c r="Q579">
        <v>-120.6626256</v>
      </c>
      <c r="R579" t="s">
        <v>1808</v>
      </c>
      <c r="S579">
        <v>14722</v>
      </c>
      <c r="T579" t="s">
        <v>1809</v>
      </c>
      <c r="U579" t="s">
        <v>3097</v>
      </c>
      <c r="V579">
        <v>62</v>
      </c>
      <c r="W579" t="s">
        <v>2985</v>
      </c>
      <c r="X579" t="b">
        <v>0</v>
      </c>
      <c r="Y579" t="s">
        <v>2075</v>
      </c>
      <c r="Z579" s="667"/>
    </row>
    <row r="580" spans="1:26" ht="14.45" customHeight="1">
      <c r="A580">
        <v>197</v>
      </c>
      <c r="B580" t="s">
        <v>1624</v>
      </c>
      <c r="C580" t="s">
        <v>2072</v>
      </c>
      <c r="D580" t="s">
        <v>2003</v>
      </c>
      <c r="E580" s="7">
        <v>44824</v>
      </c>
      <c r="F580">
        <v>15</v>
      </c>
      <c r="G580">
        <f t="shared" si="9"/>
        <v>0.38100000000000001</v>
      </c>
      <c r="H580" t="s">
        <v>1855</v>
      </c>
      <c r="I580" t="s">
        <v>1982</v>
      </c>
      <c r="J580" t="s">
        <v>1983</v>
      </c>
      <c r="K580" t="s">
        <v>3098</v>
      </c>
      <c r="M580" t="b">
        <v>1</v>
      </c>
      <c r="N580" s="7">
        <v>45590</v>
      </c>
      <c r="O580" t="s">
        <v>2074</v>
      </c>
      <c r="P580">
        <v>35.310256070000001</v>
      </c>
      <c r="Q580">
        <v>-120.6629107</v>
      </c>
      <c r="R580" t="s">
        <v>1808</v>
      </c>
      <c r="S580">
        <v>14676</v>
      </c>
      <c r="T580" t="s">
        <v>1809</v>
      </c>
      <c r="U580" t="s">
        <v>3099</v>
      </c>
      <c r="V580">
        <v>23</v>
      </c>
      <c r="W580" t="s">
        <v>3055</v>
      </c>
      <c r="X580" t="b">
        <v>0</v>
      </c>
      <c r="Y580" t="s">
        <v>2075</v>
      </c>
      <c r="Z580" s="667"/>
    </row>
    <row r="581" spans="1:26" ht="14.45" customHeight="1">
      <c r="A581">
        <v>204</v>
      </c>
      <c r="B581" t="s">
        <v>1624</v>
      </c>
      <c r="C581" t="s">
        <v>2072</v>
      </c>
      <c r="D581" t="s">
        <v>1826</v>
      </c>
      <c r="E581" s="7">
        <v>44824</v>
      </c>
      <c r="F581">
        <v>17</v>
      </c>
      <c r="G581">
        <f t="shared" si="9"/>
        <v>0.43179999999999996</v>
      </c>
      <c r="H581" t="s">
        <v>1855</v>
      </c>
      <c r="I581" t="s">
        <v>1982</v>
      </c>
      <c r="J581" t="s">
        <v>1983</v>
      </c>
      <c r="K581" t="s">
        <v>3100</v>
      </c>
      <c r="M581" t="b">
        <v>1</v>
      </c>
      <c r="N581" s="7">
        <v>45590</v>
      </c>
      <c r="O581" t="s">
        <v>2074</v>
      </c>
      <c r="P581">
        <v>35.310268110000003</v>
      </c>
      <c r="Q581">
        <v>-120.662841</v>
      </c>
      <c r="R581" t="s">
        <v>1808</v>
      </c>
      <c r="S581">
        <v>14683</v>
      </c>
      <c r="T581" t="s">
        <v>1809</v>
      </c>
      <c r="U581" t="s">
        <v>2386</v>
      </c>
      <c r="V581">
        <v>29</v>
      </c>
      <c r="W581" t="s">
        <v>3055</v>
      </c>
      <c r="X581" t="b">
        <v>0</v>
      </c>
      <c r="Y581" t="s">
        <v>2075</v>
      </c>
      <c r="Z581" s="667"/>
    </row>
    <row r="582" spans="1:26" ht="14.45" customHeight="1">
      <c r="A582">
        <v>209</v>
      </c>
      <c r="B582" t="s">
        <v>1624</v>
      </c>
      <c r="C582" t="s">
        <v>2072</v>
      </c>
      <c r="D582" t="s">
        <v>1946</v>
      </c>
      <c r="E582" s="7">
        <v>44824</v>
      </c>
      <c r="F582">
        <v>18</v>
      </c>
      <c r="G582">
        <f t="shared" si="9"/>
        <v>0.4572</v>
      </c>
      <c r="H582" t="s">
        <v>1842</v>
      </c>
      <c r="I582" t="s">
        <v>1982</v>
      </c>
      <c r="J582" t="s">
        <v>1983</v>
      </c>
      <c r="K582" t="s">
        <v>3101</v>
      </c>
      <c r="M582" t="b">
        <v>1</v>
      </c>
      <c r="N582" s="7">
        <v>45590</v>
      </c>
      <c r="O582" t="s">
        <v>2074</v>
      </c>
      <c r="P582">
        <v>35.310305319999998</v>
      </c>
      <c r="Q582">
        <v>-120.66284229999999</v>
      </c>
      <c r="R582" t="s">
        <v>1808</v>
      </c>
      <c r="S582">
        <v>14685</v>
      </c>
      <c r="T582" t="s">
        <v>1809</v>
      </c>
      <c r="U582" t="s">
        <v>2386</v>
      </c>
      <c r="V582">
        <v>31</v>
      </c>
      <c r="W582" t="s">
        <v>3055</v>
      </c>
      <c r="X582" t="b">
        <v>0</v>
      </c>
      <c r="Y582" t="s">
        <v>2075</v>
      </c>
      <c r="Z582" s="667"/>
    </row>
    <row r="583" spans="1:26" ht="14.45" customHeight="1">
      <c r="A583">
        <v>239</v>
      </c>
      <c r="B583" t="s">
        <v>1879</v>
      </c>
      <c r="C583" t="s">
        <v>1880</v>
      </c>
      <c r="D583" t="s">
        <v>1989</v>
      </c>
      <c r="E583" s="7">
        <v>44824</v>
      </c>
      <c r="F583">
        <v>11</v>
      </c>
      <c r="G583">
        <f t="shared" si="9"/>
        <v>0.27939999999999998</v>
      </c>
      <c r="H583" t="s">
        <v>1804</v>
      </c>
      <c r="I583" t="s">
        <v>1882</v>
      </c>
      <c r="J583" t="s">
        <v>1883</v>
      </c>
      <c r="K583" t="s">
        <v>3102</v>
      </c>
      <c r="M583" t="b">
        <v>1</v>
      </c>
      <c r="N583" s="7">
        <v>45590</v>
      </c>
      <c r="O583" t="s">
        <v>1399</v>
      </c>
      <c r="P583">
        <v>35.310213390000001</v>
      </c>
      <c r="Q583">
        <v>-120.66285980000001</v>
      </c>
      <c r="R583" t="s">
        <v>1808</v>
      </c>
      <c r="S583">
        <v>14668</v>
      </c>
      <c r="T583" t="s">
        <v>1809</v>
      </c>
      <c r="U583" t="s">
        <v>2421</v>
      </c>
      <c r="V583">
        <v>17</v>
      </c>
      <c r="W583" t="s">
        <v>3055</v>
      </c>
      <c r="X583" t="b">
        <v>0</v>
      </c>
      <c r="Y583" t="s">
        <v>2075</v>
      </c>
      <c r="Z583" s="667"/>
    </row>
    <row r="584" spans="1:26" ht="14.45" customHeight="1">
      <c r="A584">
        <v>241</v>
      </c>
      <c r="B584" t="s">
        <v>1879</v>
      </c>
      <c r="C584" t="s">
        <v>1880</v>
      </c>
      <c r="D584" t="s">
        <v>1826</v>
      </c>
      <c r="E584" s="7">
        <v>44824</v>
      </c>
      <c r="F584">
        <v>13</v>
      </c>
      <c r="G584">
        <f t="shared" si="9"/>
        <v>0.33019999999999999</v>
      </c>
      <c r="H584" t="s">
        <v>1855</v>
      </c>
      <c r="I584" t="s">
        <v>1882</v>
      </c>
      <c r="J584" t="s">
        <v>1883</v>
      </c>
      <c r="K584" t="s">
        <v>3103</v>
      </c>
      <c r="M584" t="b">
        <v>1</v>
      </c>
      <c r="N584" s="7">
        <v>45590</v>
      </c>
      <c r="O584" t="s">
        <v>1399</v>
      </c>
      <c r="P584">
        <v>35.310191500000002</v>
      </c>
      <c r="Q584">
        <v>-120.6628316</v>
      </c>
      <c r="R584" t="s">
        <v>1808</v>
      </c>
      <c r="S584">
        <v>14666</v>
      </c>
      <c r="T584" t="s">
        <v>1809</v>
      </c>
      <c r="U584" t="s">
        <v>2421</v>
      </c>
      <c r="V584">
        <v>15</v>
      </c>
      <c r="W584" t="s">
        <v>3055</v>
      </c>
      <c r="X584" t="b">
        <v>0</v>
      </c>
      <c r="Y584" t="s">
        <v>2075</v>
      </c>
      <c r="Z584" s="6"/>
    </row>
    <row r="585" spans="1:26" ht="14.45" customHeight="1">
      <c r="A585">
        <v>242</v>
      </c>
      <c r="B585" t="s">
        <v>1879</v>
      </c>
      <c r="C585" t="s">
        <v>1880</v>
      </c>
      <c r="D585" t="s">
        <v>1946</v>
      </c>
      <c r="E585" s="7">
        <v>44824</v>
      </c>
      <c r="F585">
        <v>14</v>
      </c>
      <c r="G585">
        <f t="shared" si="9"/>
        <v>0.35559999999999997</v>
      </c>
      <c r="H585" t="s">
        <v>1855</v>
      </c>
      <c r="I585" t="s">
        <v>1882</v>
      </c>
      <c r="J585" t="s">
        <v>1883</v>
      </c>
      <c r="K585" t="s">
        <v>3104</v>
      </c>
      <c r="M585" t="b">
        <v>1</v>
      </c>
      <c r="N585" s="7">
        <v>45587</v>
      </c>
      <c r="O585" t="s">
        <v>1399</v>
      </c>
      <c r="P585">
        <v>35.310210929999997</v>
      </c>
      <c r="Q585">
        <v>-120.6629374</v>
      </c>
      <c r="R585" t="s">
        <v>1808</v>
      </c>
      <c r="S585">
        <v>14669</v>
      </c>
      <c r="T585" t="s">
        <v>1809</v>
      </c>
      <c r="U585" t="s">
        <v>2421</v>
      </c>
      <c r="V585">
        <v>18</v>
      </c>
      <c r="W585" t="s">
        <v>3055</v>
      </c>
      <c r="X585" t="b">
        <v>0</v>
      </c>
      <c r="Y585" t="s">
        <v>2075</v>
      </c>
      <c r="Z585" s="6"/>
    </row>
    <row r="586" spans="1:26" ht="14.45" customHeight="1">
      <c r="A586">
        <v>243</v>
      </c>
      <c r="B586" t="s">
        <v>1879</v>
      </c>
      <c r="C586" t="s">
        <v>1880</v>
      </c>
      <c r="D586" t="s">
        <v>2003</v>
      </c>
      <c r="E586" s="7">
        <v>44824</v>
      </c>
      <c r="F586">
        <v>14</v>
      </c>
      <c r="G586">
        <f t="shared" si="9"/>
        <v>0.35559999999999997</v>
      </c>
      <c r="H586" t="s">
        <v>1855</v>
      </c>
      <c r="I586" t="s">
        <v>1882</v>
      </c>
      <c r="J586" t="s">
        <v>1883</v>
      </c>
      <c r="K586" t="s">
        <v>3105</v>
      </c>
      <c r="M586" t="b">
        <v>1</v>
      </c>
      <c r="N586" s="7">
        <v>45590</v>
      </c>
      <c r="O586" t="s">
        <v>1399</v>
      </c>
      <c r="P586">
        <v>35.310176179999999</v>
      </c>
      <c r="Q586">
        <v>-120.6628906</v>
      </c>
      <c r="R586" t="s">
        <v>1808</v>
      </c>
      <c r="S586">
        <v>14664</v>
      </c>
      <c r="T586" t="s">
        <v>1809</v>
      </c>
      <c r="U586" t="s">
        <v>2421</v>
      </c>
      <c r="V586">
        <v>13</v>
      </c>
      <c r="W586" t="s">
        <v>3055</v>
      </c>
      <c r="X586" t="b">
        <v>0</v>
      </c>
      <c r="Y586" t="s">
        <v>2075</v>
      </c>
      <c r="Z586" s="6"/>
    </row>
    <row r="587" spans="1:26" ht="14.45" customHeight="1">
      <c r="A587">
        <v>244</v>
      </c>
      <c r="B587" t="s">
        <v>1879</v>
      </c>
      <c r="C587" t="s">
        <v>1880</v>
      </c>
      <c r="D587" t="s">
        <v>1946</v>
      </c>
      <c r="E587" s="7">
        <v>44824</v>
      </c>
      <c r="F587">
        <v>15</v>
      </c>
      <c r="G587">
        <f t="shared" si="9"/>
        <v>0.38100000000000001</v>
      </c>
      <c r="H587" t="s">
        <v>1855</v>
      </c>
      <c r="I587" t="s">
        <v>1882</v>
      </c>
      <c r="J587" t="s">
        <v>1883</v>
      </c>
      <c r="K587" t="s">
        <v>3106</v>
      </c>
      <c r="M587" t="b">
        <v>1</v>
      </c>
      <c r="N587" s="7">
        <v>45590</v>
      </c>
      <c r="O587" t="s">
        <v>1399</v>
      </c>
      <c r="P587">
        <v>35.310214479999999</v>
      </c>
      <c r="Q587">
        <v>-120.6629121</v>
      </c>
      <c r="R587" t="s">
        <v>1808</v>
      </c>
      <c r="S587">
        <v>14649</v>
      </c>
      <c r="T587" t="s">
        <v>1809</v>
      </c>
      <c r="U587" t="s">
        <v>3107</v>
      </c>
      <c r="V587">
        <v>4</v>
      </c>
      <c r="W587" t="s">
        <v>3055</v>
      </c>
      <c r="X587" t="b">
        <v>0</v>
      </c>
      <c r="Y587" t="s">
        <v>2075</v>
      </c>
      <c r="Z587" s="6"/>
    </row>
    <row r="588" spans="1:26" ht="14.45" customHeight="1">
      <c r="A588">
        <v>246</v>
      </c>
      <c r="B588" t="s">
        <v>1879</v>
      </c>
      <c r="C588" t="s">
        <v>1880</v>
      </c>
      <c r="D588" t="s">
        <v>1946</v>
      </c>
      <c r="E588" s="7">
        <v>44824</v>
      </c>
      <c r="F588">
        <v>25</v>
      </c>
      <c r="G588">
        <f t="shared" si="9"/>
        <v>0.63500000000000001</v>
      </c>
      <c r="H588" t="s">
        <v>1866</v>
      </c>
      <c r="I588" t="s">
        <v>1882</v>
      </c>
      <c r="J588" t="s">
        <v>1883</v>
      </c>
      <c r="K588" t="s">
        <v>3108</v>
      </c>
      <c r="M588" t="b">
        <v>1</v>
      </c>
      <c r="N588" s="7">
        <v>45590</v>
      </c>
      <c r="O588" t="s">
        <v>1399</v>
      </c>
      <c r="P588">
        <v>35.310202449999998</v>
      </c>
      <c r="Q588">
        <v>-120.6627874</v>
      </c>
      <c r="R588" t="s">
        <v>1808</v>
      </c>
      <c r="S588">
        <v>14674</v>
      </c>
      <c r="T588" t="s">
        <v>1809</v>
      </c>
      <c r="U588" t="s">
        <v>2421</v>
      </c>
      <c r="V588">
        <v>22</v>
      </c>
      <c r="W588" t="s">
        <v>3055</v>
      </c>
      <c r="X588" t="b">
        <v>0</v>
      </c>
      <c r="Y588" t="s">
        <v>2075</v>
      </c>
      <c r="Z588" s="6"/>
    </row>
    <row r="589" spans="1:26" ht="14.45" customHeight="1">
      <c r="A589">
        <v>105</v>
      </c>
      <c r="B589" t="s">
        <v>2310</v>
      </c>
      <c r="C589" t="s">
        <v>2311</v>
      </c>
      <c r="D589" t="s">
        <v>1989</v>
      </c>
      <c r="E589" s="7">
        <v>44824</v>
      </c>
      <c r="F589">
        <v>1</v>
      </c>
      <c r="G589">
        <f t="shared" si="9"/>
        <v>2.5399999999999999E-2</v>
      </c>
      <c r="H589" t="s">
        <v>1838</v>
      </c>
      <c r="J589" t="s">
        <v>2312</v>
      </c>
      <c r="K589" t="s">
        <v>3109</v>
      </c>
      <c r="M589" t="b">
        <v>1</v>
      </c>
      <c r="N589" s="7">
        <v>45590</v>
      </c>
      <c r="O589" t="s">
        <v>2314</v>
      </c>
      <c r="P589">
        <v>35.310383020000003</v>
      </c>
      <c r="Q589">
        <v>-120.6625567</v>
      </c>
      <c r="R589" t="s">
        <v>1808</v>
      </c>
      <c r="S589">
        <v>14727</v>
      </c>
      <c r="T589" t="s">
        <v>1809</v>
      </c>
      <c r="U589" t="s">
        <v>3110</v>
      </c>
      <c r="V589">
        <v>67</v>
      </c>
      <c r="W589" t="s">
        <v>2985</v>
      </c>
      <c r="X589" t="b">
        <v>0</v>
      </c>
      <c r="Y589" t="s">
        <v>2075</v>
      </c>
      <c r="Z589" s="6"/>
    </row>
    <row r="590" spans="1:26" ht="14.45" customHeight="1">
      <c r="A590">
        <v>107</v>
      </c>
      <c r="B590" t="s">
        <v>2310</v>
      </c>
      <c r="C590" t="s">
        <v>2311</v>
      </c>
      <c r="D590" t="s">
        <v>2003</v>
      </c>
      <c r="E590" s="7">
        <v>44824</v>
      </c>
      <c r="F590">
        <v>2</v>
      </c>
      <c r="G590">
        <f t="shared" si="9"/>
        <v>5.0799999999999998E-2</v>
      </c>
      <c r="H590" t="s">
        <v>1838</v>
      </c>
      <c r="J590" t="s">
        <v>2312</v>
      </c>
      <c r="K590" t="s">
        <v>3111</v>
      </c>
      <c r="M590" t="b">
        <v>1</v>
      </c>
      <c r="N590" s="7">
        <v>45637</v>
      </c>
      <c r="O590" t="s">
        <v>2314</v>
      </c>
      <c r="P590">
        <v>35.31028671</v>
      </c>
      <c r="Q590">
        <v>-120.6625688</v>
      </c>
      <c r="R590" t="s">
        <v>1808</v>
      </c>
      <c r="S590">
        <v>14728</v>
      </c>
      <c r="T590" t="s">
        <v>1809</v>
      </c>
      <c r="U590" t="s">
        <v>2315</v>
      </c>
      <c r="V590">
        <v>68</v>
      </c>
      <c r="W590" t="s">
        <v>2985</v>
      </c>
      <c r="X590" t="b">
        <v>0</v>
      </c>
      <c r="Y590" t="s">
        <v>2075</v>
      </c>
      <c r="Z590" s="6"/>
    </row>
    <row r="591" spans="1:26" ht="14.45" customHeight="1">
      <c r="A591">
        <v>110</v>
      </c>
      <c r="B591" t="s">
        <v>2310</v>
      </c>
      <c r="C591" t="s">
        <v>2311</v>
      </c>
      <c r="D591" t="s">
        <v>2003</v>
      </c>
      <c r="E591" s="7">
        <v>44824</v>
      </c>
      <c r="F591">
        <v>10</v>
      </c>
      <c r="G591">
        <f t="shared" si="9"/>
        <v>0.254</v>
      </c>
      <c r="H591" t="s">
        <v>1804</v>
      </c>
      <c r="J591" t="s">
        <v>2312</v>
      </c>
      <c r="K591" t="s">
        <v>3112</v>
      </c>
      <c r="M591" t="b">
        <v>1</v>
      </c>
      <c r="N591" s="7">
        <v>45587</v>
      </c>
      <c r="O591" t="s">
        <v>2314</v>
      </c>
      <c r="P591">
        <v>35.310351869999998</v>
      </c>
      <c r="Q591">
        <v>-120.6627582</v>
      </c>
      <c r="R591" t="s">
        <v>1808</v>
      </c>
      <c r="S591">
        <v>14689</v>
      </c>
      <c r="T591" t="s">
        <v>1809</v>
      </c>
      <c r="U591" t="s">
        <v>2315</v>
      </c>
      <c r="V591">
        <v>35</v>
      </c>
      <c r="W591" t="s">
        <v>3055</v>
      </c>
      <c r="X591" t="b">
        <v>0</v>
      </c>
      <c r="Y591" t="s">
        <v>2075</v>
      </c>
      <c r="Z591" s="6"/>
    </row>
    <row r="592" spans="1:26" ht="14.45" customHeight="1">
      <c r="A592">
        <v>112</v>
      </c>
      <c r="B592" t="s">
        <v>2310</v>
      </c>
      <c r="C592" t="s">
        <v>2311</v>
      </c>
      <c r="D592" t="s">
        <v>2003</v>
      </c>
      <c r="E592" s="7">
        <v>44824</v>
      </c>
      <c r="F592">
        <v>14</v>
      </c>
      <c r="G592">
        <f t="shared" si="9"/>
        <v>0.35559999999999997</v>
      </c>
      <c r="H592" t="s">
        <v>1855</v>
      </c>
      <c r="J592" t="s">
        <v>2312</v>
      </c>
      <c r="K592" t="s">
        <v>3113</v>
      </c>
      <c r="M592" t="b">
        <v>1</v>
      </c>
      <c r="N592" s="7">
        <v>44824</v>
      </c>
      <c r="O592" t="s">
        <v>2314</v>
      </c>
      <c r="P592">
        <v>35.3103762</v>
      </c>
      <c r="Q592">
        <v>-120.66265679999999</v>
      </c>
      <c r="R592" t="s">
        <v>1808</v>
      </c>
      <c r="S592">
        <v>14696</v>
      </c>
      <c r="T592" t="s">
        <v>1809</v>
      </c>
      <c r="U592" t="s">
        <v>2315</v>
      </c>
      <c r="V592">
        <v>41</v>
      </c>
      <c r="W592" t="s">
        <v>3055</v>
      </c>
      <c r="X592" t="b">
        <v>0</v>
      </c>
      <c r="Y592" t="s">
        <v>2075</v>
      </c>
      <c r="Z592" s="6"/>
    </row>
    <row r="593" spans="1:26" ht="14.45" customHeight="1">
      <c r="A593">
        <v>433</v>
      </c>
      <c r="B593" t="s">
        <v>2027</v>
      </c>
      <c r="C593" t="s">
        <v>2028</v>
      </c>
      <c r="D593" t="s">
        <v>1826</v>
      </c>
      <c r="E593" s="7">
        <v>44824</v>
      </c>
      <c r="F593">
        <v>12</v>
      </c>
      <c r="G593">
        <f t="shared" si="9"/>
        <v>0.30479999999999996</v>
      </c>
      <c r="H593" t="s">
        <v>1855</v>
      </c>
      <c r="J593" t="s">
        <v>1983</v>
      </c>
      <c r="K593" t="s">
        <v>3114</v>
      </c>
      <c r="M593" t="b">
        <v>1</v>
      </c>
      <c r="N593" s="7">
        <v>45608</v>
      </c>
      <c r="O593" t="s">
        <v>2030</v>
      </c>
      <c r="P593">
        <v>35.310289300000001</v>
      </c>
      <c r="Q593">
        <v>-120.6626672</v>
      </c>
      <c r="R593" t="s">
        <v>1808</v>
      </c>
      <c r="S593">
        <v>14730</v>
      </c>
      <c r="T593" t="s">
        <v>1809</v>
      </c>
      <c r="U593" t="s">
        <v>3115</v>
      </c>
      <c r="V593">
        <v>69</v>
      </c>
      <c r="W593" t="s">
        <v>2985</v>
      </c>
      <c r="X593" t="b">
        <v>0</v>
      </c>
      <c r="Y593" t="s">
        <v>2075</v>
      </c>
      <c r="Z593" s="6"/>
    </row>
    <row r="594" spans="1:26">
      <c r="A594" s="6"/>
      <c r="B594" s="6"/>
      <c r="C594" s="6"/>
      <c r="D594" s="6"/>
      <c r="E594" s="8"/>
      <c r="F594" s="10"/>
      <c r="G594" s="10"/>
      <c r="H594" s="6"/>
      <c r="I594" s="6"/>
      <c r="J594" s="6"/>
      <c r="K594" s="6"/>
      <c r="L594" s="6"/>
      <c r="M594" s="6"/>
      <c r="N594" s="6"/>
      <c r="O594" s="8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8"/>
      <c r="F595" s="10"/>
      <c r="G595" s="10"/>
      <c r="H595" s="6"/>
      <c r="I595" s="6"/>
      <c r="J595" s="6"/>
      <c r="K595" s="6"/>
      <c r="L595" s="6"/>
      <c r="M595" s="6"/>
      <c r="N595" s="6"/>
      <c r="O595" s="8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8"/>
      <c r="F596" s="10"/>
      <c r="G596" s="10"/>
      <c r="H596" s="6"/>
      <c r="I596" s="6"/>
      <c r="J596" s="6"/>
      <c r="K596" s="6"/>
      <c r="L596" s="6"/>
      <c r="M596" s="6"/>
      <c r="N596" s="6"/>
      <c r="O596" s="8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8"/>
      <c r="F597" s="10"/>
      <c r="G597" s="10"/>
      <c r="H597" s="6"/>
      <c r="I597" s="6"/>
      <c r="J597" s="6"/>
      <c r="K597" s="6"/>
      <c r="L597" s="6"/>
      <c r="M597" s="6"/>
      <c r="N597" s="6"/>
      <c r="O597" s="8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8"/>
      <c r="F598" s="10"/>
      <c r="G598" s="10"/>
      <c r="H598" s="6"/>
      <c r="I598" s="6"/>
      <c r="J598" s="6"/>
      <c r="K598" s="6"/>
      <c r="L598" s="6"/>
      <c r="M598" s="6"/>
      <c r="N598" s="6"/>
      <c r="O598" s="8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8"/>
      <c r="F599" s="10"/>
      <c r="G599" s="10"/>
      <c r="H599" s="6"/>
      <c r="I599" s="6"/>
      <c r="J599" s="6"/>
      <c r="K599" s="6"/>
      <c r="L599" s="6"/>
      <c r="M599" s="6"/>
      <c r="N599" s="6"/>
      <c r="O599" s="8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67"/>
      <c r="B600" s="667"/>
      <c r="C600" s="667"/>
      <c r="D600" s="667"/>
      <c r="E600" s="668"/>
      <c r="F600" s="10"/>
      <c r="G600" s="10"/>
      <c r="H600" s="667"/>
      <c r="I600" s="667"/>
      <c r="J600" s="667"/>
      <c r="K600" s="667"/>
      <c r="L600" s="667"/>
      <c r="M600" s="667"/>
      <c r="N600" s="667"/>
      <c r="O600" s="668"/>
      <c r="P600" s="667"/>
      <c r="Q600" s="667"/>
      <c r="R600" s="667"/>
      <c r="S600" s="667"/>
      <c r="T600" s="667"/>
      <c r="U600" s="667"/>
      <c r="V600" s="6"/>
      <c r="W600" s="667"/>
      <c r="X600" s="667"/>
      <c r="Y600" s="667"/>
      <c r="Z600" s="667"/>
    </row>
    <row r="601" spans="1:26">
      <c r="A601" s="667"/>
      <c r="B601" s="667"/>
      <c r="C601" s="667"/>
      <c r="D601" s="667"/>
      <c r="E601" s="668"/>
      <c r="F601" s="10"/>
      <c r="G601" s="10"/>
      <c r="H601" s="667"/>
      <c r="I601" s="667"/>
      <c r="J601" s="667"/>
      <c r="K601" s="667"/>
      <c r="L601" s="667"/>
      <c r="M601" s="667"/>
      <c r="N601" s="667"/>
      <c r="O601" s="668"/>
      <c r="P601" s="667"/>
      <c r="Q601" s="667"/>
      <c r="R601" s="667"/>
      <c r="S601" s="667"/>
      <c r="T601" s="667"/>
      <c r="U601" s="667"/>
      <c r="V601" s="6"/>
      <c r="W601" s="667"/>
      <c r="X601" s="667"/>
      <c r="Y601" s="667"/>
      <c r="Z601" s="667"/>
    </row>
    <row r="602" spans="1:26">
      <c r="A602" s="6"/>
      <c r="B602" s="6"/>
      <c r="C602" s="6"/>
      <c r="D602" s="6"/>
      <c r="E602" s="8"/>
      <c r="F602" s="10"/>
      <c r="G602" s="10"/>
      <c r="H602" s="6"/>
      <c r="I602" s="6"/>
      <c r="J602" s="6"/>
      <c r="K602" s="6"/>
      <c r="L602" s="6"/>
      <c r="M602" s="6"/>
      <c r="N602" s="6"/>
      <c r="O602" s="8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67"/>
      <c r="B603" s="667"/>
      <c r="C603" s="667"/>
      <c r="D603" s="667"/>
      <c r="E603" s="668"/>
      <c r="F603" s="10"/>
      <c r="G603" s="10"/>
      <c r="H603" s="667"/>
      <c r="I603" s="667"/>
      <c r="J603" s="667"/>
      <c r="K603" s="667"/>
      <c r="L603" s="667"/>
      <c r="M603" s="667"/>
      <c r="N603" s="667"/>
      <c r="O603" s="668"/>
      <c r="P603" s="667"/>
      <c r="Q603" s="667"/>
      <c r="R603" s="667"/>
      <c r="S603" s="667"/>
      <c r="T603" s="667"/>
      <c r="U603" s="667"/>
      <c r="V603" s="6"/>
      <c r="W603" s="667"/>
      <c r="X603" s="667"/>
      <c r="Y603" s="667"/>
      <c r="Z603" s="667"/>
    </row>
    <row r="604" spans="1:26">
      <c r="A604" s="667"/>
      <c r="B604" s="667"/>
      <c r="C604" s="667"/>
      <c r="D604" s="667"/>
      <c r="E604" s="668"/>
      <c r="F604" s="10"/>
      <c r="G604" s="10"/>
      <c r="H604" s="667"/>
      <c r="I604" s="667"/>
      <c r="J604" s="667"/>
      <c r="K604" s="667"/>
      <c r="L604" s="667"/>
      <c r="M604" s="667"/>
      <c r="N604" s="667"/>
      <c r="O604" s="668"/>
      <c r="P604" s="667"/>
      <c r="Q604" s="667"/>
      <c r="R604" s="667"/>
      <c r="S604" s="667"/>
      <c r="T604" s="667"/>
      <c r="U604" s="667"/>
      <c r="V604" s="6"/>
      <c r="W604" s="667"/>
      <c r="X604" s="667"/>
      <c r="Y604" s="667"/>
      <c r="Z604" s="667"/>
    </row>
    <row r="605" spans="1:26">
      <c r="A605" s="667"/>
      <c r="B605" s="667"/>
      <c r="C605" s="667"/>
      <c r="D605" s="667"/>
      <c r="E605" s="668"/>
      <c r="F605" s="10"/>
      <c r="G605" s="10"/>
      <c r="H605" s="667"/>
      <c r="I605" s="667"/>
      <c r="J605" s="667"/>
      <c r="K605" s="667"/>
      <c r="L605" s="667"/>
      <c r="M605" s="667"/>
      <c r="N605" s="667"/>
      <c r="O605" s="668"/>
      <c r="P605" s="667"/>
      <c r="Q605" s="667"/>
      <c r="R605" s="667"/>
      <c r="S605" s="667"/>
      <c r="T605" s="667"/>
      <c r="U605" s="667"/>
      <c r="V605" s="6"/>
      <c r="W605" s="667"/>
      <c r="X605" s="667"/>
      <c r="Y605" s="667"/>
      <c r="Z605" s="667"/>
    </row>
    <row r="606" spans="1:26">
      <c r="A606" s="667"/>
      <c r="B606" s="667"/>
      <c r="C606" s="667"/>
      <c r="D606" s="667"/>
      <c r="E606" s="668"/>
      <c r="F606" s="10"/>
      <c r="G606" s="10"/>
      <c r="H606" s="667"/>
      <c r="I606" s="667"/>
      <c r="J606" s="667"/>
      <c r="K606" s="667"/>
      <c r="L606" s="667"/>
      <c r="M606" s="667"/>
      <c r="N606" s="667"/>
      <c r="O606" s="668"/>
      <c r="P606" s="667"/>
      <c r="Q606" s="667"/>
      <c r="R606" s="667"/>
      <c r="S606" s="667"/>
      <c r="T606" s="667"/>
      <c r="U606" s="667"/>
      <c r="V606" s="6"/>
      <c r="W606" s="667"/>
      <c r="X606" s="667"/>
      <c r="Y606" s="667"/>
      <c r="Z606" s="667"/>
    </row>
    <row r="607" spans="1:26">
      <c r="A607" s="6"/>
      <c r="B607" s="6"/>
      <c r="C607" s="6"/>
      <c r="D607" s="6"/>
      <c r="E607" s="8"/>
      <c r="F607" s="10"/>
      <c r="G607" s="10"/>
      <c r="H607" s="6"/>
      <c r="I607" s="6"/>
      <c r="J607" s="6"/>
      <c r="K607" s="6"/>
      <c r="L607" s="6"/>
      <c r="M607" s="6"/>
      <c r="N607" s="6"/>
      <c r="O607" s="8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8"/>
      <c r="F608" s="10"/>
      <c r="G608" s="10"/>
      <c r="H608" s="6"/>
      <c r="I608" s="6"/>
      <c r="J608" s="6"/>
      <c r="K608" s="6"/>
      <c r="L608" s="6"/>
      <c r="M608" s="6"/>
      <c r="N608" s="6"/>
      <c r="O608" s="8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8"/>
      <c r="F609" s="10"/>
      <c r="G609" s="10"/>
      <c r="H609" s="6"/>
      <c r="I609" s="6"/>
      <c r="J609" s="6"/>
      <c r="K609" s="6"/>
      <c r="L609" s="6"/>
      <c r="M609" s="6"/>
      <c r="N609" s="6"/>
      <c r="O609" s="8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8"/>
      <c r="F610" s="10"/>
      <c r="G610" s="10"/>
      <c r="H610" s="6"/>
      <c r="I610" s="6"/>
      <c r="J610" s="6"/>
      <c r="K610" s="6"/>
      <c r="L610" s="6"/>
      <c r="M610" s="6"/>
      <c r="N610" s="6"/>
      <c r="O610" s="8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8"/>
      <c r="F611" s="10"/>
      <c r="G611" s="10"/>
      <c r="H611" s="6"/>
      <c r="I611" s="6"/>
      <c r="J611" s="6"/>
      <c r="K611" s="6"/>
      <c r="L611" s="6"/>
      <c r="M611" s="6"/>
      <c r="N611" s="6"/>
      <c r="O611" s="8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8"/>
      <c r="F612" s="10"/>
      <c r="G612" s="10"/>
      <c r="H612" s="6"/>
      <c r="I612" s="6"/>
      <c r="J612" s="6"/>
      <c r="K612" s="6"/>
      <c r="L612" s="6"/>
      <c r="M612" s="6"/>
      <c r="N612" s="6"/>
      <c r="O612" s="8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8"/>
      <c r="F613" s="10"/>
      <c r="G613" s="10"/>
      <c r="H613" s="6"/>
      <c r="I613" s="6"/>
      <c r="J613" s="6"/>
      <c r="K613" s="6"/>
      <c r="L613" s="6"/>
      <c r="M613" s="6"/>
      <c r="N613" s="6"/>
      <c r="O613" s="8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67"/>
      <c r="B614" s="667"/>
      <c r="C614" s="667"/>
      <c r="D614" s="667"/>
      <c r="E614" s="668"/>
      <c r="F614" s="10"/>
      <c r="G614" s="10"/>
      <c r="H614" s="667"/>
      <c r="I614" s="667"/>
      <c r="J614" s="667"/>
      <c r="K614" s="667"/>
      <c r="L614" s="667"/>
      <c r="M614" s="667"/>
      <c r="N614" s="667"/>
      <c r="O614" s="668"/>
      <c r="P614" s="667"/>
      <c r="Q614" s="667"/>
      <c r="R614" s="667"/>
      <c r="S614" s="667"/>
      <c r="T614" s="667"/>
      <c r="U614" s="667"/>
      <c r="V614" s="6"/>
      <c r="W614" s="667"/>
      <c r="X614" s="667"/>
      <c r="Y614" s="667"/>
      <c r="Z614" s="667"/>
    </row>
    <row r="615" spans="1:26">
      <c r="A615" s="667"/>
      <c r="B615" s="667"/>
      <c r="C615" s="667"/>
      <c r="D615" s="667"/>
      <c r="E615" s="668"/>
      <c r="F615" s="10"/>
      <c r="G615" s="10"/>
      <c r="H615" s="667"/>
      <c r="I615" s="667"/>
      <c r="J615" s="667"/>
      <c r="K615" s="667"/>
      <c r="L615" s="667"/>
      <c r="M615" s="667"/>
      <c r="N615" s="667"/>
      <c r="O615" s="668"/>
      <c r="P615" s="667"/>
      <c r="Q615" s="667"/>
      <c r="R615" s="667"/>
      <c r="S615" s="667"/>
      <c r="T615" s="667"/>
      <c r="U615" s="667"/>
      <c r="V615" s="6"/>
      <c r="W615" s="667"/>
      <c r="X615" s="667"/>
      <c r="Y615" s="667"/>
      <c r="Z615" s="667"/>
    </row>
    <row r="616" spans="1:26">
      <c r="A616" s="6"/>
      <c r="B616" s="6"/>
      <c r="C616" s="6"/>
      <c r="D616" s="6"/>
      <c r="E616" s="8"/>
      <c r="F616" s="10"/>
      <c r="G616" s="10"/>
      <c r="H616" s="6"/>
      <c r="I616" s="6"/>
      <c r="J616" s="6"/>
      <c r="K616" s="6"/>
      <c r="L616" s="6"/>
      <c r="M616" s="6"/>
      <c r="N616" s="6"/>
      <c r="O616" s="8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8"/>
      <c r="F617" s="10"/>
      <c r="G617" s="10"/>
      <c r="H617" s="6"/>
      <c r="I617" s="6"/>
      <c r="J617" s="6"/>
      <c r="K617" s="6"/>
      <c r="L617" s="6"/>
      <c r="M617" s="6"/>
      <c r="N617" s="6"/>
      <c r="O617" s="8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67"/>
      <c r="B618" s="667"/>
      <c r="C618" s="667"/>
      <c r="D618" s="667"/>
      <c r="E618" s="668"/>
      <c r="F618" s="10"/>
      <c r="G618" s="10"/>
      <c r="H618" s="667"/>
      <c r="I618" s="667"/>
      <c r="J618" s="667"/>
      <c r="K618" s="667"/>
      <c r="L618" s="667"/>
      <c r="M618" s="667"/>
      <c r="N618" s="667"/>
      <c r="O618" s="668"/>
      <c r="P618" s="667"/>
      <c r="Q618" s="667"/>
      <c r="R618" s="667"/>
      <c r="S618" s="667"/>
      <c r="T618" s="667"/>
      <c r="U618" s="667"/>
      <c r="V618" s="6"/>
      <c r="W618" s="667"/>
      <c r="X618" s="667"/>
      <c r="Y618" s="667"/>
      <c r="Z618" s="667"/>
    </row>
    <row r="619" spans="1:26">
      <c r="A619" s="667"/>
      <c r="B619" s="667"/>
      <c r="C619" s="667"/>
      <c r="D619" s="667"/>
      <c r="E619" s="668"/>
      <c r="F619" s="10"/>
      <c r="G619" s="10"/>
      <c r="H619" s="667"/>
      <c r="I619" s="667"/>
      <c r="J619" s="667"/>
      <c r="K619" s="667"/>
      <c r="L619" s="667"/>
      <c r="M619" s="667"/>
      <c r="N619" s="667"/>
      <c r="O619" s="668"/>
      <c r="P619" s="667"/>
      <c r="Q619" s="667"/>
      <c r="R619" s="667"/>
      <c r="S619" s="667"/>
      <c r="T619" s="667"/>
      <c r="U619" s="667"/>
      <c r="V619" s="6"/>
      <c r="W619" s="667"/>
      <c r="X619" s="667"/>
      <c r="Y619" s="667"/>
      <c r="Z619" s="667"/>
    </row>
    <row r="620" spans="1:26">
      <c r="A620" s="667"/>
      <c r="B620" s="667"/>
      <c r="C620" s="667"/>
      <c r="D620" s="667"/>
      <c r="E620" s="668"/>
      <c r="F620" s="10"/>
      <c r="G620" s="10"/>
      <c r="H620" s="667"/>
      <c r="I620" s="667"/>
      <c r="J620" s="667"/>
      <c r="K620" s="667"/>
      <c r="L620" s="667"/>
      <c r="M620" s="667"/>
      <c r="N620" s="667"/>
      <c r="O620" s="668"/>
      <c r="P620" s="667"/>
      <c r="Q620" s="667"/>
      <c r="R620" s="667"/>
      <c r="S620" s="667"/>
      <c r="T620" s="667"/>
      <c r="U620" s="667"/>
      <c r="V620" s="6"/>
      <c r="W620" s="667"/>
      <c r="X620" s="667"/>
      <c r="Y620" s="667"/>
      <c r="Z620" s="667"/>
    </row>
    <row r="621" spans="1:26">
      <c r="A621" s="667"/>
      <c r="B621" s="667"/>
      <c r="C621" s="667"/>
      <c r="D621" s="667"/>
      <c r="E621" s="668"/>
      <c r="F621" s="10"/>
      <c r="G621" s="10"/>
      <c r="H621" s="667"/>
      <c r="I621" s="667"/>
      <c r="J621" s="667"/>
      <c r="K621" s="667"/>
      <c r="L621" s="667"/>
      <c r="M621" s="667"/>
      <c r="N621" s="667"/>
      <c r="O621" s="668"/>
      <c r="P621" s="667"/>
      <c r="Q621" s="667"/>
      <c r="R621" s="667"/>
      <c r="S621" s="667"/>
      <c r="T621" s="667"/>
      <c r="U621" s="667"/>
      <c r="V621" s="6"/>
      <c r="W621" s="667"/>
      <c r="X621" s="667"/>
      <c r="Y621" s="667"/>
      <c r="Z621" s="667"/>
    </row>
    <row r="622" spans="1:26">
      <c r="A622" s="667"/>
      <c r="B622" s="667"/>
      <c r="C622" s="667"/>
      <c r="D622" s="667"/>
      <c r="E622" s="668"/>
      <c r="F622" s="10"/>
      <c r="G622" s="10"/>
      <c r="H622" s="667"/>
      <c r="I622" s="667"/>
      <c r="J622" s="667"/>
      <c r="K622" s="667"/>
      <c r="L622" s="667"/>
      <c r="M622" s="667"/>
      <c r="N622" s="667"/>
      <c r="O622" s="668"/>
      <c r="P622" s="667"/>
      <c r="Q622" s="667"/>
      <c r="R622" s="667"/>
      <c r="S622" s="667"/>
      <c r="T622" s="667"/>
      <c r="U622" s="667"/>
      <c r="V622" s="6"/>
      <c r="W622" s="667"/>
      <c r="X622" s="667"/>
      <c r="Y622" s="667"/>
      <c r="Z622" s="667"/>
    </row>
    <row r="623" spans="1:26">
      <c r="A623" s="667"/>
      <c r="B623" s="667"/>
      <c r="C623" s="667"/>
      <c r="D623" s="667"/>
      <c r="E623" s="668"/>
      <c r="F623" s="10"/>
      <c r="G623" s="10"/>
      <c r="H623" s="667"/>
      <c r="I623" s="667"/>
      <c r="J623" s="667"/>
      <c r="K623" s="667"/>
      <c r="L623" s="667"/>
      <c r="M623" s="667"/>
      <c r="N623" s="667"/>
      <c r="O623" s="668"/>
      <c r="P623" s="667"/>
      <c r="Q623" s="667"/>
      <c r="R623" s="667"/>
      <c r="S623" s="667"/>
      <c r="T623" s="667"/>
      <c r="U623" s="667"/>
      <c r="V623" s="6"/>
      <c r="W623" s="667"/>
      <c r="X623" s="667"/>
      <c r="Y623" s="667"/>
      <c r="Z623" s="667"/>
    </row>
    <row r="624" spans="1:26">
      <c r="A624" s="6"/>
      <c r="B624" s="6"/>
      <c r="C624" s="6"/>
      <c r="D624" s="6"/>
      <c r="E624" s="8"/>
      <c r="F624" s="10"/>
      <c r="G624" s="10"/>
      <c r="H624" s="6"/>
      <c r="I624" s="6"/>
      <c r="J624" s="6"/>
      <c r="K624" s="6"/>
      <c r="L624" s="6"/>
      <c r="M624" s="6"/>
      <c r="N624" s="6"/>
      <c r="O624" s="8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8"/>
      <c r="F625" s="10"/>
      <c r="G625" s="10"/>
      <c r="H625" s="6"/>
      <c r="I625" s="6"/>
      <c r="J625" s="6"/>
      <c r="K625" s="6"/>
      <c r="L625" s="6"/>
      <c r="M625" s="6"/>
      <c r="N625" s="6"/>
      <c r="O625" s="8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8"/>
      <c r="F626" s="10"/>
      <c r="G626" s="10"/>
      <c r="H626" s="6"/>
      <c r="I626" s="6"/>
      <c r="J626" s="6"/>
      <c r="K626" s="6"/>
      <c r="L626" s="6"/>
      <c r="M626" s="6"/>
      <c r="N626" s="6"/>
      <c r="O626" s="8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67"/>
      <c r="B627" s="667"/>
      <c r="C627" s="667"/>
      <c r="D627" s="667"/>
      <c r="E627" s="668"/>
      <c r="F627" s="10"/>
      <c r="G627" s="10"/>
      <c r="H627" s="667"/>
      <c r="I627" s="667"/>
      <c r="J627" s="667"/>
      <c r="K627" s="667"/>
      <c r="L627" s="667"/>
      <c r="M627" s="667"/>
      <c r="N627" s="667"/>
      <c r="O627" s="668"/>
      <c r="P627" s="667"/>
      <c r="Q627" s="667"/>
      <c r="R627" s="667"/>
      <c r="S627" s="667"/>
      <c r="T627" s="667"/>
      <c r="U627" s="667"/>
      <c r="V627" s="6"/>
      <c r="W627" s="667"/>
      <c r="X627" s="667"/>
      <c r="Y627" s="667"/>
      <c r="Z627" s="667"/>
    </row>
    <row r="628" spans="1:26">
      <c r="A628" s="667"/>
      <c r="B628" s="667"/>
      <c r="C628" s="667"/>
      <c r="D628" s="667"/>
      <c r="E628" s="668"/>
      <c r="F628" s="10"/>
      <c r="G628" s="10"/>
      <c r="H628" s="667"/>
      <c r="I628" s="667"/>
      <c r="J628" s="667"/>
      <c r="K628" s="667"/>
      <c r="L628" s="667"/>
      <c r="M628" s="667"/>
      <c r="N628" s="667"/>
      <c r="O628" s="668"/>
      <c r="P628" s="667"/>
      <c r="Q628" s="667"/>
      <c r="R628" s="667"/>
      <c r="S628" s="667"/>
      <c r="T628" s="667"/>
      <c r="U628" s="667"/>
      <c r="V628" s="6"/>
      <c r="W628" s="667"/>
      <c r="X628" s="667"/>
      <c r="Y628" s="667"/>
      <c r="Z628" s="667"/>
    </row>
    <row r="629" spans="1:26">
      <c r="A629" s="667"/>
      <c r="B629" s="667"/>
      <c r="C629" s="667"/>
      <c r="D629" s="667"/>
      <c r="E629" s="668"/>
      <c r="F629" s="10"/>
      <c r="G629" s="10"/>
      <c r="H629" s="667"/>
      <c r="I629" s="667"/>
      <c r="J629" s="667"/>
      <c r="K629" s="667"/>
      <c r="L629" s="667"/>
      <c r="M629" s="667"/>
      <c r="N629" s="667"/>
      <c r="O629" s="668"/>
      <c r="P629" s="667"/>
      <c r="Q629" s="667"/>
      <c r="R629" s="667"/>
      <c r="S629" s="667"/>
      <c r="T629" s="667"/>
      <c r="U629" s="667"/>
      <c r="V629" s="6"/>
      <c r="W629" s="667"/>
      <c r="X629" s="667"/>
      <c r="Y629" s="667"/>
      <c r="Z629" s="667"/>
    </row>
    <row r="630" spans="1:26">
      <c r="A630" s="6"/>
      <c r="B630" s="6"/>
      <c r="C630" s="6"/>
      <c r="D630" s="6"/>
      <c r="E630" s="8"/>
      <c r="F630" s="10"/>
      <c r="G630" s="10"/>
      <c r="H630" s="6"/>
      <c r="I630" s="6"/>
      <c r="J630" s="6"/>
      <c r="K630" s="6"/>
      <c r="L630" s="6"/>
      <c r="M630" s="6"/>
      <c r="N630" s="6"/>
      <c r="O630" s="8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67"/>
      <c r="B631" s="667"/>
      <c r="C631" s="667"/>
      <c r="D631" s="667"/>
      <c r="E631" s="668"/>
      <c r="F631" s="10"/>
      <c r="G631" s="10"/>
      <c r="H631" s="667"/>
      <c r="I631" s="667"/>
      <c r="J631" s="667"/>
      <c r="K631" s="667"/>
      <c r="L631" s="667"/>
      <c r="M631" s="667"/>
      <c r="N631" s="667"/>
      <c r="O631" s="668"/>
      <c r="P631" s="667"/>
      <c r="Q631" s="667"/>
      <c r="R631" s="667"/>
      <c r="S631" s="667"/>
      <c r="T631" s="667"/>
      <c r="U631" s="667"/>
      <c r="V631" s="6"/>
      <c r="W631" s="667"/>
      <c r="X631" s="667"/>
      <c r="Y631" s="667"/>
      <c r="Z631" s="667"/>
    </row>
    <row r="632" spans="1:26">
      <c r="A632" s="667"/>
      <c r="B632" s="667"/>
      <c r="C632" s="667"/>
      <c r="D632" s="667"/>
      <c r="E632" s="668"/>
      <c r="F632" s="10"/>
      <c r="G632" s="10"/>
      <c r="H632" s="667"/>
      <c r="I632" s="667"/>
      <c r="J632" s="667"/>
      <c r="K632" s="667"/>
      <c r="L632" s="667"/>
      <c r="M632" s="667"/>
      <c r="N632" s="667"/>
      <c r="O632" s="668"/>
      <c r="P632" s="667"/>
      <c r="Q632" s="667"/>
      <c r="R632" s="667"/>
      <c r="S632" s="667"/>
      <c r="T632" s="667"/>
      <c r="U632" s="667"/>
      <c r="V632" s="6"/>
      <c r="W632" s="667"/>
      <c r="X632" s="667"/>
      <c r="Y632" s="667"/>
      <c r="Z632" s="667"/>
    </row>
    <row r="633" spans="1:26">
      <c r="A633" s="6"/>
      <c r="B633" s="6"/>
      <c r="C633" s="6"/>
      <c r="D633" s="6"/>
      <c r="E633" s="8"/>
      <c r="F633" s="10"/>
      <c r="G633" s="10"/>
      <c r="H633" s="6"/>
      <c r="I633" s="6"/>
      <c r="J633" s="6"/>
      <c r="K633" s="6"/>
      <c r="L633" s="6"/>
      <c r="M633" s="6"/>
      <c r="N633" s="6"/>
      <c r="O633" s="8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67"/>
      <c r="B634" s="667"/>
      <c r="C634" s="667"/>
      <c r="D634" s="667"/>
      <c r="E634" s="668"/>
      <c r="F634" s="10"/>
      <c r="G634" s="10"/>
      <c r="H634" s="667"/>
      <c r="I634" s="667"/>
      <c r="J634" s="667"/>
      <c r="K634" s="667"/>
      <c r="L634" s="667"/>
      <c r="M634" s="667"/>
      <c r="N634" s="667"/>
      <c r="O634" s="668"/>
      <c r="P634" s="667"/>
      <c r="Q634" s="667"/>
      <c r="R634" s="667"/>
      <c r="S634" s="667"/>
      <c r="T634" s="667"/>
      <c r="U634" s="667"/>
      <c r="V634" s="6"/>
      <c r="W634" s="667"/>
      <c r="X634" s="667"/>
      <c r="Y634" s="667"/>
      <c r="Z634" s="667"/>
    </row>
    <row r="635" spans="1:26">
      <c r="A635" s="667"/>
      <c r="B635" s="667"/>
      <c r="C635" s="667"/>
      <c r="D635" s="667"/>
      <c r="E635" s="668"/>
      <c r="F635" s="10"/>
      <c r="G635" s="10"/>
      <c r="H635" s="667"/>
      <c r="I635" s="667"/>
      <c r="J635" s="667"/>
      <c r="K635" s="667"/>
      <c r="L635" s="667"/>
      <c r="M635" s="667"/>
      <c r="N635" s="667"/>
      <c r="O635" s="668"/>
      <c r="P635" s="667"/>
      <c r="Q635" s="667"/>
      <c r="R635" s="667"/>
      <c r="S635" s="667"/>
      <c r="T635" s="667"/>
      <c r="U635" s="667"/>
      <c r="V635" s="6"/>
      <c r="W635" s="667"/>
      <c r="X635" s="667"/>
      <c r="Y635" s="667"/>
      <c r="Z635" s="667"/>
    </row>
    <row r="636" spans="1:26">
      <c r="A636" s="6"/>
      <c r="B636" s="6"/>
      <c r="C636" s="6"/>
      <c r="D636" s="6"/>
      <c r="E636" s="8"/>
      <c r="F636" s="10"/>
      <c r="G636" s="10"/>
      <c r="H636" s="6"/>
      <c r="I636" s="6"/>
      <c r="J636" s="6"/>
      <c r="K636" s="6"/>
      <c r="L636" s="6"/>
      <c r="M636" s="6"/>
      <c r="N636" s="6"/>
      <c r="O636" s="8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8"/>
      <c r="F637" s="10"/>
      <c r="G637" s="10"/>
      <c r="H637" s="6"/>
      <c r="I637" s="6"/>
      <c r="J637" s="6"/>
      <c r="K637" s="6"/>
      <c r="L637" s="6"/>
      <c r="M637" s="6"/>
      <c r="N637" s="6"/>
      <c r="O637" s="8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8"/>
      <c r="F638" s="10"/>
      <c r="G638" s="10"/>
      <c r="H638" s="6"/>
      <c r="I638" s="6"/>
      <c r="J638" s="6"/>
      <c r="K638" s="6"/>
      <c r="L638" s="6"/>
      <c r="M638" s="6"/>
      <c r="N638" s="6"/>
      <c r="O638" s="8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8"/>
      <c r="F639" s="10"/>
      <c r="G639" s="10"/>
      <c r="H639" s="6"/>
      <c r="I639" s="6"/>
      <c r="J639" s="6"/>
      <c r="K639" s="6"/>
      <c r="L639" s="6"/>
      <c r="M639" s="6"/>
      <c r="N639" s="6"/>
      <c r="O639" s="8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8"/>
      <c r="F640" s="10"/>
      <c r="G640" s="10"/>
      <c r="H640" s="6"/>
      <c r="I640" s="6"/>
      <c r="J640" s="6"/>
      <c r="K640" s="6"/>
      <c r="L640" s="6"/>
      <c r="M640" s="6"/>
      <c r="N640" s="6"/>
      <c r="O640" s="8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8"/>
      <c r="F641" s="10"/>
      <c r="G641" s="10"/>
      <c r="H641" s="6"/>
      <c r="I641" s="6"/>
      <c r="J641" s="6"/>
      <c r="K641" s="6"/>
      <c r="L641" s="6"/>
      <c r="M641" s="6"/>
      <c r="N641" s="6"/>
      <c r="O641" s="8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67"/>
      <c r="B642" s="667"/>
      <c r="C642" s="667"/>
      <c r="D642" s="667"/>
      <c r="E642" s="668"/>
      <c r="F642" s="10"/>
      <c r="G642" s="10"/>
      <c r="H642" s="667"/>
      <c r="I642" s="667"/>
      <c r="J642" s="667"/>
      <c r="K642" s="667"/>
      <c r="L642" s="667"/>
      <c r="M642" s="667"/>
      <c r="N642" s="667"/>
      <c r="O642" s="668"/>
      <c r="P642" s="667"/>
      <c r="Q642" s="667"/>
      <c r="R642" s="667"/>
      <c r="S642" s="667"/>
      <c r="T642" s="667"/>
      <c r="U642" s="667"/>
      <c r="V642" s="6"/>
      <c r="W642" s="667"/>
      <c r="X642" s="667"/>
      <c r="Y642" s="667"/>
      <c r="Z642" s="667"/>
    </row>
    <row r="643" spans="1:26">
      <c r="A643" s="667"/>
      <c r="B643" s="667"/>
      <c r="C643" s="667"/>
      <c r="D643" s="667"/>
      <c r="E643" s="668"/>
      <c r="F643" s="10"/>
      <c r="G643" s="10"/>
      <c r="H643" s="667"/>
      <c r="I643" s="667"/>
      <c r="J643" s="667"/>
      <c r="K643" s="667"/>
      <c r="L643" s="667"/>
      <c r="M643" s="667"/>
      <c r="N643" s="667"/>
      <c r="O643" s="668"/>
      <c r="P643" s="667"/>
      <c r="Q643" s="667"/>
      <c r="R643" s="667"/>
      <c r="S643" s="667"/>
      <c r="T643" s="667"/>
      <c r="U643" s="667"/>
      <c r="V643" s="6"/>
      <c r="W643" s="667"/>
      <c r="X643" s="667"/>
      <c r="Y643" s="667"/>
      <c r="Z643" s="667"/>
    </row>
    <row r="644" spans="1:26">
      <c r="A644" s="667"/>
      <c r="B644" s="667"/>
      <c r="C644" s="667"/>
      <c r="D644" s="667"/>
      <c r="E644" s="668"/>
      <c r="F644" s="10"/>
      <c r="G644" s="10"/>
      <c r="H644" s="667"/>
      <c r="I644" s="667"/>
      <c r="J644" s="667"/>
      <c r="K644" s="667"/>
      <c r="L644" s="667"/>
      <c r="M644" s="667"/>
      <c r="N644" s="667"/>
      <c r="O644" s="668"/>
      <c r="P644" s="667"/>
      <c r="Q644" s="667"/>
      <c r="R644" s="667"/>
      <c r="S644" s="667"/>
      <c r="T644" s="667"/>
      <c r="U644" s="667"/>
      <c r="V644" s="6"/>
      <c r="W644" s="667"/>
      <c r="X644" s="667"/>
      <c r="Y644" s="667"/>
      <c r="Z644" s="667"/>
    </row>
    <row r="645" spans="1:26">
      <c r="A645" s="6"/>
      <c r="B645" s="6"/>
      <c r="C645" s="6"/>
      <c r="D645" s="6"/>
      <c r="E645" s="8"/>
      <c r="F645" s="10"/>
      <c r="G645" s="10"/>
      <c r="H645" s="6"/>
      <c r="I645" s="6"/>
      <c r="J645" s="6"/>
      <c r="K645" s="6"/>
      <c r="L645" s="6"/>
      <c r="M645" s="6"/>
      <c r="N645" s="6"/>
      <c r="O645" s="8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8"/>
      <c r="F646" s="10"/>
      <c r="G646" s="10"/>
      <c r="H646" s="6"/>
      <c r="I646" s="6"/>
      <c r="J646" s="6"/>
      <c r="K646" s="6"/>
      <c r="L646" s="6"/>
      <c r="M646" s="6"/>
      <c r="N646" s="6"/>
      <c r="O646" s="8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8"/>
      <c r="F647" s="10"/>
      <c r="G647" s="10"/>
      <c r="H647" s="6"/>
      <c r="I647" s="6"/>
      <c r="J647" s="6"/>
      <c r="K647" s="6"/>
      <c r="L647" s="6"/>
      <c r="M647" s="6"/>
      <c r="N647" s="6"/>
      <c r="O647" s="8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8"/>
      <c r="F648" s="10"/>
      <c r="G648" s="10"/>
      <c r="H648" s="6"/>
      <c r="I648" s="6"/>
      <c r="J648" s="6"/>
      <c r="K648" s="6"/>
      <c r="L648" s="6"/>
      <c r="M648" s="6"/>
      <c r="N648" s="6"/>
      <c r="O648" s="8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8"/>
      <c r="F649" s="10"/>
      <c r="G649" s="10"/>
      <c r="H649" s="6"/>
      <c r="I649" s="6"/>
      <c r="J649" s="6"/>
      <c r="K649" s="6"/>
      <c r="L649" s="6"/>
      <c r="M649" s="6"/>
      <c r="N649" s="6"/>
      <c r="O649" s="8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8"/>
      <c r="F650" s="10"/>
      <c r="G650" s="10"/>
      <c r="H650" s="6"/>
      <c r="I650" s="6"/>
      <c r="J650" s="6"/>
      <c r="K650" s="6"/>
      <c r="L650" s="6"/>
      <c r="M650" s="6"/>
      <c r="N650" s="6"/>
      <c r="O650" s="8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8"/>
      <c r="F651" s="10"/>
      <c r="G651" s="10"/>
      <c r="H651" s="6"/>
      <c r="I651" s="6"/>
      <c r="J651" s="6"/>
      <c r="K651" s="6"/>
      <c r="L651" s="6"/>
      <c r="M651" s="6"/>
      <c r="N651" s="6"/>
      <c r="O651" s="8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8"/>
      <c r="F652" s="10"/>
      <c r="G652" s="10"/>
      <c r="H652" s="6"/>
      <c r="I652" s="6"/>
      <c r="J652" s="6"/>
      <c r="K652" s="6"/>
      <c r="L652" s="6"/>
      <c r="M652" s="6"/>
      <c r="N652" s="6"/>
      <c r="O652" s="8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67"/>
      <c r="B653" s="667"/>
      <c r="C653" s="667"/>
      <c r="D653" s="667"/>
      <c r="E653" s="668"/>
      <c r="F653" s="10"/>
      <c r="G653" s="10"/>
      <c r="H653" s="667"/>
      <c r="I653" s="667"/>
      <c r="J653" s="667"/>
      <c r="K653" s="667"/>
      <c r="L653" s="667"/>
      <c r="M653" s="667"/>
      <c r="N653" s="667"/>
      <c r="O653" s="668"/>
      <c r="P653" s="667"/>
      <c r="Q653" s="667"/>
      <c r="R653" s="667"/>
      <c r="S653" s="667"/>
      <c r="T653" s="667"/>
      <c r="U653" s="667"/>
      <c r="V653" s="6"/>
      <c r="W653" s="667"/>
      <c r="X653" s="667"/>
      <c r="Y653" s="667"/>
      <c r="Z653" s="667"/>
    </row>
    <row r="654" spans="1:26">
      <c r="A654" s="667"/>
      <c r="B654" s="667"/>
      <c r="C654" s="667"/>
      <c r="D654" s="667"/>
      <c r="E654" s="668"/>
      <c r="F654" s="10"/>
      <c r="G654" s="10"/>
      <c r="H654" s="667"/>
      <c r="I654" s="667"/>
      <c r="J654" s="667"/>
      <c r="K654" s="667"/>
      <c r="L654" s="667"/>
      <c r="M654" s="667"/>
      <c r="N654" s="667"/>
      <c r="O654" s="668"/>
      <c r="P654" s="667"/>
      <c r="Q654" s="667"/>
      <c r="R654" s="667"/>
      <c r="S654" s="667"/>
      <c r="T654" s="667"/>
      <c r="U654" s="667"/>
      <c r="V654" s="6"/>
      <c r="W654" s="667"/>
      <c r="X654" s="667"/>
      <c r="Y654" s="667"/>
      <c r="Z654" s="667"/>
    </row>
    <row r="655" spans="1:26">
      <c r="A655" s="6"/>
      <c r="B655" s="6"/>
      <c r="C655" s="6"/>
      <c r="D655" s="6"/>
      <c r="E655" s="8"/>
      <c r="F655" s="10"/>
      <c r="G655" s="10"/>
      <c r="H655" s="6"/>
      <c r="I655" s="6"/>
      <c r="J655" s="6"/>
      <c r="K655" s="6"/>
      <c r="L655" s="6"/>
      <c r="M655" s="6"/>
      <c r="N655" s="6"/>
      <c r="O655" s="8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8"/>
      <c r="F656" s="10"/>
      <c r="G656" s="10"/>
      <c r="H656" s="6"/>
      <c r="I656" s="6"/>
      <c r="J656" s="6"/>
      <c r="K656" s="6"/>
      <c r="L656" s="6"/>
      <c r="M656" s="6"/>
      <c r="N656" s="6"/>
      <c r="O656" s="8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8"/>
      <c r="F657" s="10"/>
      <c r="G657" s="10"/>
      <c r="H657" s="6"/>
      <c r="I657" s="6"/>
      <c r="J657" s="6"/>
      <c r="K657" s="6"/>
      <c r="L657" s="6"/>
      <c r="M657" s="6"/>
      <c r="N657" s="6"/>
      <c r="O657" s="8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8"/>
      <c r="F658" s="10"/>
      <c r="G658" s="10"/>
      <c r="H658" s="6"/>
      <c r="I658" s="6"/>
      <c r="J658" s="6"/>
      <c r="K658" s="6"/>
      <c r="L658" s="6"/>
      <c r="M658" s="6"/>
      <c r="N658" s="6"/>
      <c r="O658" s="8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67"/>
      <c r="B659" s="667"/>
      <c r="C659" s="667"/>
      <c r="D659" s="667"/>
      <c r="E659" s="668"/>
      <c r="F659" s="10"/>
      <c r="G659" s="10"/>
      <c r="H659" s="667"/>
      <c r="I659" s="667"/>
      <c r="J659" s="667"/>
      <c r="K659" s="667"/>
      <c r="L659" s="667"/>
      <c r="M659" s="667"/>
      <c r="N659" s="667"/>
      <c r="O659" s="668"/>
      <c r="P659" s="667"/>
      <c r="Q659" s="667"/>
      <c r="R659" s="667"/>
      <c r="S659" s="667"/>
      <c r="T659" s="667"/>
      <c r="U659" s="667"/>
      <c r="V659" s="6"/>
      <c r="W659" s="667"/>
      <c r="X659" s="667"/>
      <c r="Y659" s="667"/>
      <c r="Z659" s="667"/>
    </row>
    <row r="660" spans="1:26">
      <c r="A660" s="667"/>
      <c r="B660" s="667"/>
      <c r="C660" s="667"/>
      <c r="D660" s="667"/>
      <c r="E660" s="668"/>
      <c r="F660" s="10"/>
      <c r="G660" s="10"/>
      <c r="H660" s="667"/>
      <c r="I660" s="667"/>
      <c r="J660" s="667"/>
      <c r="K660" s="667"/>
      <c r="L660" s="667"/>
      <c r="M660" s="667"/>
      <c r="N660" s="667"/>
      <c r="O660" s="668"/>
      <c r="P660" s="667"/>
      <c r="Q660" s="667"/>
      <c r="R660" s="667"/>
      <c r="S660" s="667"/>
      <c r="T660" s="667"/>
      <c r="U660" s="667"/>
      <c r="V660" s="6"/>
      <c r="W660" s="667"/>
      <c r="X660" s="667"/>
      <c r="Y660" s="667"/>
      <c r="Z660" s="667"/>
    </row>
    <row r="661" spans="1:26">
      <c r="A661" s="6"/>
      <c r="B661" s="6"/>
      <c r="C661" s="6"/>
      <c r="D661" s="6"/>
      <c r="E661" s="8"/>
      <c r="F661" s="10"/>
      <c r="G661" s="10"/>
      <c r="H661" s="6"/>
      <c r="I661" s="6"/>
      <c r="J661" s="6"/>
      <c r="K661" s="6"/>
      <c r="L661" s="6"/>
      <c r="M661" s="6"/>
      <c r="N661" s="6"/>
      <c r="O661" s="8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8"/>
      <c r="F662" s="10"/>
      <c r="G662" s="10"/>
      <c r="H662" s="6"/>
      <c r="I662" s="6"/>
      <c r="J662" s="6"/>
      <c r="K662" s="6"/>
      <c r="L662" s="6"/>
      <c r="M662" s="6"/>
      <c r="N662" s="6"/>
      <c r="O662" s="8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8"/>
      <c r="F663" s="10"/>
      <c r="G663" s="10"/>
      <c r="H663" s="6"/>
      <c r="I663" s="6"/>
      <c r="J663" s="6"/>
      <c r="K663" s="6"/>
      <c r="L663" s="6"/>
      <c r="M663" s="6"/>
      <c r="N663" s="6"/>
      <c r="O663" s="8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8"/>
      <c r="F664" s="10"/>
      <c r="G664" s="10"/>
      <c r="H664" s="6"/>
      <c r="I664" s="6"/>
      <c r="J664" s="6"/>
      <c r="K664" s="6"/>
      <c r="L664" s="6"/>
      <c r="M664" s="6"/>
      <c r="N664" s="6"/>
      <c r="O664" s="8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8"/>
      <c r="F665" s="10"/>
      <c r="G665" s="10"/>
      <c r="H665" s="6"/>
      <c r="I665" s="6"/>
      <c r="J665" s="6"/>
      <c r="K665" s="6"/>
      <c r="L665" s="6"/>
      <c r="M665" s="6"/>
      <c r="N665" s="6"/>
      <c r="O665" s="8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8"/>
      <c r="F666" s="10"/>
      <c r="G666" s="10"/>
      <c r="H666" s="6"/>
      <c r="I666" s="6"/>
      <c r="J666" s="6"/>
      <c r="K666" s="6"/>
      <c r="L666" s="6"/>
      <c r="M666" s="6"/>
      <c r="N666" s="6"/>
      <c r="O666" s="8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8"/>
      <c r="F667" s="10"/>
      <c r="G667" s="10"/>
      <c r="H667" s="6"/>
      <c r="I667" s="6"/>
      <c r="J667" s="6"/>
      <c r="K667" s="6"/>
      <c r="L667" s="6"/>
      <c r="M667" s="6"/>
      <c r="N667" s="6"/>
      <c r="O667" s="8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8"/>
      <c r="F668" s="10"/>
      <c r="G668" s="10"/>
      <c r="H668" s="6"/>
      <c r="I668" s="6"/>
      <c r="J668" s="6"/>
      <c r="K668" s="6"/>
      <c r="L668" s="6"/>
      <c r="M668" s="6"/>
      <c r="N668" s="6"/>
      <c r="O668" s="8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8"/>
      <c r="F669" s="10"/>
      <c r="G669" s="10"/>
      <c r="H669" s="6"/>
      <c r="I669" s="6"/>
      <c r="J669" s="6"/>
      <c r="K669" s="6"/>
      <c r="L669" s="6"/>
      <c r="M669" s="6"/>
      <c r="N669" s="6"/>
      <c r="O669" s="8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8"/>
      <c r="F670" s="10"/>
      <c r="G670" s="10"/>
      <c r="H670" s="6"/>
      <c r="I670" s="6"/>
      <c r="J670" s="6"/>
      <c r="K670" s="6"/>
      <c r="L670" s="6"/>
      <c r="M670" s="6"/>
      <c r="N670" s="6"/>
      <c r="O670" s="8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8"/>
      <c r="F671" s="10"/>
      <c r="G671" s="10"/>
      <c r="H671" s="6"/>
      <c r="I671" s="6"/>
      <c r="J671" s="6"/>
      <c r="K671" s="6"/>
      <c r="L671" s="6"/>
      <c r="M671" s="6"/>
      <c r="N671" s="6"/>
      <c r="O671" s="8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8"/>
      <c r="F672" s="10"/>
      <c r="G672" s="10"/>
      <c r="H672" s="6"/>
      <c r="I672" s="6"/>
      <c r="J672" s="6"/>
      <c r="K672" s="6"/>
      <c r="L672" s="6"/>
      <c r="M672" s="6"/>
      <c r="N672" s="6"/>
      <c r="O672" s="8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8"/>
      <c r="F673" s="10"/>
      <c r="G673" s="10"/>
      <c r="H673" s="6"/>
      <c r="I673" s="6"/>
      <c r="J673" s="6"/>
      <c r="K673" s="6"/>
      <c r="L673" s="6"/>
      <c r="M673" s="6"/>
      <c r="N673" s="6"/>
      <c r="O673" s="8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8"/>
      <c r="F674" s="10"/>
      <c r="G674" s="10"/>
      <c r="H674" s="6"/>
      <c r="I674" s="6"/>
      <c r="J674" s="6"/>
      <c r="K674" s="6"/>
      <c r="L674" s="6"/>
      <c r="M674" s="6"/>
      <c r="N674" s="6"/>
      <c r="O674" s="8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8"/>
      <c r="F675" s="10"/>
      <c r="G675" s="10"/>
      <c r="H675" s="6"/>
      <c r="I675" s="6"/>
      <c r="J675" s="6"/>
      <c r="K675" s="6"/>
      <c r="L675" s="6"/>
      <c r="M675" s="6"/>
      <c r="N675" s="6"/>
      <c r="O675" s="8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8"/>
      <c r="F676" s="10"/>
      <c r="G676" s="10"/>
      <c r="H676" s="6"/>
      <c r="I676" s="6"/>
      <c r="J676" s="6"/>
      <c r="K676" s="6"/>
      <c r="L676" s="6"/>
      <c r="M676" s="6"/>
      <c r="N676" s="6"/>
      <c r="O676" s="8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67"/>
      <c r="B677" s="667"/>
      <c r="C677" s="667"/>
      <c r="D677" s="667"/>
      <c r="E677" s="668"/>
      <c r="F677" s="10"/>
      <c r="G677" s="10"/>
      <c r="H677" s="667"/>
      <c r="I677" s="667"/>
      <c r="J677" s="667"/>
      <c r="K677" s="667"/>
      <c r="L677" s="667"/>
      <c r="M677" s="667"/>
      <c r="N677" s="667"/>
      <c r="O677" s="668"/>
      <c r="P677" s="667"/>
      <c r="Q677" s="667"/>
      <c r="R677" s="667"/>
      <c r="S677" s="667"/>
      <c r="T677" s="667"/>
      <c r="U677" s="667"/>
      <c r="V677" s="6"/>
      <c r="W677" s="667"/>
      <c r="X677" s="667"/>
      <c r="Y677" s="667"/>
      <c r="Z677" s="667"/>
    </row>
    <row r="678" spans="1:26">
      <c r="A678" s="667"/>
      <c r="B678" s="667"/>
      <c r="C678" s="667"/>
      <c r="D678" s="667"/>
      <c r="E678" s="668"/>
      <c r="F678" s="10"/>
      <c r="G678" s="10"/>
      <c r="H678" s="667"/>
      <c r="I678" s="667"/>
      <c r="J678" s="667"/>
      <c r="K678" s="667"/>
      <c r="L678" s="667"/>
      <c r="M678" s="667"/>
      <c r="N678" s="667"/>
      <c r="O678" s="668"/>
      <c r="P678" s="667"/>
      <c r="Q678" s="667"/>
      <c r="R678" s="667"/>
      <c r="S678" s="667"/>
      <c r="T678" s="667"/>
      <c r="U678" s="667"/>
      <c r="V678" s="6"/>
      <c r="W678" s="667"/>
      <c r="X678" s="667"/>
      <c r="Y678" s="667"/>
      <c r="Z678" s="667"/>
    </row>
    <row r="679" spans="1:26">
      <c r="A679" s="6"/>
      <c r="B679" s="6"/>
      <c r="C679" s="6"/>
      <c r="D679" s="6"/>
      <c r="E679" s="8"/>
      <c r="F679" s="10"/>
      <c r="G679" s="10"/>
      <c r="H679" s="6"/>
      <c r="I679" s="6"/>
      <c r="J679" s="6"/>
      <c r="K679" s="6"/>
      <c r="L679" s="6"/>
      <c r="M679" s="6"/>
      <c r="N679" s="6"/>
      <c r="O679" s="8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8"/>
      <c r="F680" s="10"/>
      <c r="G680" s="10"/>
      <c r="H680" s="6"/>
      <c r="I680" s="6"/>
      <c r="J680" s="6"/>
      <c r="K680" s="6"/>
      <c r="L680" s="6"/>
      <c r="M680" s="6"/>
      <c r="N680" s="6"/>
      <c r="O680" s="8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8"/>
      <c r="F681" s="10"/>
      <c r="G681" s="10"/>
      <c r="H681" s="6"/>
      <c r="I681" s="6"/>
      <c r="J681" s="6"/>
      <c r="K681" s="6"/>
      <c r="L681" s="6"/>
      <c r="M681" s="6"/>
      <c r="N681" s="6"/>
      <c r="O681" s="8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8"/>
      <c r="F682" s="10"/>
      <c r="G682" s="10"/>
      <c r="H682" s="6"/>
      <c r="I682" s="6"/>
      <c r="J682" s="6"/>
      <c r="K682" s="6"/>
      <c r="L682" s="6"/>
      <c r="M682" s="6"/>
      <c r="N682" s="6"/>
      <c r="O682" s="8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8"/>
      <c r="F683" s="10"/>
      <c r="G683" s="10"/>
      <c r="H683" s="6"/>
      <c r="I683" s="6"/>
      <c r="J683" s="6"/>
      <c r="K683" s="6"/>
      <c r="L683" s="6"/>
      <c r="M683" s="6"/>
      <c r="N683" s="6"/>
      <c r="O683" s="8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8"/>
      <c r="F684" s="10"/>
      <c r="G684" s="10"/>
      <c r="H684" s="6"/>
      <c r="I684" s="6"/>
      <c r="J684" s="6"/>
      <c r="K684" s="6"/>
      <c r="L684" s="6"/>
      <c r="M684" s="6"/>
      <c r="N684" s="6"/>
      <c r="O684" s="8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67"/>
      <c r="B685" s="667"/>
      <c r="C685" s="667"/>
      <c r="D685" s="667"/>
      <c r="E685" s="668"/>
      <c r="F685" s="10"/>
      <c r="G685" s="10"/>
      <c r="H685" s="667"/>
      <c r="I685" s="667"/>
      <c r="J685" s="667"/>
      <c r="K685" s="667"/>
      <c r="L685" s="667"/>
      <c r="M685" s="667"/>
      <c r="N685" s="667"/>
      <c r="O685" s="668"/>
      <c r="P685" s="667"/>
      <c r="Q685" s="667"/>
      <c r="R685" s="667"/>
      <c r="S685" s="667"/>
      <c r="T685" s="667"/>
      <c r="U685" s="667"/>
      <c r="V685" s="6"/>
      <c r="W685" s="667"/>
      <c r="X685" s="667"/>
      <c r="Y685" s="667"/>
      <c r="Z685" s="667"/>
    </row>
    <row r="686" spans="1:26">
      <c r="A686" s="667"/>
      <c r="B686" s="667"/>
      <c r="C686" s="667"/>
      <c r="D686" s="667"/>
      <c r="E686" s="668"/>
      <c r="F686" s="10"/>
      <c r="G686" s="10"/>
      <c r="H686" s="667"/>
      <c r="I686" s="667"/>
      <c r="J686" s="667"/>
      <c r="K686" s="667"/>
      <c r="L686" s="667"/>
      <c r="M686" s="667"/>
      <c r="N686" s="667"/>
      <c r="O686" s="668"/>
      <c r="P686" s="667"/>
      <c r="Q686" s="667"/>
      <c r="R686" s="667"/>
      <c r="S686" s="667"/>
      <c r="T686" s="667"/>
      <c r="U686" s="667"/>
      <c r="W686" s="667"/>
      <c r="X686" s="667"/>
      <c r="Y686" s="667"/>
      <c r="Z686" s="667"/>
    </row>
    <row r="687" spans="1:26">
      <c r="A687" s="667"/>
      <c r="B687" s="667"/>
      <c r="C687" s="667"/>
      <c r="D687" s="667"/>
      <c r="E687" s="668"/>
      <c r="F687" s="10"/>
      <c r="G687" s="10"/>
      <c r="H687" s="667"/>
      <c r="I687" s="667"/>
      <c r="J687" s="667"/>
      <c r="K687" s="667"/>
      <c r="L687" s="667"/>
      <c r="M687" s="667"/>
      <c r="N687" s="667"/>
      <c r="O687" s="668"/>
      <c r="P687" s="667"/>
      <c r="Q687" s="667"/>
      <c r="R687" s="667"/>
      <c r="S687" s="667"/>
      <c r="T687" s="667"/>
      <c r="U687" s="667"/>
      <c r="V687" s="6"/>
      <c r="W687" s="667"/>
      <c r="X687" s="667"/>
      <c r="Y687" s="667"/>
      <c r="Z687" s="667"/>
    </row>
    <row r="688" spans="1:26">
      <c r="A688" s="6"/>
      <c r="B688" s="6"/>
      <c r="C688" s="6"/>
      <c r="D688" s="6"/>
      <c r="E688" s="8"/>
      <c r="F688" s="10"/>
      <c r="G688" s="10"/>
      <c r="H688" s="6"/>
      <c r="I688" s="6"/>
      <c r="J688" s="6"/>
      <c r="K688" s="6"/>
      <c r="L688" s="6"/>
      <c r="M688" s="6"/>
      <c r="N688" s="6"/>
      <c r="O688" s="8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67"/>
      <c r="B689" s="667"/>
      <c r="C689" s="667"/>
      <c r="D689" s="667"/>
      <c r="E689" s="668"/>
      <c r="F689" s="10"/>
      <c r="G689" s="10"/>
      <c r="H689" s="667"/>
      <c r="I689" s="667"/>
      <c r="J689" s="667"/>
      <c r="K689" s="667"/>
      <c r="L689" s="667"/>
      <c r="M689" s="667"/>
      <c r="N689" s="667"/>
      <c r="O689" s="668"/>
      <c r="P689" s="667"/>
      <c r="Q689" s="667"/>
      <c r="R689" s="667"/>
      <c r="S689" s="667"/>
      <c r="T689" s="667"/>
      <c r="U689" s="667"/>
      <c r="V689" s="6"/>
      <c r="W689" s="667"/>
      <c r="X689" s="667"/>
      <c r="Y689" s="667"/>
      <c r="Z689" s="667"/>
    </row>
    <row r="690" spans="1:26">
      <c r="A690" s="667"/>
      <c r="B690" s="667"/>
      <c r="C690" s="667"/>
      <c r="D690" s="667"/>
      <c r="E690" s="668"/>
      <c r="F690" s="10"/>
      <c r="G690" s="10"/>
      <c r="H690" s="667"/>
      <c r="I690" s="667"/>
      <c r="J690" s="667"/>
      <c r="K690" s="667"/>
      <c r="L690" s="667"/>
      <c r="M690" s="667"/>
      <c r="N690" s="667"/>
      <c r="O690" s="668"/>
      <c r="P690" s="667"/>
      <c r="Q690" s="667"/>
      <c r="R690" s="667"/>
      <c r="S690" s="667"/>
      <c r="T690" s="667"/>
      <c r="U690" s="667"/>
      <c r="V690" s="6"/>
      <c r="W690" s="667"/>
      <c r="X690" s="667"/>
      <c r="Y690" s="667"/>
      <c r="Z690" s="667"/>
    </row>
    <row r="691" spans="1:26">
      <c r="A691" s="667"/>
      <c r="B691" s="667"/>
      <c r="C691" s="667"/>
      <c r="D691" s="667"/>
      <c r="E691" s="668"/>
      <c r="F691" s="10"/>
      <c r="G691" s="10"/>
      <c r="H691" s="667"/>
      <c r="I691" s="667"/>
      <c r="J691" s="667"/>
      <c r="K691" s="667"/>
      <c r="L691" s="667"/>
      <c r="M691" s="667"/>
      <c r="N691" s="667"/>
      <c r="O691" s="668"/>
      <c r="P691" s="667"/>
      <c r="Q691" s="667"/>
      <c r="R691" s="667"/>
      <c r="S691" s="667"/>
      <c r="T691" s="667"/>
      <c r="U691" s="667"/>
      <c r="V691" s="6"/>
      <c r="W691" s="667"/>
      <c r="X691" s="667"/>
      <c r="Y691" s="667"/>
      <c r="Z691" s="667"/>
    </row>
    <row r="692" spans="1:26">
      <c r="A692" s="6"/>
      <c r="B692" s="6"/>
      <c r="C692" s="6"/>
      <c r="D692" s="6"/>
      <c r="E692" s="8"/>
      <c r="F692" s="10"/>
      <c r="G692" s="10"/>
      <c r="H692" s="6"/>
      <c r="I692" s="6"/>
      <c r="J692" s="6"/>
      <c r="K692" s="6"/>
      <c r="L692" s="6"/>
      <c r="M692" s="6"/>
      <c r="N692" s="6"/>
      <c r="O692" s="8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67"/>
      <c r="B693" s="667"/>
      <c r="C693" s="667"/>
      <c r="D693" s="667"/>
      <c r="E693" s="668"/>
      <c r="F693" s="10"/>
      <c r="G693" s="10"/>
      <c r="H693" s="667"/>
      <c r="I693" s="667"/>
      <c r="J693" s="667"/>
      <c r="K693" s="667"/>
      <c r="L693" s="667"/>
      <c r="M693" s="667"/>
      <c r="N693" s="667"/>
      <c r="O693" s="668"/>
      <c r="P693" s="667"/>
      <c r="Q693" s="667"/>
      <c r="R693" s="667"/>
      <c r="S693" s="667"/>
      <c r="T693" s="667"/>
      <c r="U693" s="667"/>
      <c r="V693" s="6"/>
      <c r="W693" s="667"/>
      <c r="X693" s="667"/>
      <c r="Y693" s="667"/>
      <c r="Z693" s="667"/>
    </row>
    <row r="694" spans="1:26">
      <c r="A694" s="667"/>
      <c r="B694" s="667"/>
      <c r="C694" s="667"/>
      <c r="D694" s="667"/>
      <c r="E694" s="668"/>
      <c r="F694" s="10"/>
      <c r="G694" s="10"/>
      <c r="H694" s="667"/>
      <c r="I694" s="667"/>
      <c r="J694" s="667"/>
      <c r="K694" s="667"/>
      <c r="L694" s="667"/>
      <c r="M694" s="667"/>
      <c r="N694" s="667"/>
      <c r="O694" s="668"/>
      <c r="P694" s="667"/>
      <c r="Q694" s="667"/>
      <c r="R694" s="667"/>
      <c r="S694" s="667"/>
      <c r="T694" s="667"/>
      <c r="U694" s="667"/>
      <c r="V694" s="6"/>
      <c r="W694" s="667"/>
      <c r="X694" s="667"/>
      <c r="Y694" s="667"/>
      <c r="Z694" s="667"/>
    </row>
    <row r="695" spans="1:26">
      <c r="A695" s="6"/>
      <c r="B695" s="6"/>
      <c r="C695" s="6"/>
      <c r="D695" s="6"/>
      <c r="E695" s="8"/>
      <c r="F695" s="10"/>
      <c r="G695" s="10"/>
      <c r="H695" s="6"/>
      <c r="I695" s="6"/>
      <c r="J695" s="6"/>
      <c r="K695" s="6"/>
      <c r="L695" s="6"/>
      <c r="M695" s="6"/>
      <c r="N695" s="6"/>
      <c r="O695" s="8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8"/>
      <c r="F696" s="10"/>
      <c r="G696" s="10"/>
      <c r="H696" s="6"/>
      <c r="I696" s="6"/>
      <c r="J696" s="6"/>
      <c r="K696" s="6"/>
      <c r="L696" s="6"/>
      <c r="M696" s="6"/>
      <c r="N696" s="6"/>
      <c r="O696" s="8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8"/>
      <c r="F697" s="10"/>
      <c r="G697" s="10"/>
      <c r="H697" s="6"/>
      <c r="I697" s="6"/>
      <c r="J697" s="6"/>
      <c r="K697" s="6"/>
      <c r="L697" s="6"/>
      <c r="M697" s="6"/>
      <c r="N697" s="6"/>
      <c r="O697" s="8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8"/>
      <c r="F698" s="10"/>
      <c r="G698" s="10"/>
      <c r="H698" s="6"/>
      <c r="I698" s="6"/>
      <c r="J698" s="6"/>
      <c r="K698" s="6"/>
      <c r="L698" s="6"/>
      <c r="M698" s="6"/>
      <c r="N698" s="6"/>
      <c r="O698" s="8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8"/>
      <c r="F699" s="10"/>
      <c r="G699" s="10"/>
      <c r="H699" s="6"/>
      <c r="I699" s="6"/>
      <c r="J699" s="6"/>
      <c r="K699" s="6"/>
      <c r="L699" s="6"/>
      <c r="M699" s="6"/>
      <c r="N699" s="6"/>
      <c r="O699" s="8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8"/>
      <c r="F700" s="10"/>
      <c r="G700" s="10"/>
      <c r="H700" s="6"/>
      <c r="I700" s="6"/>
      <c r="J700" s="6"/>
      <c r="K700" s="6"/>
      <c r="L700" s="6"/>
      <c r="M700" s="6"/>
      <c r="N700" s="6"/>
      <c r="O700" s="8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8"/>
      <c r="F701" s="10"/>
      <c r="G701" s="10"/>
      <c r="H701" s="6"/>
      <c r="I701" s="6"/>
      <c r="J701" s="6"/>
      <c r="K701" s="6"/>
      <c r="L701" s="6"/>
      <c r="M701" s="6"/>
      <c r="N701" s="6"/>
      <c r="O701" s="8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8"/>
      <c r="F702" s="10"/>
      <c r="G702" s="10"/>
      <c r="H702" s="6"/>
      <c r="I702" s="6"/>
      <c r="J702" s="6"/>
      <c r="K702" s="6"/>
      <c r="L702" s="6"/>
      <c r="M702" s="6"/>
      <c r="N702" s="6"/>
      <c r="O702" s="8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8"/>
      <c r="F703" s="10"/>
      <c r="G703" s="10"/>
      <c r="H703" s="6"/>
      <c r="I703" s="6"/>
      <c r="J703" s="6"/>
      <c r="K703" s="6"/>
      <c r="L703" s="6"/>
      <c r="M703" s="6"/>
      <c r="N703" s="6"/>
      <c r="O703" s="8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8"/>
      <c r="F704" s="10"/>
      <c r="G704" s="10"/>
      <c r="H704" s="6"/>
      <c r="I704" s="6"/>
      <c r="J704" s="6"/>
      <c r="K704" s="6"/>
      <c r="L704" s="6"/>
      <c r="M704" s="6"/>
      <c r="N704" s="6"/>
      <c r="O704" s="8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67"/>
      <c r="B705" s="667"/>
      <c r="C705" s="667"/>
      <c r="D705" s="667"/>
      <c r="E705" s="668"/>
      <c r="F705" s="10"/>
      <c r="G705" s="10"/>
      <c r="H705" s="667"/>
      <c r="I705" s="667"/>
      <c r="J705" s="667"/>
      <c r="K705" s="667"/>
      <c r="L705" s="667"/>
      <c r="M705" s="667"/>
      <c r="N705" s="667"/>
      <c r="O705" s="668"/>
      <c r="P705" s="667"/>
      <c r="Q705" s="667"/>
      <c r="R705" s="667"/>
      <c r="S705" s="667"/>
      <c r="T705" s="667"/>
      <c r="U705" s="667"/>
      <c r="V705" s="6"/>
      <c r="W705" s="667"/>
      <c r="X705" s="667"/>
      <c r="Y705" s="667"/>
      <c r="Z705" s="667"/>
    </row>
    <row r="706" spans="1:26">
      <c r="A706" s="667"/>
      <c r="B706" s="667"/>
      <c r="C706" s="667"/>
      <c r="D706" s="667"/>
      <c r="E706" s="668"/>
      <c r="F706" s="10"/>
      <c r="G706" s="10"/>
      <c r="H706" s="667"/>
      <c r="I706" s="667"/>
      <c r="J706" s="667"/>
      <c r="K706" s="667"/>
      <c r="L706" s="667"/>
      <c r="M706" s="667"/>
      <c r="N706" s="667"/>
      <c r="O706" s="668"/>
      <c r="P706" s="667"/>
      <c r="Q706" s="667"/>
      <c r="R706" s="667"/>
      <c r="S706" s="667"/>
      <c r="T706" s="667"/>
      <c r="U706" s="667"/>
      <c r="V706" s="6"/>
      <c r="W706" s="667"/>
      <c r="X706" s="667"/>
      <c r="Y706" s="667"/>
      <c r="Z706" s="667"/>
    </row>
    <row r="707" spans="1:26">
      <c r="A707" s="667"/>
      <c r="B707" s="667"/>
      <c r="C707" s="667"/>
      <c r="D707" s="667"/>
      <c r="E707" s="668"/>
      <c r="F707" s="10"/>
      <c r="G707" s="10"/>
      <c r="H707" s="667"/>
      <c r="I707" s="667"/>
      <c r="J707" s="667"/>
      <c r="K707" s="667"/>
      <c r="L707" s="667"/>
      <c r="M707" s="667"/>
      <c r="N707" s="667"/>
      <c r="O707" s="668"/>
      <c r="P707" s="667"/>
      <c r="Q707" s="667"/>
      <c r="R707" s="667"/>
      <c r="S707" s="667"/>
      <c r="T707" s="667"/>
      <c r="U707" s="667"/>
      <c r="V707" s="6"/>
      <c r="W707" s="667"/>
      <c r="X707" s="667"/>
      <c r="Y707" s="667"/>
      <c r="Z707" s="667"/>
    </row>
    <row r="708" spans="1:26">
      <c r="A708" s="667"/>
      <c r="B708" s="667"/>
      <c r="C708" s="667"/>
      <c r="D708" s="667"/>
      <c r="E708" s="668"/>
      <c r="F708" s="10"/>
      <c r="G708" s="10"/>
      <c r="H708" s="667"/>
      <c r="I708" s="667"/>
      <c r="J708" s="667"/>
      <c r="K708" s="667"/>
      <c r="L708" s="667"/>
      <c r="M708" s="667"/>
      <c r="N708" s="667"/>
      <c r="O708" s="668"/>
      <c r="P708" s="667"/>
      <c r="Q708" s="667"/>
      <c r="R708" s="667"/>
      <c r="S708" s="667"/>
      <c r="T708" s="667"/>
      <c r="U708" s="667"/>
      <c r="V708" s="6"/>
      <c r="W708" s="667"/>
      <c r="X708" s="667"/>
      <c r="Y708" s="667"/>
      <c r="Z708" s="667"/>
    </row>
    <row r="709" spans="1:26">
      <c r="A709" s="667"/>
      <c r="B709" s="667"/>
      <c r="C709" s="667"/>
      <c r="D709" s="667"/>
      <c r="E709" s="668"/>
      <c r="F709" s="10"/>
      <c r="G709" s="10"/>
      <c r="H709" s="667"/>
      <c r="I709" s="667"/>
      <c r="J709" s="667"/>
      <c r="K709" s="667"/>
      <c r="L709" s="667"/>
      <c r="M709" s="667"/>
      <c r="N709" s="667"/>
      <c r="O709" s="668"/>
      <c r="P709" s="667"/>
      <c r="Q709" s="667"/>
      <c r="R709" s="667"/>
      <c r="S709" s="667"/>
      <c r="T709" s="667"/>
      <c r="U709" s="667"/>
      <c r="V709" s="6"/>
      <c r="W709" s="667"/>
      <c r="X709" s="667"/>
      <c r="Y709" s="667"/>
      <c r="Z709" s="667"/>
    </row>
    <row r="710" spans="1:26">
      <c r="A710" s="667"/>
      <c r="B710" s="667"/>
      <c r="C710" s="667"/>
      <c r="D710" s="667"/>
      <c r="E710" s="668"/>
      <c r="F710" s="10"/>
      <c r="G710" s="10"/>
      <c r="H710" s="667"/>
      <c r="I710" s="667"/>
      <c r="J710" s="667"/>
      <c r="K710" s="667"/>
      <c r="L710" s="667"/>
      <c r="M710" s="667"/>
      <c r="N710" s="667"/>
      <c r="O710" s="668"/>
      <c r="P710" s="667"/>
      <c r="Q710" s="667"/>
      <c r="R710" s="667"/>
      <c r="S710" s="667"/>
      <c r="T710" s="667"/>
      <c r="U710" s="667"/>
      <c r="V710" s="6"/>
      <c r="W710" s="667"/>
      <c r="X710" s="667"/>
      <c r="Y710" s="667"/>
      <c r="Z710" s="667"/>
    </row>
    <row r="711" spans="1:26">
      <c r="A711" s="667"/>
      <c r="B711" s="667"/>
      <c r="C711" s="667"/>
      <c r="D711" s="667"/>
      <c r="E711" s="668"/>
      <c r="F711" s="10"/>
      <c r="G711" s="10"/>
      <c r="H711" s="667"/>
      <c r="I711" s="667"/>
      <c r="J711" s="667"/>
      <c r="K711" s="667"/>
      <c r="L711" s="667"/>
      <c r="M711" s="667"/>
      <c r="N711" s="667"/>
      <c r="O711" s="668"/>
      <c r="P711" s="667"/>
      <c r="Q711" s="667"/>
      <c r="R711" s="667"/>
      <c r="S711" s="667"/>
      <c r="T711" s="667"/>
      <c r="U711" s="667"/>
      <c r="V711" s="6"/>
      <c r="W711" s="667"/>
      <c r="X711" s="667"/>
      <c r="Y711" s="667"/>
      <c r="Z711" s="667"/>
    </row>
    <row r="712" spans="1:26">
      <c r="A712" s="6"/>
      <c r="B712" s="6"/>
      <c r="C712" s="6"/>
      <c r="D712" s="6"/>
      <c r="E712" s="8"/>
      <c r="F712" s="10"/>
      <c r="G712" s="10"/>
      <c r="H712" s="6"/>
      <c r="I712" s="6"/>
      <c r="J712" s="6"/>
      <c r="K712" s="6"/>
      <c r="L712" s="6"/>
      <c r="M712" s="6"/>
      <c r="N712" s="6"/>
      <c r="O712" s="8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8"/>
      <c r="F713" s="10"/>
      <c r="G713" s="10"/>
      <c r="H713" s="6"/>
      <c r="I713" s="6"/>
      <c r="J713" s="6"/>
      <c r="K713" s="6"/>
      <c r="L713" s="6"/>
      <c r="M713" s="6"/>
      <c r="N713" s="6"/>
      <c r="O713" s="8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</sheetData>
  <mergeCells count="503">
    <mergeCell ref="Z88:Z89"/>
    <mergeCell ref="Z81:Z82"/>
    <mergeCell ref="Z92:Z94"/>
    <mergeCell ref="Z96:Z98"/>
    <mergeCell ref="Z99:Z101"/>
    <mergeCell ref="Z102:Z104"/>
    <mergeCell ref="Z190:Z191"/>
    <mergeCell ref="Z194:Z195"/>
    <mergeCell ref="Z205:Z207"/>
    <mergeCell ref="Z208:Z209"/>
    <mergeCell ref="Z226:Z227"/>
    <mergeCell ref="Z228:Z229"/>
    <mergeCell ref="Z248:Z249"/>
    <mergeCell ref="Z255:Z257"/>
    <mergeCell ref="Z261:Z263"/>
    <mergeCell ref="Z265:Z266"/>
    <mergeCell ref="Z267:Z268"/>
    <mergeCell ref="Z271:Z273"/>
    <mergeCell ref="Z277:Z278"/>
    <mergeCell ref="Z280:Z281"/>
    <mergeCell ref="Z282:Z283"/>
    <mergeCell ref="Z286:Z287"/>
    <mergeCell ref="Z297:Z299"/>
    <mergeCell ref="Z302:Z304"/>
    <mergeCell ref="Z305:Z308"/>
    <mergeCell ref="Z309:Z311"/>
    <mergeCell ref="Z312:Z313"/>
    <mergeCell ref="Z314:Z316"/>
    <mergeCell ref="Z318:Z321"/>
    <mergeCell ref="Z324:Z326"/>
    <mergeCell ref="Z327:Z328"/>
    <mergeCell ref="Z329:Z330"/>
    <mergeCell ref="Z334:Z336"/>
    <mergeCell ref="Z365:Z366"/>
    <mergeCell ref="Z392:Z393"/>
    <mergeCell ref="Z397:Z400"/>
    <mergeCell ref="Z424:Z425"/>
    <mergeCell ref="Z426:Z427"/>
    <mergeCell ref="Z432:Z434"/>
    <mergeCell ref="Z445:Z447"/>
    <mergeCell ref="Z457:Z458"/>
    <mergeCell ref="Z459:Z460"/>
    <mergeCell ref="Z461:Z462"/>
    <mergeCell ref="Z464:Z465"/>
    <mergeCell ref="Z472:Z474"/>
    <mergeCell ref="Z475:Z476"/>
    <mergeCell ref="Z478:Z480"/>
    <mergeCell ref="Z483:Z485"/>
    <mergeCell ref="Z492:Z493"/>
    <mergeCell ref="Z494:Z495"/>
    <mergeCell ref="Z496:Z497"/>
    <mergeCell ref="Z501:Z502"/>
    <mergeCell ref="Z504:Z505"/>
    <mergeCell ref="Z506:Z507"/>
    <mergeCell ref="Z536:Z537"/>
    <mergeCell ref="Z546:Z548"/>
    <mergeCell ref="Z553:Z554"/>
    <mergeCell ref="Z557:Z558"/>
    <mergeCell ref="Z559:Z560"/>
    <mergeCell ref="Z561:Z562"/>
    <mergeCell ref="Z563:Z564"/>
    <mergeCell ref="Z572:Z573"/>
    <mergeCell ref="Z574:Z575"/>
    <mergeCell ref="Z578:Z579"/>
    <mergeCell ref="Z580:Z581"/>
    <mergeCell ref="Z582:Z583"/>
    <mergeCell ref="A600:A601"/>
    <mergeCell ref="B600:B601"/>
    <mergeCell ref="C600:C601"/>
    <mergeCell ref="D600:D601"/>
    <mergeCell ref="E600:E601"/>
    <mergeCell ref="T600:T601"/>
    <mergeCell ref="U600:U601"/>
    <mergeCell ref="W600:W601"/>
    <mergeCell ref="X600:X601"/>
    <mergeCell ref="Y600:Y601"/>
    <mergeCell ref="Z600:Z601"/>
    <mergeCell ref="N600:N601"/>
    <mergeCell ref="O600:O601"/>
    <mergeCell ref="P600:P601"/>
    <mergeCell ref="Q600:Q601"/>
    <mergeCell ref="R600:R601"/>
    <mergeCell ref="S600:S601"/>
    <mergeCell ref="H600:H601"/>
    <mergeCell ref="I600:I601"/>
    <mergeCell ref="J600:J601"/>
    <mergeCell ref="K600:K601"/>
    <mergeCell ref="L600:L601"/>
    <mergeCell ref="M600:M601"/>
    <mergeCell ref="U603:U604"/>
    <mergeCell ref="W603:W604"/>
    <mergeCell ref="X603:X604"/>
    <mergeCell ref="Y603:Y604"/>
    <mergeCell ref="Z603:Z604"/>
    <mergeCell ref="A605:A606"/>
    <mergeCell ref="B605:B606"/>
    <mergeCell ref="C605:C606"/>
    <mergeCell ref="D605:D606"/>
    <mergeCell ref="E605:E606"/>
    <mergeCell ref="O603:O604"/>
    <mergeCell ref="P603:P604"/>
    <mergeCell ref="Q603:Q604"/>
    <mergeCell ref="R603:R604"/>
    <mergeCell ref="S603:S604"/>
    <mergeCell ref="T603:T604"/>
    <mergeCell ref="I603:I604"/>
    <mergeCell ref="J603:J604"/>
    <mergeCell ref="K603:K604"/>
    <mergeCell ref="L603:L604"/>
    <mergeCell ref="M603:M604"/>
    <mergeCell ref="N603:N604"/>
    <mergeCell ref="A603:A604"/>
    <mergeCell ref="B603:B604"/>
    <mergeCell ref="C603:C604"/>
    <mergeCell ref="D603:D604"/>
    <mergeCell ref="E603:E604"/>
    <mergeCell ref="H603:H604"/>
    <mergeCell ref="T605:T606"/>
    <mergeCell ref="U605:U606"/>
    <mergeCell ref="W605:W606"/>
    <mergeCell ref="X605:X606"/>
    <mergeCell ref="Y605:Y606"/>
    <mergeCell ref="Z605:Z606"/>
    <mergeCell ref="N605:N606"/>
    <mergeCell ref="O605:O606"/>
    <mergeCell ref="P605:P606"/>
    <mergeCell ref="Q605:Q606"/>
    <mergeCell ref="R605:R606"/>
    <mergeCell ref="S605:S606"/>
    <mergeCell ref="H605:H606"/>
    <mergeCell ref="I605:I606"/>
    <mergeCell ref="J605:J606"/>
    <mergeCell ref="K605:K606"/>
    <mergeCell ref="L605:L606"/>
    <mergeCell ref="M605:M606"/>
    <mergeCell ref="U614:U615"/>
    <mergeCell ref="W614:W615"/>
    <mergeCell ref="X614:X615"/>
    <mergeCell ref="Y614:Y615"/>
    <mergeCell ref="Z614:Z615"/>
    <mergeCell ref="A618:A620"/>
    <mergeCell ref="B618:B620"/>
    <mergeCell ref="C618:C620"/>
    <mergeCell ref="D618:D620"/>
    <mergeCell ref="E618:E620"/>
    <mergeCell ref="O614:O615"/>
    <mergeCell ref="P614:P615"/>
    <mergeCell ref="Q614:Q615"/>
    <mergeCell ref="R614:R615"/>
    <mergeCell ref="S614:S615"/>
    <mergeCell ref="T614:T615"/>
    <mergeCell ref="I614:I615"/>
    <mergeCell ref="J614:J615"/>
    <mergeCell ref="K614:K615"/>
    <mergeCell ref="L614:L615"/>
    <mergeCell ref="M614:M615"/>
    <mergeCell ref="N614:N615"/>
    <mergeCell ref="A614:A615"/>
    <mergeCell ref="B614:B615"/>
    <mergeCell ref="C614:C615"/>
    <mergeCell ref="D614:D615"/>
    <mergeCell ref="E614:E615"/>
    <mergeCell ref="H614:H615"/>
    <mergeCell ref="T618:T620"/>
    <mergeCell ref="U618:U620"/>
    <mergeCell ref="W618:W620"/>
    <mergeCell ref="X618:X620"/>
    <mergeCell ref="Y618:Y620"/>
    <mergeCell ref="Z618:Z620"/>
    <mergeCell ref="N618:N620"/>
    <mergeCell ref="O618:O620"/>
    <mergeCell ref="P618:P620"/>
    <mergeCell ref="Q618:Q620"/>
    <mergeCell ref="R618:R620"/>
    <mergeCell ref="S618:S620"/>
    <mergeCell ref="H618:H620"/>
    <mergeCell ref="I618:I620"/>
    <mergeCell ref="J618:J620"/>
    <mergeCell ref="K618:K620"/>
    <mergeCell ref="L618:L620"/>
    <mergeCell ref="M618:M620"/>
    <mergeCell ref="U621:U623"/>
    <mergeCell ref="W621:W623"/>
    <mergeCell ref="X621:X623"/>
    <mergeCell ref="Y621:Y623"/>
    <mergeCell ref="Z621:Z623"/>
    <mergeCell ref="A627:A629"/>
    <mergeCell ref="B627:B629"/>
    <mergeCell ref="C627:C629"/>
    <mergeCell ref="D627:D629"/>
    <mergeCell ref="E627:E629"/>
    <mergeCell ref="O621:O623"/>
    <mergeCell ref="P621:P623"/>
    <mergeCell ref="Q621:Q623"/>
    <mergeCell ref="R621:R623"/>
    <mergeCell ref="S621:S623"/>
    <mergeCell ref="T621:T623"/>
    <mergeCell ref="I621:I623"/>
    <mergeCell ref="J621:J623"/>
    <mergeCell ref="K621:K623"/>
    <mergeCell ref="L621:L623"/>
    <mergeCell ref="M621:M623"/>
    <mergeCell ref="N621:N623"/>
    <mergeCell ref="A621:A623"/>
    <mergeCell ref="B621:B623"/>
    <mergeCell ref="C621:C623"/>
    <mergeCell ref="D621:D623"/>
    <mergeCell ref="E621:E623"/>
    <mergeCell ref="H621:H623"/>
    <mergeCell ref="T627:T629"/>
    <mergeCell ref="U627:U629"/>
    <mergeCell ref="W627:W629"/>
    <mergeCell ref="X627:X629"/>
    <mergeCell ref="Y627:Y629"/>
    <mergeCell ref="Z627:Z629"/>
    <mergeCell ref="N627:N629"/>
    <mergeCell ref="O627:O629"/>
    <mergeCell ref="P627:P629"/>
    <mergeCell ref="Q627:Q629"/>
    <mergeCell ref="R627:R629"/>
    <mergeCell ref="S627:S629"/>
    <mergeCell ref="H627:H629"/>
    <mergeCell ref="I627:I629"/>
    <mergeCell ref="J627:J629"/>
    <mergeCell ref="K627:K629"/>
    <mergeCell ref="L627:L629"/>
    <mergeCell ref="M627:M629"/>
    <mergeCell ref="U631:U632"/>
    <mergeCell ref="W631:W632"/>
    <mergeCell ref="X631:X632"/>
    <mergeCell ref="Y631:Y632"/>
    <mergeCell ref="Z631:Z632"/>
    <mergeCell ref="A634:A635"/>
    <mergeCell ref="B634:B635"/>
    <mergeCell ref="C634:C635"/>
    <mergeCell ref="D634:D635"/>
    <mergeCell ref="E634:E635"/>
    <mergeCell ref="O631:O632"/>
    <mergeCell ref="P631:P632"/>
    <mergeCell ref="Q631:Q632"/>
    <mergeCell ref="R631:R632"/>
    <mergeCell ref="S631:S632"/>
    <mergeCell ref="T631:T632"/>
    <mergeCell ref="I631:I632"/>
    <mergeCell ref="J631:J632"/>
    <mergeCell ref="K631:K632"/>
    <mergeCell ref="L631:L632"/>
    <mergeCell ref="M631:M632"/>
    <mergeCell ref="N631:N632"/>
    <mergeCell ref="A631:A632"/>
    <mergeCell ref="B631:B632"/>
    <mergeCell ref="C631:C632"/>
    <mergeCell ref="D631:D632"/>
    <mergeCell ref="E631:E632"/>
    <mergeCell ref="H631:H632"/>
    <mergeCell ref="T634:T635"/>
    <mergeCell ref="U634:U635"/>
    <mergeCell ref="W634:W635"/>
    <mergeCell ref="X634:X635"/>
    <mergeCell ref="Y634:Y635"/>
    <mergeCell ref="Z634:Z635"/>
    <mergeCell ref="N634:N635"/>
    <mergeCell ref="O634:O635"/>
    <mergeCell ref="P634:P635"/>
    <mergeCell ref="Q634:Q635"/>
    <mergeCell ref="R634:R635"/>
    <mergeCell ref="S634:S635"/>
    <mergeCell ref="H634:H635"/>
    <mergeCell ref="I634:I635"/>
    <mergeCell ref="J634:J635"/>
    <mergeCell ref="K634:K635"/>
    <mergeCell ref="L634:L635"/>
    <mergeCell ref="M634:M635"/>
    <mergeCell ref="U642:U644"/>
    <mergeCell ref="W642:W644"/>
    <mergeCell ref="X642:X644"/>
    <mergeCell ref="Y642:Y644"/>
    <mergeCell ref="Z642:Z644"/>
    <mergeCell ref="A653:A654"/>
    <mergeCell ref="B653:B654"/>
    <mergeCell ref="C653:C654"/>
    <mergeCell ref="D653:D654"/>
    <mergeCell ref="E653:E654"/>
    <mergeCell ref="O642:O644"/>
    <mergeCell ref="P642:P644"/>
    <mergeCell ref="Q642:Q644"/>
    <mergeCell ref="R642:R644"/>
    <mergeCell ref="S642:S644"/>
    <mergeCell ref="T642:T644"/>
    <mergeCell ref="I642:I644"/>
    <mergeCell ref="J642:J644"/>
    <mergeCell ref="K642:K644"/>
    <mergeCell ref="L642:L644"/>
    <mergeCell ref="M642:M644"/>
    <mergeCell ref="N642:N644"/>
    <mergeCell ref="A642:A644"/>
    <mergeCell ref="B642:B644"/>
    <mergeCell ref="C642:C644"/>
    <mergeCell ref="D642:D644"/>
    <mergeCell ref="E642:E644"/>
    <mergeCell ref="H642:H644"/>
    <mergeCell ref="T653:T654"/>
    <mergeCell ref="U653:U654"/>
    <mergeCell ref="W653:W654"/>
    <mergeCell ref="X653:X654"/>
    <mergeCell ref="Y653:Y654"/>
    <mergeCell ref="Z653:Z654"/>
    <mergeCell ref="N653:N654"/>
    <mergeCell ref="O653:O654"/>
    <mergeCell ref="P653:P654"/>
    <mergeCell ref="Q653:Q654"/>
    <mergeCell ref="R653:R654"/>
    <mergeCell ref="S653:S654"/>
    <mergeCell ref="H653:H654"/>
    <mergeCell ref="I653:I654"/>
    <mergeCell ref="J653:J654"/>
    <mergeCell ref="K653:K654"/>
    <mergeCell ref="L653:L654"/>
    <mergeCell ref="M653:M654"/>
    <mergeCell ref="U659:U660"/>
    <mergeCell ref="W659:W660"/>
    <mergeCell ref="X659:X660"/>
    <mergeCell ref="Y659:Y660"/>
    <mergeCell ref="Z659:Z660"/>
    <mergeCell ref="A677:A678"/>
    <mergeCell ref="B677:B678"/>
    <mergeCell ref="C677:C678"/>
    <mergeCell ref="D677:D678"/>
    <mergeCell ref="E677:E678"/>
    <mergeCell ref="O659:O660"/>
    <mergeCell ref="P659:P660"/>
    <mergeCell ref="Q659:Q660"/>
    <mergeCell ref="R659:R660"/>
    <mergeCell ref="S659:S660"/>
    <mergeCell ref="T659:T660"/>
    <mergeCell ref="I659:I660"/>
    <mergeCell ref="J659:J660"/>
    <mergeCell ref="K659:K660"/>
    <mergeCell ref="L659:L660"/>
    <mergeCell ref="M659:M660"/>
    <mergeCell ref="N659:N660"/>
    <mergeCell ref="A659:A660"/>
    <mergeCell ref="B659:B660"/>
    <mergeCell ref="C659:C660"/>
    <mergeCell ref="D659:D660"/>
    <mergeCell ref="E659:E660"/>
    <mergeCell ref="H659:H660"/>
    <mergeCell ref="T677:T678"/>
    <mergeCell ref="U677:U678"/>
    <mergeCell ref="W677:W678"/>
    <mergeCell ref="X677:X678"/>
    <mergeCell ref="Y677:Y678"/>
    <mergeCell ref="Z677:Z678"/>
    <mergeCell ref="N677:N678"/>
    <mergeCell ref="O677:O678"/>
    <mergeCell ref="P677:P678"/>
    <mergeCell ref="Q677:Q678"/>
    <mergeCell ref="R677:R678"/>
    <mergeCell ref="S677:S678"/>
    <mergeCell ref="H677:H678"/>
    <mergeCell ref="I677:I678"/>
    <mergeCell ref="J677:J678"/>
    <mergeCell ref="K677:K678"/>
    <mergeCell ref="L677:L678"/>
    <mergeCell ref="M677:M678"/>
    <mergeCell ref="U685:U687"/>
    <mergeCell ref="W685:W687"/>
    <mergeCell ref="X685:X687"/>
    <mergeCell ref="Y685:Y687"/>
    <mergeCell ref="Z685:Z687"/>
    <mergeCell ref="A689:A691"/>
    <mergeCell ref="B689:B691"/>
    <mergeCell ref="C689:C691"/>
    <mergeCell ref="D689:D691"/>
    <mergeCell ref="E689:E691"/>
    <mergeCell ref="O685:O687"/>
    <mergeCell ref="P685:P687"/>
    <mergeCell ref="Q685:Q687"/>
    <mergeCell ref="R685:R687"/>
    <mergeCell ref="S685:S687"/>
    <mergeCell ref="T685:T687"/>
    <mergeCell ref="I685:I687"/>
    <mergeCell ref="J685:J687"/>
    <mergeCell ref="K685:K687"/>
    <mergeCell ref="L685:L687"/>
    <mergeCell ref="M685:M687"/>
    <mergeCell ref="N685:N687"/>
    <mergeCell ref="A685:A687"/>
    <mergeCell ref="B685:B687"/>
    <mergeCell ref="C685:C687"/>
    <mergeCell ref="D685:D687"/>
    <mergeCell ref="E685:E687"/>
    <mergeCell ref="H685:H687"/>
    <mergeCell ref="T689:T691"/>
    <mergeCell ref="U689:U691"/>
    <mergeCell ref="W689:W691"/>
    <mergeCell ref="X689:X691"/>
    <mergeCell ref="Y689:Y691"/>
    <mergeCell ref="Z689:Z691"/>
    <mergeCell ref="N689:N691"/>
    <mergeCell ref="O689:O691"/>
    <mergeCell ref="P689:P691"/>
    <mergeCell ref="Q689:Q691"/>
    <mergeCell ref="R689:R691"/>
    <mergeCell ref="S689:S691"/>
    <mergeCell ref="H689:H691"/>
    <mergeCell ref="I689:I691"/>
    <mergeCell ref="J689:J691"/>
    <mergeCell ref="K689:K691"/>
    <mergeCell ref="L689:L691"/>
    <mergeCell ref="M689:M691"/>
    <mergeCell ref="U693:U694"/>
    <mergeCell ref="W693:W694"/>
    <mergeCell ref="X693:X694"/>
    <mergeCell ref="Y693:Y694"/>
    <mergeCell ref="Z693:Z694"/>
    <mergeCell ref="A705:A706"/>
    <mergeCell ref="B705:B706"/>
    <mergeCell ref="C705:C706"/>
    <mergeCell ref="D705:D706"/>
    <mergeCell ref="E705:E706"/>
    <mergeCell ref="O693:O694"/>
    <mergeCell ref="P693:P694"/>
    <mergeCell ref="Q693:Q694"/>
    <mergeCell ref="R693:R694"/>
    <mergeCell ref="S693:S694"/>
    <mergeCell ref="T693:T694"/>
    <mergeCell ref="I693:I694"/>
    <mergeCell ref="J693:J694"/>
    <mergeCell ref="K693:K694"/>
    <mergeCell ref="L693:L694"/>
    <mergeCell ref="M693:M694"/>
    <mergeCell ref="N693:N694"/>
    <mergeCell ref="A693:A694"/>
    <mergeCell ref="B693:B694"/>
    <mergeCell ref="C693:C694"/>
    <mergeCell ref="D693:D694"/>
    <mergeCell ref="E693:E694"/>
    <mergeCell ref="H693:H694"/>
    <mergeCell ref="T705:T706"/>
    <mergeCell ref="U705:U706"/>
    <mergeCell ref="W705:W706"/>
    <mergeCell ref="X705:X706"/>
    <mergeCell ref="Y705:Y706"/>
    <mergeCell ref="Z705:Z706"/>
    <mergeCell ref="N705:N706"/>
    <mergeCell ref="O705:O706"/>
    <mergeCell ref="P705:P706"/>
    <mergeCell ref="Q705:Q706"/>
    <mergeCell ref="R705:R706"/>
    <mergeCell ref="S705:S706"/>
    <mergeCell ref="H705:H706"/>
    <mergeCell ref="I705:I706"/>
    <mergeCell ref="J705:J706"/>
    <mergeCell ref="K705:K706"/>
    <mergeCell ref="L705:L706"/>
    <mergeCell ref="M705:M706"/>
    <mergeCell ref="A709:A711"/>
    <mergeCell ref="B709:B711"/>
    <mergeCell ref="C709:C711"/>
    <mergeCell ref="D709:D711"/>
    <mergeCell ref="E709:E711"/>
    <mergeCell ref="O707:O708"/>
    <mergeCell ref="P707:P708"/>
    <mergeCell ref="Q707:Q708"/>
    <mergeCell ref="R707:R708"/>
    <mergeCell ref="S707:S708"/>
    <mergeCell ref="T707:T708"/>
    <mergeCell ref="I707:I708"/>
    <mergeCell ref="J707:J708"/>
    <mergeCell ref="K707:K708"/>
    <mergeCell ref="L707:L708"/>
    <mergeCell ref="M707:M708"/>
    <mergeCell ref="N707:N708"/>
    <mergeCell ref="A707:A708"/>
    <mergeCell ref="B707:B708"/>
    <mergeCell ref="C707:C708"/>
    <mergeCell ref="D707:D708"/>
    <mergeCell ref="E707:E708"/>
    <mergeCell ref="H707:H708"/>
    <mergeCell ref="T709:T711"/>
    <mergeCell ref="Y709:Y711"/>
    <mergeCell ref="Z709:Z711"/>
    <mergeCell ref="N709:N711"/>
    <mergeCell ref="O709:O711"/>
    <mergeCell ref="P709:P711"/>
    <mergeCell ref="Q709:Q711"/>
    <mergeCell ref="R709:R711"/>
    <mergeCell ref="S709:S711"/>
    <mergeCell ref="H709:H711"/>
    <mergeCell ref="I709:I711"/>
    <mergeCell ref="J709:J711"/>
    <mergeCell ref="K709:K711"/>
    <mergeCell ref="L709:L711"/>
    <mergeCell ref="M709:M711"/>
    <mergeCell ref="U707:U708"/>
    <mergeCell ref="W707:W708"/>
    <mergeCell ref="X707:X708"/>
    <mergeCell ref="Y707:Y708"/>
    <mergeCell ref="Z707:Z708"/>
    <mergeCell ref="U709:U711"/>
    <mergeCell ref="W709:W711"/>
    <mergeCell ref="X709:X711"/>
  </mergeCells>
  <pageMargins left="0.7" right="0.7" top="0.75" bottom="0.75" header="0.3" footer="0.3"/>
  <pageSetup scale="40" fitToWidth="0" fitToHeight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W185"/>
  <sheetViews>
    <sheetView workbookViewId="0">
      <selection activeCell="P5" sqref="P5"/>
    </sheetView>
  </sheetViews>
  <sheetFormatPr defaultRowHeight="14.45"/>
  <cols>
    <col min="2" max="2" width="8.7109375" bestFit="1" customWidth="1"/>
    <col min="3" max="3" width="0" hidden="1" customWidth="1"/>
    <col min="4" max="4" width="8.7109375" bestFit="1" customWidth="1"/>
    <col min="5" max="7" width="0" hidden="1" customWidth="1"/>
    <col min="14" max="14" width="34.28515625" customWidth="1"/>
    <col min="16" max="16" width="30" customWidth="1"/>
  </cols>
  <sheetData>
    <row r="1" spans="1:23">
      <c r="B1" t="s">
        <v>1713</v>
      </c>
      <c r="C1" t="s">
        <v>2</v>
      </c>
      <c r="D1" t="s">
        <v>1714</v>
      </c>
      <c r="E1" t="s">
        <v>1712</v>
      </c>
      <c r="F1" t="s">
        <v>6</v>
      </c>
      <c r="G1" t="s">
        <v>7</v>
      </c>
      <c r="H1" t="s">
        <v>1715</v>
      </c>
      <c r="I1" t="s">
        <v>1716</v>
      </c>
      <c r="J1" t="s">
        <v>8</v>
      </c>
      <c r="K1" t="s">
        <v>1717</v>
      </c>
      <c r="L1" t="s">
        <v>10</v>
      </c>
      <c r="M1" t="s">
        <v>11</v>
      </c>
      <c r="N1" t="s">
        <v>17</v>
      </c>
      <c r="O1" t="s">
        <v>18</v>
      </c>
      <c r="P1" t="s">
        <v>1718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</row>
    <row r="2" spans="1:23">
      <c r="A2">
        <v>0</v>
      </c>
      <c r="B2" s="2">
        <v>0.151257359578925</v>
      </c>
      <c r="C2" s="2" t="s">
        <v>28</v>
      </c>
      <c r="D2" s="2">
        <v>10.6704111099243</v>
      </c>
      <c r="E2" t="s">
        <v>481</v>
      </c>
      <c r="F2">
        <v>35.309646302874299</v>
      </c>
      <c r="G2">
        <v>-120.662919085878</v>
      </c>
      <c r="H2">
        <v>0.16900000000000001</v>
      </c>
      <c r="I2">
        <v>10</v>
      </c>
      <c r="J2" t="s">
        <v>29</v>
      </c>
      <c r="K2">
        <v>1.2755448818206701</v>
      </c>
      <c r="L2" t="s">
        <v>30</v>
      </c>
      <c r="M2" t="s">
        <v>337</v>
      </c>
      <c r="N2" t="s">
        <v>557</v>
      </c>
      <c r="O2" t="s">
        <v>33</v>
      </c>
      <c r="P2" t="s">
        <v>85</v>
      </c>
      <c r="Q2" t="s">
        <v>558</v>
      </c>
      <c r="R2" t="s">
        <v>559</v>
      </c>
      <c r="S2" t="s">
        <v>560</v>
      </c>
      <c r="T2">
        <v>0.234375</v>
      </c>
      <c r="U2">
        <v>0.58872473239898604</v>
      </c>
      <c r="V2">
        <v>0.13556196180260899</v>
      </c>
      <c r="W2" t="s">
        <v>561</v>
      </c>
    </row>
    <row r="3" spans="1:23">
      <c r="A3">
        <v>0</v>
      </c>
      <c r="B3" s="2">
        <v>5.6039711103442899E-2</v>
      </c>
      <c r="C3" s="2" t="s">
        <v>28</v>
      </c>
      <c r="D3" s="2">
        <v>1.3014388084411599</v>
      </c>
      <c r="E3" t="s">
        <v>491</v>
      </c>
      <c r="F3">
        <v>35.309621522935501</v>
      </c>
      <c r="G3">
        <v>-120.662947187829</v>
      </c>
      <c r="H3">
        <v>5.0999999999999997E-2</v>
      </c>
      <c r="I3">
        <v>1.3</v>
      </c>
      <c r="J3" t="s">
        <v>29</v>
      </c>
      <c r="K3">
        <v>1.25267910957336</v>
      </c>
      <c r="L3" t="s">
        <v>30</v>
      </c>
      <c r="M3" t="s">
        <v>337</v>
      </c>
      <c r="N3" t="s">
        <v>569</v>
      </c>
      <c r="O3" t="s">
        <v>33</v>
      </c>
      <c r="P3" t="s">
        <v>85</v>
      </c>
      <c r="Q3" t="s">
        <v>570</v>
      </c>
      <c r="R3" t="s">
        <v>571</v>
      </c>
      <c r="S3" t="s">
        <v>572</v>
      </c>
      <c r="T3">
        <v>0.23263888888888801</v>
      </c>
      <c r="U3">
        <v>2.63473176956176</v>
      </c>
      <c r="V3">
        <v>5.0493420235188498E-2</v>
      </c>
      <c r="W3" t="s">
        <v>573</v>
      </c>
    </row>
    <row r="4" spans="1:23">
      <c r="A4">
        <v>0</v>
      </c>
      <c r="B4" s="2">
        <v>0.116022519480848</v>
      </c>
      <c r="C4" s="2" t="s">
        <v>28</v>
      </c>
      <c r="D4" s="2">
        <v>1.3469532728195099</v>
      </c>
      <c r="E4" t="s">
        <v>497</v>
      </c>
      <c r="F4">
        <v>35.309620680497297</v>
      </c>
      <c r="G4">
        <v>-120.66294910822199</v>
      </c>
      <c r="H4">
        <v>0.14099999999999999</v>
      </c>
      <c r="I4">
        <v>1.3</v>
      </c>
      <c r="J4" t="s">
        <v>29</v>
      </c>
      <c r="K4">
        <v>1.0764068365096999</v>
      </c>
      <c r="L4" t="s">
        <v>30</v>
      </c>
      <c r="M4" t="s">
        <v>337</v>
      </c>
      <c r="N4" t="s">
        <v>563</v>
      </c>
      <c r="O4" t="s">
        <v>33</v>
      </c>
      <c r="P4" t="s">
        <v>85</v>
      </c>
      <c r="Q4" t="s">
        <v>564</v>
      </c>
      <c r="R4" t="s">
        <v>565</v>
      </c>
      <c r="S4" t="s">
        <v>566</v>
      </c>
      <c r="T4">
        <v>0.23958333333333301</v>
      </c>
      <c r="U4">
        <v>0.44583576917648299</v>
      </c>
      <c r="V4">
        <v>0.103858729685449</v>
      </c>
      <c r="W4" t="s">
        <v>567</v>
      </c>
    </row>
    <row r="5" spans="1:23">
      <c r="A5">
        <v>0</v>
      </c>
      <c r="B5" s="2">
        <v>0.31166328681907601</v>
      </c>
      <c r="C5" s="2" t="s">
        <v>28</v>
      </c>
      <c r="D5" s="2">
        <v>16.965129852294901</v>
      </c>
      <c r="E5" t="s">
        <v>609</v>
      </c>
      <c r="F5">
        <v>35.309590957664398</v>
      </c>
      <c r="G5">
        <v>-120.662934152087</v>
      </c>
      <c r="H5">
        <v>0.34200000000000003</v>
      </c>
      <c r="I5">
        <v>15.4</v>
      </c>
      <c r="J5" t="s">
        <v>29</v>
      </c>
      <c r="K5">
        <v>0.754824459552764</v>
      </c>
      <c r="L5" t="s">
        <v>30</v>
      </c>
      <c r="M5" t="s">
        <v>337</v>
      </c>
      <c r="N5" t="s">
        <v>575</v>
      </c>
      <c r="O5" t="s">
        <v>33</v>
      </c>
      <c r="P5" t="s">
        <v>93</v>
      </c>
      <c r="Q5" t="s">
        <v>576</v>
      </c>
      <c r="R5" t="s">
        <v>577</v>
      </c>
      <c r="S5" t="s">
        <v>578</v>
      </c>
      <c r="T5">
        <v>0.25033637152777699</v>
      </c>
      <c r="U5">
        <v>1.1841638684272699</v>
      </c>
      <c r="V5">
        <v>0.27764760059961202</v>
      </c>
      <c r="W5" t="s">
        <v>579</v>
      </c>
    </row>
    <row r="6" spans="1:23">
      <c r="A6">
        <v>0</v>
      </c>
      <c r="B6" s="2">
        <v>9.5518751656461606E-2</v>
      </c>
      <c r="C6" s="2" t="s">
        <v>28</v>
      </c>
      <c r="D6" s="2">
        <v>1.1222072839736901</v>
      </c>
      <c r="E6" t="s">
        <v>615</v>
      </c>
      <c r="F6">
        <v>35.309615845093496</v>
      </c>
      <c r="G6">
        <v>-120.66294360308</v>
      </c>
      <c r="H6">
        <v>0.115</v>
      </c>
      <c r="I6">
        <v>1.3</v>
      </c>
      <c r="J6" t="s">
        <v>29</v>
      </c>
      <c r="K6">
        <v>1.43098545074462</v>
      </c>
      <c r="L6" t="s">
        <v>30</v>
      </c>
      <c r="M6" t="s">
        <v>337</v>
      </c>
      <c r="N6" t="s">
        <v>581</v>
      </c>
      <c r="O6" t="s">
        <v>33</v>
      </c>
      <c r="P6" t="s">
        <v>93</v>
      </c>
      <c r="Q6" t="s">
        <v>582</v>
      </c>
      <c r="R6" t="s">
        <v>583</v>
      </c>
      <c r="S6" t="s">
        <v>584</v>
      </c>
      <c r="T6">
        <v>0.24100378787878701</v>
      </c>
      <c r="U6">
        <v>0.38475006818771301</v>
      </c>
      <c r="V6">
        <v>8.6156280889975401E-2</v>
      </c>
      <c r="W6" t="s">
        <v>585</v>
      </c>
    </row>
    <row r="7" spans="1:23">
      <c r="A7">
        <v>0</v>
      </c>
      <c r="B7" s="2">
        <v>0.20726275094472399</v>
      </c>
      <c r="C7" s="2" t="s">
        <v>28</v>
      </c>
      <c r="D7" s="2">
        <v>1.30847835540771</v>
      </c>
      <c r="E7" t="s">
        <v>620</v>
      </c>
      <c r="F7">
        <v>35.309617613461199</v>
      </c>
      <c r="G7">
        <v>-120.662954618041</v>
      </c>
      <c r="H7">
        <v>0.23499999999999999</v>
      </c>
      <c r="I7">
        <v>1.3</v>
      </c>
      <c r="J7" t="s">
        <v>29</v>
      </c>
      <c r="K7">
        <v>0.99626600742339999</v>
      </c>
      <c r="L7" t="s">
        <v>30</v>
      </c>
      <c r="M7" t="s">
        <v>337</v>
      </c>
      <c r="N7" t="s">
        <v>587</v>
      </c>
      <c r="O7" t="s">
        <v>33</v>
      </c>
      <c r="P7" t="s">
        <v>93</v>
      </c>
      <c r="Q7" t="s">
        <v>588</v>
      </c>
      <c r="R7" t="s">
        <v>589</v>
      </c>
      <c r="S7" t="s">
        <v>590</v>
      </c>
      <c r="T7">
        <v>0.23396464646464599</v>
      </c>
      <c r="U7">
        <v>0.84633740782737699</v>
      </c>
      <c r="V7">
        <v>0.21541000823635401</v>
      </c>
      <c r="W7" t="s">
        <v>591</v>
      </c>
    </row>
    <row r="8" spans="1:23">
      <c r="A8">
        <v>0</v>
      </c>
      <c r="B8" s="2">
        <v>0.83674095187025499</v>
      </c>
      <c r="C8" s="2" t="s">
        <v>28</v>
      </c>
      <c r="D8" s="2">
        <v>271.25900268554602</v>
      </c>
      <c r="E8" t="s">
        <v>3116</v>
      </c>
      <c r="F8">
        <v>35.309701897252999</v>
      </c>
      <c r="G8">
        <v>-120.662146708631</v>
      </c>
      <c r="H8">
        <v>0.83099999999999996</v>
      </c>
      <c r="I8">
        <v>22.8</v>
      </c>
      <c r="J8" t="s">
        <v>29</v>
      </c>
      <c r="K8">
        <v>1.50172543525695</v>
      </c>
      <c r="L8" t="s">
        <v>30</v>
      </c>
      <c r="M8" t="s">
        <v>31</v>
      </c>
      <c r="N8" t="s">
        <v>3117</v>
      </c>
      <c r="O8" t="s">
        <v>33</v>
      </c>
      <c r="P8" t="s">
        <v>34</v>
      </c>
      <c r="Q8" t="s">
        <v>3118</v>
      </c>
      <c r="R8" t="s">
        <v>3119</v>
      </c>
      <c r="S8" t="s">
        <v>3120</v>
      </c>
      <c r="T8">
        <v>0.23395833333333299</v>
      </c>
      <c r="U8">
        <v>3.24537920951843</v>
      </c>
      <c r="V8">
        <v>0.75065144022782104</v>
      </c>
      <c r="W8" t="s">
        <v>3121</v>
      </c>
    </row>
    <row r="9" spans="1:23">
      <c r="A9">
        <v>0</v>
      </c>
      <c r="B9" s="2">
        <v>0.844798115804411</v>
      </c>
      <c r="C9" s="2" t="s">
        <v>28</v>
      </c>
      <c r="D9" s="2">
        <v>7.8200092315673801</v>
      </c>
      <c r="E9" t="s">
        <v>27</v>
      </c>
      <c r="F9">
        <v>35.310331902708299</v>
      </c>
      <c r="G9">
        <v>-120.662605000029</v>
      </c>
      <c r="J9" t="s">
        <v>29</v>
      </c>
      <c r="K9">
        <v>0.24012093245983099</v>
      </c>
      <c r="L9" t="s">
        <v>30</v>
      </c>
      <c r="M9" t="s">
        <v>31</v>
      </c>
      <c r="N9" t="s">
        <v>3122</v>
      </c>
      <c r="O9" t="s">
        <v>33</v>
      </c>
      <c r="P9" t="s">
        <v>34</v>
      </c>
      <c r="Q9" t="s">
        <v>35</v>
      </c>
      <c r="R9" t="s">
        <v>36</v>
      </c>
      <c r="S9" t="s">
        <v>37</v>
      </c>
      <c r="T9">
        <v>0.234953703703703</v>
      </c>
      <c r="U9">
        <v>3.30416536331176</v>
      </c>
      <c r="V9">
        <v>0.756915586834087</v>
      </c>
      <c r="W9" t="s">
        <v>38</v>
      </c>
    </row>
    <row r="10" spans="1:23">
      <c r="A10">
        <v>0</v>
      </c>
      <c r="B10" s="2">
        <v>0.76811853887826298</v>
      </c>
      <c r="C10" s="2" t="s">
        <v>28</v>
      </c>
      <c r="D10" s="2">
        <v>18.111690521240199</v>
      </c>
      <c r="E10" t="s">
        <v>40</v>
      </c>
      <c r="F10">
        <v>35.309616922184198</v>
      </c>
      <c r="G10">
        <v>-120.662914312794</v>
      </c>
      <c r="H10">
        <v>0.85</v>
      </c>
      <c r="I10">
        <v>22.7</v>
      </c>
      <c r="J10" t="s">
        <v>29</v>
      </c>
      <c r="K10">
        <v>1.1512799263000399</v>
      </c>
      <c r="L10" t="s">
        <v>30</v>
      </c>
      <c r="M10" t="s">
        <v>31</v>
      </c>
      <c r="N10" t="s">
        <v>3123</v>
      </c>
      <c r="O10" t="s">
        <v>33</v>
      </c>
      <c r="P10" t="s">
        <v>34</v>
      </c>
      <c r="Q10" t="s">
        <v>42</v>
      </c>
      <c r="R10" t="s">
        <v>43</v>
      </c>
      <c r="S10" t="s">
        <v>44</v>
      </c>
      <c r="T10">
        <v>0.23697916666666599</v>
      </c>
      <c r="U10">
        <v>3.0167775154113698</v>
      </c>
      <c r="V10">
        <v>0.68789350702152396</v>
      </c>
      <c r="W10" t="s">
        <v>45</v>
      </c>
    </row>
    <row r="11" spans="1:23">
      <c r="A11">
        <v>0</v>
      </c>
      <c r="B11" s="2">
        <v>0.291979996465345</v>
      </c>
      <c r="C11" s="2" t="s">
        <v>28</v>
      </c>
      <c r="D11" s="2">
        <v>10.8162269592285</v>
      </c>
      <c r="E11" t="s">
        <v>46</v>
      </c>
      <c r="F11">
        <v>35.310164185540302</v>
      </c>
      <c r="G11">
        <v>-120.662725427968</v>
      </c>
      <c r="H11">
        <v>0.312</v>
      </c>
      <c r="I11">
        <v>12.8</v>
      </c>
      <c r="J11" t="s">
        <v>29</v>
      </c>
      <c r="K11">
        <v>1.1533961296081501</v>
      </c>
      <c r="L11" t="s">
        <v>30</v>
      </c>
      <c r="M11" t="s">
        <v>31</v>
      </c>
      <c r="N11" t="s">
        <v>47</v>
      </c>
      <c r="O11" t="s">
        <v>33</v>
      </c>
      <c r="P11" t="s">
        <v>34</v>
      </c>
      <c r="Q11" t="s">
        <v>48</v>
      </c>
      <c r="R11" t="s">
        <v>49</v>
      </c>
      <c r="S11" t="s">
        <v>50</v>
      </c>
      <c r="T11">
        <v>0.22395833333333301</v>
      </c>
      <c r="U11">
        <v>1.1227289438247601</v>
      </c>
      <c r="V11">
        <v>0.26205471735237801</v>
      </c>
      <c r="W11" t="s">
        <v>51</v>
      </c>
    </row>
    <row r="12" spans="1:23">
      <c r="A12">
        <v>0</v>
      </c>
      <c r="B12" s="2">
        <v>0.40847131049311097</v>
      </c>
      <c r="C12" s="2" t="s">
        <v>28</v>
      </c>
      <c r="D12" s="2">
        <v>15.771734237670801</v>
      </c>
      <c r="E12" t="s">
        <v>52</v>
      </c>
      <c r="F12">
        <v>35.3095972584157</v>
      </c>
      <c r="G12">
        <v>-120.66289567154401</v>
      </c>
      <c r="H12">
        <v>0.40899999999999997</v>
      </c>
      <c r="I12">
        <v>13.4</v>
      </c>
      <c r="J12" t="s">
        <v>29</v>
      </c>
      <c r="K12">
        <v>1.2906858921051001</v>
      </c>
      <c r="L12" t="s">
        <v>30</v>
      </c>
      <c r="M12" t="s">
        <v>31</v>
      </c>
      <c r="N12" t="s">
        <v>53</v>
      </c>
      <c r="O12" t="s">
        <v>33</v>
      </c>
      <c r="P12" t="s">
        <v>34</v>
      </c>
      <c r="Q12" t="s">
        <v>54</v>
      </c>
      <c r="R12" t="s">
        <v>55</v>
      </c>
      <c r="S12" t="s">
        <v>56</v>
      </c>
      <c r="T12">
        <v>0.22395833333333301</v>
      </c>
      <c r="U12">
        <v>1.55032390356063</v>
      </c>
      <c r="V12">
        <v>0.36633294188508198</v>
      </c>
      <c r="W12" t="s">
        <v>57</v>
      </c>
    </row>
    <row r="13" spans="1:23">
      <c r="A13">
        <v>0</v>
      </c>
      <c r="B13" s="2">
        <v>0.558436979105156</v>
      </c>
      <c r="C13" s="2" t="s">
        <v>28</v>
      </c>
      <c r="D13" s="2">
        <v>17.0069980621337</v>
      </c>
      <c r="E13" t="s">
        <v>58</v>
      </c>
      <c r="F13">
        <v>35.309467366398501</v>
      </c>
      <c r="G13">
        <v>-120.662787274978</v>
      </c>
      <c r="H13">
        <v>0.53900000000000003</v>
      </c>
      <c r="I13">
        <v>15.7</v>
      </c>
      <c r="J13" t="s">
        <v>29</v>
      </c>
      <c r="K13">
        <v>1.4203526973724301</v>
      </c>
      <c r="L13" t="s">
        <v>30</v>
      </c>
      <c r="M13" t="s">
        <v>31</v>
      </c>
      <c r="N13" t="s">
        <v>59</v>
      </c>
      <c r="O13" t="s">
        <v>33</v>
      </c>
      <c r="P13" t="s">
        <v>34</v>
      </c>
      <c r="Q13" t="s">
        <v>60</v>
      </c>
      <c r="R13" t="s">
        <v>61</v>
      </c>
      <c r="S13" t="s">
        <v>62</v>
      </c>
      <c r="T13">
        <v>0.22539194023569001</v>
      </c>
      <c r="U13">
        <v>2.1358036994934002</v>
      </c>
      <c r="V13">
        <v>0.50112372992878995</v>
      </c>
      <c r="W13" t="s">
        <v>63</v>
      </c>
    </row>
    <row r="14" spans="1:23">
      <c r="A14">
        <v>0</v>
      </c>
      <c r="B14" s="2">
        <v>9.0784417824616701E-2</v>
      </c>
      <c r="C14" s="2" t="s">
        <v>28</v>
      </c>
      <c r="D14" s="2">
        <v>4.27831554412841</v>
      </c>
      <c r="E14" t="s">
        <v>3124</v>
      </c>
      <c r="F14">
        <v>35.309630208800201</v>
      </c>
      <c r="G14">
        <v>-120.662930257887</v>
      </c>
      <c r="H14">
        <v>0.183</v>
      </c>
      <c r="I14">
        <v>6.2</v>
      </c>
      <c r="J14" t="s">
        <v>29</v>
      </c>
      <c r="K14">
        <v>1.3880423307418801</v>
      </c>
      <c r="L14" t="s">
        <v>30</v>
      </c>
      <c r="M14" t="s">
        <v>31</v>
      </c>
      <c r="N14" t="s">
        <v>3125</v>
      </c>
      <c r="O14" t="s">
        <v>33</v>
      </c>
      <c r="P14" t="s">
        <v>34</v>
      </c>
      <c r="Q14" t="s">
        <v>1774</v>
      </c>
      <c r="R14" t="s">
        <v>3126</v>
      </c>
      <c r="S14" t="s">
        <v>3127</v>
      </c>
      <c r="T14">
        <v>0.23134822733918101</v>
      </c>
      <c r="U14">
        <v>0.35247820615768399</v>
      </c>
      <c r="V14">
        <v>8.1365509159535707E-2</v>
      </c>
      <c r="W14" t="s">
        <v>3128</v>
      </c>
    </row>
    <row r="15" spans="1:23">
      <c r="A15">
        <v>0</v>
      </c>
      <c r="B15" s="2">
        <v>3.4047654834232798E-2</v>
      </c>
      <c r="C15" s="2" t="s">
        <v>28</v>
      </c>
      <c r="D15" s="2">
        <v>6.6830124855041504</v>
      </c>
      <c r="E15" t="s">
        <v>86</v>
      </c>
      <c r="F15">
        <v>35.309605694372202</v>
      </c>
      <c r="G15">
        <v>-120.662935538413</v>
      </c>
      <c r="H15">
        <v>0.183</v>
      </c>
      <c r="I15">
        <v>6.2</v>
      </c>
      <c r="J15" t="s">
        <v>29</v>
      </c>
      <c r="K15">
        <v>0.99732732772827104</v>
      </c>
      <c r="L15" t="s">
        <v>30</v>
      </c>
      <c r="M15" t="s">
        <v>87</v>
      </c>
      <c r="N15" t="s">
        <v>3129</v>
      </c>
      <c r="O15" t="s">
        <v>33</v>
      </c>
      <c r="P15" t="s">
        <v>34</v>
      </c>
      <c r="Q15" t="s">
        <v>89</v>
      </c>
      <c r="R15" t="s">
        <v>90</v>
      </c>
      <c r="S15" t="s">
        <v>91</v>
      </c>
      <c r="T15">
        <v>0.28893849206349198</v>
      </c>
      <c r="U15">
        <v>0.54839748144149703</v>
      </c>
      <c r="V15">
        <v>5.0953179629717897E-2</v>
      </c>
      <c r="W15" t="s">
        <v>92</v>
      </c>
    </row>
    <row r="16" spans="1:23">
      <c r="A16">
        <v>0</v>
      </c>
      <c r="B16" s="2">
        <v>0.51640786008651296</v>
      </c>
      <c r="C16" s="2" t="s">
        <v>28</v>
      </c>
      <c r="D16" s="2">
        <v>15.999005317687899</v>
      </c>
      <c r="E16" t="s">
        <v>94</v>
      </c>
      <c r="F16">
        <v>35.309472990002703</v>
      </c>
      <c r="G16">
        <v>-120.66286937626801</v>
      </c>
      <c r="H16">
        <v>0.56499999999999995</v>
      </c>
      <c r="I16">
        <v>16.2</v>
      </c>
      <c r="J16" t="s">
        <v>29</v>
      </c>
      <c r="K16">
        <v>1.4232583045959399</v>
      </c>
      <c r="L16" t="s">
        <v>30</v>
      </c>
      <c r="M16" t="s">
        <v>87</v>
      </c>
      <c r="N16" t="s">
        <v>3130</v>
      </c>
      <c r="O16" t="s">
        <v>33</v>
      </c>
      <c r="P16" t="s">
        <v>34</v>
      </c>
      <c r="Q16" t="s">
        <v>96</v>
      </c>
      <c r="R16" t="s">
        <v>97</v>
      </c>
      <c r="S16" t="s">
        <v>98</v>
      </c>
      <c r="T16">
        <v>0.241102430555555</v>
      </c>
      <c r="U16">
        <v>2.0302442312240601</v>
      </c>
      <c r="V16">
        <v>0.46543863001708702</v>
      </c>
      <c r="W16" t="s">
        <v>99</v>
      </c>
    </row>
    <row r="17" spans="1:23">
      <c r="A17">
        <v>0</v>
      </c>
      <c r="B17" s="2">
        <v>0.35709720155387398</v>
      </c>
      <c r="C17" s="2" t="s">
        <v>28</v>
      </c>
      <c r="D17" s="2">
        <v>16.708858489990199</v>
      </c>
      <c r="E17" t="s">
        <v>101</v>
      </c>
      <c r="F17">
        <v>35.309611079237101</v>
      </c>
      <c r="G17">
        <v>-120.662958777265</v>
      </c>
      <c r="H17">
        <v>0.58099999999999996</v>
      </c>
      <c r="I17">
        <v>17.2</v>
      </c>
      <c r="J17" t="s">
        <v>29</v>
      </c>
      <c r="K17">
        <v>1.0598449707031199</v>
      </c>
      <c r="L17" t="s">
        <v>30</v>
      </c>
      <c r="M17" t="s">
        <v>87</v>
      </c>
      <c r="N17" t="s">
        <v>3131</v>
      </c>
      <c r="O17" t="s">
        <v>33</v>
      </c>
      <c r="P17" t="s">
        <v>34</v>
      </c>
      <c r="Q17" t="s">
        <v>103</v>
      </c>
      <c r="R17" t="s">
        <v>104</v>
      </c>
      <c r="S17" t="s">
        <v>105</v>
      </c>
      <c r="T17">
        <v>0.26328124999999902</v>
      </c>
      <c r="U17">
        <v>2.0221908092498699</v>
      </c>
      <c r="V17">
        <v>0.459337138978057</v>
      </c>
      <c r="W17" t="s">
        <v>106</v>
      </c>
    </row>
    <row r="18" spans="1:23">
      <c r="A18">
        <v>0</v>
      </c>
      <c r="B18" s="2">
        <v>0.41157524853162902</v>
      </c>
      <c r="C18" s="2" t="s">
        <v>28</v>
      </c>
      <c r="D18" s="2">
        <v>13.9149875640869</v>
      </c>
      <c r="E18" t="s">
        <v>120</v>
      </c>
      <c r="F18">
        <v>35.310339810457599</v>
      </c>
      <c r="G18">
        <v>-120.66298029923</v>
      </c>
      <c r="H18">
        <v>0.45</v>
      </c>
      <c r="I18">
        <v>14</v>
      </c>
      <c r="J18" t="s">
        <v>29</v>
      </c>
      <c r="K18">
        <v>1.0787875652313199</v>
      </c>
      <c r="L18" t="s">
        <v>30</v>
      </c>
      <c r="M18" t="s">
        <v>87</v>
      </c>
      <c r="N18" t="s">
        <v>121</v>
      </c>
      <c r="O18" t="s">
        <v>33</v>
      </c>
      <c r="P18" t="s">
        <v>64</v>
      </c>
      <c r="Q18" t="s">
        <v>122</v>
      </c>
      <c r="R18" t="s">
        <v>123</v>
      </c>
      <c r="S18" t="s">
        <v>124</v>
      </c>
      <c r="T18">
        <v>0.234953703703703</v>
      </c>
      <c r="U18">
        <v>1.5812417268753001</v>
      </c>
      <c r="V18">
        <v>0.369725484861336</v>
      </c>
      <c r="W18" t="s">
        <v>125</v>
      </c>
    </row>
    <row r="19" spans="1:23">
      <c r="A19">
        <v>0</v>
      </c>
      <c r="B19" s="2">
        <v>0.29416446915106098</v>
      </c>
      <c r="C19" s="2" t="s">
        <v>28</v>
      </c>
      <c r="D19" s="2">
        <v>13.286856651306101</v>
      </c>
      <c r="E19" t="s">
        <v>126</v>
      </c>
      <c r="F19">
        <v>35.309637342760801</v>
      </c>
      <c r="G19">
        <v>-120.662996974075</v>
      </c>
      <c r="H19">
        <v>30.6</v>
      </c>
      <c r="I19">
        <v>12</v>
      </c>
      <c r="J19" t="s">
        <v>29</v>
      </c>
      <c r="K19">
        <v>1.4106413125991799</v>
      </c>
      <c r="L19" t="s">
        <v>30</v>
      </c>
      <c r="M19" t="s">
        <v>87</v>
      </c>
      <c r="N19" t="s">
        <v>127</v>
      </c>
      <c r="O19" t="s">
        <v>33</v>
      </c>
      <c r="P19" t="s">
        <v>64</v>
      </c>
      <c r="Q19" t="s">
        <v>128</v>
      </c>
      <c r="R19" t="s">
        <v>129</v>
      </c>
      <c r="S19" t="s">
        <v>130</v>
      </c>
      <c r="T19">
        <v>0.23697916666666599</v>
      </c>
      <c r="U19">
        <v>1.1265912055969201</v>
      </c>
      <c r="V19">
        <v>0.26374749290257798</v>
      </c>
      <c r="W19" t="s">
        <v>131</v>
      </c>
    </row>
    <row r="20" spans="1:23">
      <c r="A20">
        <v>0</v>
      </c>
      <c r="B20" s="2">
        <v>0.448338520895189</v>
      </c>
      <c r="C20" s="2" t="s">
        <v>28</v>
      </c>
      <c r="D20" s="2">
        <v>15.918393135070801</v>
      </c>
      <c r="E20" t="s">
        <v>132</v>
      </c>
      <c r="F20">
        <v>35.310332472469099</v>
      </c>
      <c r="G20">
        <v>-120.662899045386</v>
      </c>
      <c r="H20">
        <v>0.47199999999999998</v>
      </c>
      <c r="I20">
        <v>14.7</v>
      </c>
      <c r="J20" t="s">
        <v>29</v>
      </c>
      <c r="K20">
        <v>1.2671712636947601</v>
      </c>
      <c r="L20" t="s">
        <v>30</v>
      </c>
      <c r="M20" t="s">
        <v>87</v>
      </c>
      <c r="N20" t="s">
        <v>133</v>
      </c>
      <c r="O20" t="s">
        <v>33</v>
      </c>
      <c r="P20" t="s">
        <v>64</v>
      </c>
      <c r="Q20" t="s">
        <v>134</v>
      </c>
      <c r="R20" t="s">
        <v>135</v>
      </c>
      <c r="S20" t="s">
        <v>136</v>
      </c>
      <c r="T20">
        <v>0.23177083333333301</v>
      </c>
      <c r="U20">
        <v>1.722589969635</v>
      </c>
      <c r="V20">
        <v>0.401339901389483</v>
      </c>
      <c r="W20" t="s">
        <v>137</v>
      </c>
    </row>
    <row r="21" spans="1:23">
      <c r="A21">
        <v>0</v>
      </c>
      <c r="B21" s="2">
        <v>0.467804824708349</v>
      </c>
      <c r="C21" s="2" t="s">
        <v>28</v>
      </c>
      <c r="D21" s="2">
        <v>11.85764503479</v>
      </c>
      <c r="E21" t="s">
        <v>3132</v>
      </c>
      <c r="F21">
        <v>35.310330490040698</v>
      </c>
      <c r="G21">
        <v>-120.662891799446</v>
      </c>
      <c r="H21">
        <v>0.47499999999999998</v>
      </c>
      <c r="I21">
        <v>14.9</v>
      </c>
      <c r="J21" t="s">
        <v>29</v>
      </c>
      <c r="K21">
        <v>1.1003451347351001</v>
      </c>
      <c r="L21" t="s">
        <v>30</v>
      </c>
      <c r="M21" t="s">
        <v>87</v>
      </c>
      <c r="N21" t="s">
        <v>3133</v>
      </c>
      <c r="O21" t="s">
        <v>33</v>
      </c>
      <c r="P21" t="s">
        <v>64</v>
      </c>
      <c r="Q21" t="s">
        <v>3134</v>
      </c>
      <c r="R21" t="s">
        <v>3135</v>
      </c>
      <c r="S21" t="s">
        <v>3136</v>
      </c>
      <c r="T21">
        <v>0.23927696078431299</v>
      </c>
      <c r="U21">
        <v>1.7891983985900799</v>
      </c>
      <c r="V21">
        <v>0.42293252572054002</v>
      </c>
      <c r="W21" t="s">
        <v>3137</v>
      </c>
    </row>
    <row r="22" spans="1:23">
      <c r="A22">
        <v>0</v>
      </c>
      <c r="B22" s="2">
        <v>0.50010013137087805</v>
      </c>
      <c r="C22" s="2" t="s">
        <v>28</v>
      </c>
      <c r="D22" s="2">
        <v>14.137280464172299</v>
      </c>
      <c r="E22" t="s">
        <v>138</v>
      </c>
      <c r="F22">
        <v>35.30892944</v>
      </c>
      <c r="G22">
        <v>-120.66026306000001</v>
      </c>
      <c r="H22">
        <v>0.47499999999999998</v>
      </c>
      <c r="I22">
        <v>14</v>
      </c>
      <c r="J22" t="s">
        <v>29</v>
      </c>
      <c r="K22">
        <v>1.0874438285827599</v>
      </c>
      <c r="L22" t="s">
        <v>30</v>
      </c>
      <c r="M22" t="s">
        <v>87</v>
      </c>
      <c r="N22" t="s">
        <v>139</v>
      </c>
      <c r="O22" t="s">
        <v>33</v>
      </c>
      <c r="P22" t="s">
        <v>64</v>
      </c>
      <c r="Q22" t="s">
        <v>140</v>
      </c>
      <c r="R22" t="s">
        <v>141</v>
      </c>
      <c r="S22" t="s">
        <v>142</v>
      </c>
      <c r="T22">
        <v>0.23181573275862</v>
      </c>
      <c r="U22">
        <v>1.8809382319450301</v>
      </c>
      <c r="V22">
        <v>0.45066897155234997</v>
      </c>
      <c r="W22" t="s">
        <v>143</v>
      </c>
    </row>
    <row r="23" spans="1:23">
      <c r="A23">
        <v>0</v>
      </c>
      <c r="B23" s="2">
        <v>0.47424681541060998</v>
      </c>
      <c r="C23" s="2" t="s">
        <v>28</v>
      </c>
      <c r="D23" s="2">
        <v>12.3533535003662</v>
      </c>
      <c r="E23" t="s">
        <v>144</v>
      </c>
      <c r="F23">
        <v>35.309592322700503</v>
      </c>
      <c r="G23">
        <v>-120.662970418651</v>
      </c>
      <c r="H23">
        <v>0.51400000000000001</v>
      </c>
      <c r="I23">
        <v>11.8</v>
      </c>
      <c r="J23" t="s">
        <v>29</v>
      </c>
      <c r="K23">
        <v>1.1837961673736499</v>
      </c>
      <c r="L23" t="s">
        <v>30</v>
      </c>
      <c r="M23" t="s">
        <v>87</v>
      </c>
      <c r="N23" t="s">
        <v>145</v>
      </c>
      <c r="O23" t="s">
        <v>33</v>
      </c>
      <c r="P23" t="s">
        <v>64</v>
      </c>
      <c r="Q23" t="s">
        <v>146</v>
      </c>
      <c r="R23" t="s">
        <v>147</v>
      </c>
      <c r="S23" t="s">
        <v>148</v>
      </c>
      <c r="T23">
        <v>0.24972511574073999</v>
      </c>
      <c r="U23">
        <v>1.86044400930404</v>
      </c>
      <c r="V23">
        <v>0.42757584820000699</v>
      </c>
      <c r="W23" t="s">
        <v>149</v>
      </c>
    </row>
    <row r="24" spans="1:23">
      <c r="A24">
        <v>0</v>
      </c>
      <c r="B24" s="2">
        <v>0.21365570043468099</v>
      </c>
      <c r="C24" s="2" t="s">
        <v>28</v>
      </c>
      <c r="D24" s="2">
        <v>12.555085182189901</v>
      </c>
      <c r="E24" t="s">
        <v>150</v>
      </c>
      <c r="F24">
        <v>35.309358322594001</v>
      </c>
      <c r="G24">
        <v>-120.661947273739</v>
      </c>
      <c r="H24">
        <v>0.23100000000000001</v>
      </c>
      <c r="I24">
        <v>10.9</v>
      </c>
      <c r="J24" t="s">
        <v>29</v>
      </c>
      <c r="K24">
        <v>1.19677722454071</v>
      </c>
      <c r="L24" t="s">
        <v>30</v>
      </c>
      <c r="M24" t="s">
        <v>87</v>
      </c>
      <c r="N24" t="s">
        <v>151</v>
      </c>
      <c r="O24" t="s">
        <v>33</v>
      </c>
      <c r="P24" t="s">
        <v>64</v>
      </c>
      <c r="Q24" t="s">
        <v>152</v>
      </c>
      <c r="R24" t="s">
        <v>153</v>
      </c>
      <c r="S24" t="s">
        <v>154</v>
      </c>
      <c r="T24">
        <v>0.23958333333333301</v>
      </c>
      <c r="U24">
        <v>0.82625907659530595</v>
      </c>
      <c r="V24">
        <v>0.192979585662757</v>
      </c>
      <c r="W24" t="s">
        <v>155</v>
      </c>
    </row>
    <row r="25" spans="1:23">
      <c r="A25">
        <v>0</v>
      </c>
      <c r="B25" s="2">
        <v>0.28408539676588401</v>
      </c>
      <c r="C25" s="2" t="s">
        <v>28</v>
      </c>
      <c r="D25" s="2">
        <v>11.706635475158601</v>
      </c>
      <c r="E25" t="s">
        <v>156</v>
      </c>
      <c r="F25">
        <v>35.309356206367802</v>
      </c>
      <c r="G25">
        <v>-120.663181702613</v>
      </c>
      <c r="H25">
        <v>0.3</v>
      </c>
      <c r="I25">
        <v>11</v>
      </c>
      <c r="J25" t="s">
        <v>29</v>
      </c>
      <c r="K25">
        <v>1.27239489555358</v>
      </c>
      <c r="L25" t="s">
        <v>30</v>
      </c>
      <c r="M25" t="s">
        <v>87</v>
      </c>
      <c r="N25" t="s">
        <v>157</v>
      </c>
      <c r="O25" t="s">
        <v>33</v>
      </c>
      <c r="P25" t="s">
        <v>64</v>
      </c>
      <c r="Q25" t="s">
        <v>158</v>
      </c>
      <c r="R25" t="s">
        <v>159</v>
      </c>
      <c r="S25" t="s">
        <v>160</v>
      </c>
      <c r="T25">
        <v>0.24441964285714199</v>
      </c>
      <c r="U25">
        <v>1.0959783792495701</v>
      </c>
      <c r="V25">
        <v>0.25664468656973199</v>
      </c>
      <c r="W25" t="s">
        <v>161</v>
      </c>
    </row>
    <row r="26" spans="1:23">
      <c r="A26">
        <v>0</v>
      </c>
      <c r="B26" s="2">
        <v>0.11520452826520999</v>
      </c>
      <c r="C26" s="2" t="s">
        <v>28</v>
      </c>
      <c r="D26" s="2">
        <v>1.21672916412353</v>
      </c>
      <c r="E26" t="s">
        <v>162</v>
      </c>
      <c r="F26">
        <v>35.308890127073603</v>
      </c>
      <c r="G26">
        <v>-120.6604184281</v>
      </c>
      <c r="H26">
        <v>0.125</v>
      </c>
      <c r="I26">
        <v>1.3</v>
      </c>
      <c r="J26" t="s">
        <v>29</v>
      </c>
      <c r="K26">
        <v>1.25416159629821</v>
      </c>
      <c r="L26" t="s">
        <v>30</v>
      </c>
      <c r="M26" t="s">
        <v>87</v>
      </c>
      <c r="N26" t="s">
        <v>163</v>
      </c>
      <c r="O26" t="s">
        <v>33</v>
      </c>
      <c r="P26" t="s">
        <v>64</v>
      </c>
      <c r="Q26" t="s">
        <v>164</v>
      </c>
      <c r="R26" t="s">
        <v>165</v>
      </c>
      <c r="S26" t="s">
        <v>166</v>
      </c>
      <c r="T26">
        <v>0.24739583333333301</v>
      </c>
      <c r="U26">
        <v>0.45070460438728299</v>
      </c>
      <c r="V26">
        <v>0.104192678415974</v>
      </c>
      <c r="W26" t="s">
        <v>167</v>
      </c>
    </row>
    <row r="27" spans="1:23">
      <c r="A27">
        <v>0</v>
      </c>
      <c r="B27" s="2">
        <v>0.102283553626823</v>
      </c>
      <c r="C27" s="2" t="s">
        <v>28</v>
      </c>
      <c r="D27" s="2">
        <v>1.18597447872161</v>
      </c>
      <c r="E27" t="s">
        <v>168</v>
      </c>
      <c r="F27">
        <v>35.309432155237097</v>
      </c>
      <c r="G27">
        <v>-120.662310966098</v>
      </c>
      <c r="H27">
        <v>0.11</v>
      </c>
      <c r="I27">
        <v>1.3</v>
      </c>
      <c r="J27" t="s">
        <v>29</v>
      </c>
      <c r="K27">
        <v>1.1839586496353101</v>
      </c>
      <c r="L27" t="s">
        <v>30</v>
      </c>
      <c r="M27" t="s">
        <v>87</v>
      </c>
      <c r="N27" t="s">
        <v>169</v>
      </c>
      <c r="O27" t="s">
        <v>33</v>
      </c>
      <c r="P27" t="s">
        <v>64</v>
      </c>
      <c r="Q27" t="s">
        <v>170</v>
      </c>
      <c r="R27" t="s">
        <v>171</v>
      </c>
      <c r="S27" t="s">
        <v>172</v>
      </c>
      <c r="T27">
        <v>0.238095238095238</v>
      </c>
      <c r="U27">
        <v>0.38979263603687198</v>
      </c>
      <c r="V27">
        <v>9.2188685438399906E-2</v>
      </c>
      <c r="W27" t="s">
        <v>173</v>
      </c>
    </row>
    <row r="28" spans="1:23">
      <c r="A28">
        <v>0</v>
      </c>
      <c r="B28" s="2">
        <v>0.28040143397232797</v>
      </c>
      <c r="C28" s="2" t="s">
        <v>28</v>
      </c>
      <c r="D28" s="2">
        <v>10.2559041976928</v>
      </c>
      <c r="E28" t="s">
        <v>174</v>
      </c>
      <c r="F28">
        <v>35.3103645713703</v>
      </c>
      <c r="G28">
        <v>-120.66242694324001</v>
      </c>
      <c r="H28">
        <v>0.33800000000000002</v>
      </c>
      <c r="I28">
        <v>10</v>
      </c>
      <c r="J28" t="s">
        <v>29</v>
      </c>
      <c r="K28">
        <v>1.3200376033782899</v>
      </c>
      <c r="L28" t="s">
        <v>30</v>
      </c>
      <c r="M28" t="s">
        <v>87</v>
      </c>
      <c r="N28" t="s">
        <v>175</v>
      </c>
      <c r="O28" t="s">
        <v>33</v>
      </c>
      <c r="P28" t="s">
        <v>64</v>
      </c>
      <c r="Q28" t="s">
        <v>176</v>
      </c>
      <c r="R28" t="s">
        <v>177</v>
      </c>
      <c r="S28" t="s">
        <v>178</v>
      </c>
      <c r="T28">
        <v>0.24328807043650699</v>
      </c>
      <c r="U28">
        <v>1.11366534233093</v>
      </c>
      <c r="V28">
        <v>0.253036004137844</v>
      </c>
      <c r="W28" t="s">
        <v>179</v>
      </c>
    </row>
    <row r="29" spans="1:23">
      <c r="A29">
        <v>0</v>
      </c>
      <c r="B29" s="2">
        <v>0.18495096359921401</v>
      </c>
      <c r="C29" s="2" t="s">
        <v>28</v>
      </c>
      <c r="D29" s="2">
        <v>1.2358043193817101</v>
      </c>
      <c r="E29" t="s">
        <v>180</v>
      </c>
      <c r="F29">
        <v>35.309551563933198</v>
      </c>
      <c r="G29">
        <v>-120.66296089758799</v>
      </c>
      <c r="H29">
        <v>0.21299999999999999</v>
      </c>
      <c r="I29">
        <v>1.3</v>
      </c>
      <c r="J29" t="s">
        <v>29</v>
      </c>
      <c r="K29">
        <v>1.2390694618225</v>
      </c>
      <c r="L29" t="s">
        <v>30</v>
      </c>
      <c r="M29" t="s">
        <v>87</v>
      </c>
      <c r="O29" t="s">
        <v>33</v>
      </c>
      <c r="P29" t="s">
        <v>64</v>
      </c>
      <c r="Q29" t="s">
        <v>182</v>
      </c>
      <c r="R29" t="s">
        <v>183</v>
      </c>
      <c r="S29" t="s">
        <v>184</v>
      </c>
      <c r="T29">
        <v>0.25390625</v>
      </c>
      <c r="U29">
        <v>0.70277279615402199</v>
      </c>
      <c r="V29">
        <v>0.16617222593881301</v>
      </c>
      <c r="W29" t="s">
        <v>185</v>
      </c>
    </row>
    <row r="30" spans="1:23">
      <c r="A30">
        <v>0</v>
      </c>
      <c r="B30" s="2">
        <v>0.223855853763577</v>
      </c>
      <c r="C30" s="2" t="s">
        <v>28</v>
      </c>
      <c r="D30" s="2">
        <v>1.2975336313247601</v>
      </c>
      <c r="E30" t="s">
        <v>186</v>
      </c>
      <c r="F30">
        <v>35.309440281681901</v>
      </c>
      <c r="G30">
        <v>-120.662418532556</v>
      </c>
      <c r="H30">
        <v>0.24</v>
      </c>
      <c r="I30">
        <v>1.3</v>
      </c>
      <c r="J30" t="s">
        <v>29</v>
      </c>
      <c r="K30">
        <v>1.1702294349670399</v>
      </c>
      <c r="L30" t="s">
        <v>30</v>
      </c>
      <c r="M30" t="s">
        <v>87</v>
      </c>
      <c r="N30" t="s">
        <v>187</v>
      </c>
      <c r="O30" t="s">
        <v>33</v>
      </c>
      <c r="P30" t="s">
        <v>64</v>
      </c>
      <c r="Q30" t="s">
        <v>188</v>
      </c>
      <c r="R30" t="s">
        <v>189</v>
      </c>
      <c r="S30" t="s">
        <v>190</v>
      </c>
      <c r="T30">
        <v>0.261948529411764</v>
      </c>
      <c r="U30">
        <v>0.87918418645858698</v>
      </c>
      <c r="V30">
        <v>0.20194977142519499</v>
      </c>
      <c r="W30" t="s">
        <v>191</v>
      </c>
    </row>
    <row r="31" spans="1:23">
      <c r="A31">
        <v>0</v>
      </c>
      <c r="B31" s="2">
        <v>0.24117258157309199</v>
      </c>
      <c r="C31" s="2" t="s">
        <v>28</v>
      </c>
      <c r="D31" s="2">
        <v>1.2569109201431199</v>
      </c>
      <c r="E31" t="s">
        <v>192</v>
      </c>
      <c r="F31">
        <v>35.310311647755597</v>
      </c>
      <c r="G31">
        <v>-120.662408538777</v>
      </c>
      <c r="H31">
        <v>0.255</v>
      </c>
      <c r="I31">
        <v>1.3</v>
      </c>
      <c r="J31" t="s">
        <v>29</v>
      </c>
      <c r="K31">
        <v>1.0742042064666699</v>
      </c>
      <c r="L31" t="s">
        <v>30</v>
      </c>
      <c r="M31" t="s">
        <v>87</v>
      </c>
      <c r="N31" t="s">
        <v>193</v>
      </c>
      <c r="O31" t="s">
        <v>33</v>
      </c>
      <c r="P31" t="s">
        <v>64</v>
      </c>
      <c r="Q31" t="s">
        <v>194</v>
      </c>
      <c r="R31" t="s">
        <v>195</v>
      </c>
      <c r="S31" t="s">
        <v>196</v>
      </c>
      <c r="T31">
        <v>0.25204208721532001</v>
      </c>
      <c r="U31">
        <v>0.96008923649787903</v>
      </c>
      <c r="V31">
        <v>0.217149087596265</v>
      </c>
      <c r="W31" t="s">
        <v>197</v>
      </c>
    </row>
    <row r="32" spans="1:23">
      <c r="A32">
        <v>0</v>
      </c>
      <c r="B32" s="2">
        <v>0.16812205594777699</v>
      </c>
      <c r="C32" s="2" t="s">
        <v>28</v>
      </c>
      <c r="D32" s="2">
        <v>5.0817360877990696</v>
      </c>
      <c r="E32" t="s">
        <v>198</v>
      </c>
      <c r="F32">
        <v>35.309537811050497</v>
      </c>
      <c r="G32">
        <v>-120.662964781884</v>
      </c>
      <c r="H32">
        <v>0.192</v>
      </c>
      <c r="I32">
        <v>4</v>
      </c>
      <c r="J32" t="s">
        <v>29</v>
      </c>
      <c r="K32">
        <v>0.56169414520263605</v>
      </c>
      <c r="L32" t="s">
        <v>30</v>
      </c>
      <c r="M32" t="s">
        <v>87</v>
      </c>
      <c r="N32" t="s">
        <v>199</v>
      </c>
      <c r="O32" t="s">
        <v>33</v>
      </c>
      <c r="P32" t="s">
        <v>64</v>
      </c>
      <c r="Q32" t="s">
        <v>200</v>
      </c>
      <c r="R32" t="s">
        <v>201</v>
      </c>
      <c r="S32" t="s">
        <v>202</v>
      </c>
      <c r="T32">
        <v>0.25061274509803899</v>
      </c>
      <c r="U32">
        <v>0.64907383918762196</v>
      </c>
      <c r="V32">
        <v>0.15766003083643401</v>
      </c>
      <c r="W32" t="s">
        <v>203</v>
      </c>
    </row>
    <row r="33" spans="1:23">
      <c r="A33">
        <v>0</v>
      </c>
      <c r="B33" s="2">
        <v>0.43914294885090399</v>
      </c>
      <c r="C33" s="2" t="s">
        <v>28</v>
      </c>
      <c r="D33" s="2">
        <v>12.9507656097412</v>
      </c>
      <c r="E33" t="s">
        <v>204</v>
      </c>
      <c r="F33">
        <v>35.3096114373635</v>
      </c>
      <c r="G33">
        <v>-120.662972100613</v>
      </c>
      <c r="H33">
        <v>0.49099999999999999</v>
      </c>
      <c r="I33">
        <v>12.6</v>
      </c>
      <c r="J33" t="s">
        <v>29</v>
      </c>
      <c r="K33">
        <v>1.38425600528717</v>
      </c>
      <c r="L33" t="s">
        <v>30</v>
      </c>
      <c r="M33" t="s">
        <v>87</v>
      </c>
      <c r="N33" t="s">
        <v>205</v>
      </c>
      <c r="O33" t="s">
        <v>33</v>
      </c>
      <c r="P33" t="s">
        <v>64</v>
      </c>
      <c r="Q33" t="s">
        <v>206</v>
      </c>
      <c r="R33" t="s">
        <v>207</v>
      </c>
      <c r="S33" t="s">
        <v>208</v>
      </c>
      <c r="T33">
        <v>0.26221955128205099</v>
      </c>
      <c r="U33">
        <v>1.80824398994445</v>
      </c>
      <c r="V33">
        <v>0.42115510142938001</v>
      </c>
      <c r="W33" t="s">
        <v>209</v>
      </c>
    </row>
    <row r="34" spans="1:23">
      <c r="A34">
        <v>0</v>
      </c>
      <c r="B34" s="2">
        <v>0.210615677247107</v>
      </c>
      <c r="C34" s="2" t="s">
        <v>28</v>
      </c>
      <c r="D34" s="2">
        <v>1.3164044618606501</v>
      </c>
      <c r="E34" t="s">
        <v>210</v>
      </c>
      <c r="F34">
        <v>35.309483127860297</v>
      </c>
      <c r="G34">
        <v>-120.662975971462</v>
      </c>
      <c r="H34">
        <v>0.23599999999999999</v>
      </c>
      <c r="I34">
        <v>1.3</v>
      </c>
      <c r="J34" t="s">
        <v>29</v>
      </c>
      <c r="K34">
        <v>1.37972259521484</v>
      </c>
      <c r="L34" t="s">
        <v>30</v>
      </c>
      <c r="M34" t="s">
        <v>87</v>
      </c>
      <c r="N34" t="s">
        <v>211</v>
      </c>
      <c r="O34" t="s">
        <v>33</v>
      </c>
      <c r="P34" t="s">
        <v>64</v>
      </c>
      <c r="Q34" t="s">
        <v>212</v>
      </c>
      <c r="R34" t="s">
        <v>213</v>
      </c>
      <c r="S34" t="s">
        <v>214</v>
      </c>
      <c r="T34">
        <v>0.242476851851851</v>
      </c>
      <c r="U34">
        <v>0.87847739458084095</v>
      </c>
      <c r="V34">
        <v>0.191719169207375</v>
      </c>
      <c r="W34" t="s">
        <v>215</v>
      </c>
    </row>
    <row r="35" spans="1:23">
      <c r="A35">
        <v>0</v>
      </c>
      <c r="B35" s="2">
        <v>0.18681470632601499</v>
      </c>
      <c r="C35" s="2" t="s">
        <v>28</v>
      </c>
      <c r="D35" s="2">
        <v>1.14282321929931</v>
      </c>
      <c r="E35" t="s">
        <v>216</v>
      </c>
      <c r="F35">
        <v>35.3096045888175</v>
      </c>
      <c r="G35">
        <v>-120.66297658486999</v>
      </c>
      <c r="H35">
        <v>0.23699999999999999</v>
      </c>
      <c r="I35">
        <v>1.3</v>
      </c>
      <c r="J35" t="s">
        <v>29</v>
      </c>
      <c r="K35">
        <v>0.63433474302291804</v>
      </c>
      <c r="L35" t="s">
        <v>30</v>
      </c>
      <c r="M35" t="s">
        <v>87</v>
      </c>
      <c r="N35" t="s">
        <v>217</v>
      </c>
      <c r="O35" t="s">
        <v>33</v>
      </c>
      <c r="P35" t="s">
        <v>64</v>
      </c>
      <c r="Q35" t="s">
        <v>218</v>
      </c>
      <c r="R35" t="s">
        <v>219</v>
      </c>
      <c r="S35" t="s">
        <v>220</v>
      </c>
      <c r="T35">
        <v>0.25801767676767601</v>
      </c>
      <c r="U35">
        <v>0.767535120248794</v>
      </c>
      <c r="V35">
        <v>0.17025653288303499</v>
      </c>
      <c r="W35" t="s">
        <v>221</v>
      </c>
    </row>
    <row r="36" spans="1:23">
      <c r="A36">
        <v>0</v>
      </c>
      <c r="B36" s="2">
        <v>0.16854277142250601</v>
      </c>
      <c r="C36" s="2" t="s">
        <v>28</v>
      </c>
      <c r="D36" s="2">
        <v>1.3002355098724301</v>
      </c>
      <c r="E36" t="s">
        <v>3138</v>
      </c>
      <c r="F36">
        <v>35.3096118338838</v>
      </c>
      <c r="G36">
        <v>-120.662969041897</v>
      </c>
      <c r="H36">
        <v>0.18099999999999999</v>
      </c>
      <c r="I36">
        <v>1.3</v>
      </c>
      <c r="J36" t="s">
        <v>29</v>
      </c>
      <c r="K36">
        <v>1.2453905344009399</v>
      </c>
      <c r="L36" t="s">
        <v>30</v>
      </c>
      <c r="M36" t="s">
        <v>87</v>
      </c>
      <c r="N36" t="s">
        <v>3139</v>
      </c>
      <c r="O36" t="s">
        <v>33</v>
      </c>
      <c r="P36" t="s">
        <v>64</v>
      </c>
      <c r="Q36" t="s">
        <v>3140</v>
      </c>
      <c r="R36" t="s">
        <v>3141</v>
      </c>
      <c r="S36" t="s">
        <v>3142</v>
      </c>
      <c r="T36">
        <v>0.241815476190476</v>
      </c>
      <c r="U36">
        <v>0.70664930343627896</v>
      </c>
      <c r="V36">
        <v>0.16491597633637201</v>
      </c>
      <c r="W36" t="s">
        <v>3143</v>
      </c>
    </row>
    <row r="37" spans="1:23">
      <c r="A37">
        <v>0</v>
      </c>
      <c r="B37" s="2">
        <v>0.42154631342767901</v>
      </c>
      <c r="C37" s="2" t="s">
        <v>28</v>
      </c>
      <c r="D37" s="2">
        <v>10.923260688781699</v>
      </c>
      <c r="E37" t="s">
        <v>222</v>
      </c>
      <c r="F37">
        <v>35.309602976073201</v>
      </c>
      <c r="G37">
        <v>-120.662976877045</v>
      </c>
      <c r="H37">
        <v>0.46</v>
      </c>
      <c r="I37">
        <v>10.5</v>
      </c>
      <c r="J37" t="s">
        <v>29</v>
      </c>
      <c r="K37">
        <v>1.04951190948486</v>
      </c>
      <c r="L37" t="s">
        <v>30</v>
      </c>
      <c r="M37" t="s">
        <v>87</v>
      </c>
      <c r="N37" t="s">
        <v>223</v>
      </c>
      <c r="O37" t="s">
        <v>33</v>
      </c>
      <c r="P37" t="s">
        <v>64</v>
      </c>
      <c r="Q37" t="s">
        <v>224</v>
      </c>
      <c r="R37" t="s">
        <v>225</v>
      </c>
      <c r="S37" t="s">
        <v>226</v>
      </c>
      <c r="T37">
        <v>0.25049603174603102</v>
      </c>
      <c r="U37">
        <v>1.67496281862258</v>
      </c>
      <c r="V37">
        <v>0.39616723839874102</v>
      </c>
      <c r="W37" t="s">
        <v>227</v>
      </c>
    </row>
    <row r="38" spans="1:23">
      <c r="A38">
        <v>0</v>
      </c>
      <c r="B38" s="2">
        <v>0.26523684436853101</v>
      </c>
      <c r="C38" s="2" t="s">
        <v>28</v>
      </c>
      <c r="D38" s="2">
        <v>1.31225609779357</v>
      </c>
      <c r="E38" t="s">
        <v>228</v>
      </c>
      <c r="F38">
        <v>35.3096201825607</v>
      </c>
      <c r="G38">
        <v>-120.662956090845</v>
      </c>
      <c r="H38">
        <v>0.25900000000000001</v>
      </c>
      <c r="I38">
        <v>1.3</v>
      </c>
      <c r="J38" t="s">
        <v>29</v>
      </c>
      <c r="K38">
        <v>0.53759324550628595</v>
      </c>
      <c r="L38" t="s">
        <v>30</v>
      </c>
      <c r="M38" t="s">
        <v>87</v>
      </c>
      <c r="N38" t="s">
        <v>229</v>
      </c>
      <c r="O38" t="s">
        <v>33</v>
      </c>
      <c r="P38" t="s">
        <v>64</v>
      </c>
      <c r="Q38" t="s">
        <v>230</v>
      </c>
      <c r="R38" t="s">
        <v>231</v>
      </c>
      <c r="S38" t="s">
        <v>232</v>
      </c>
      <c r="T38">
        <v>0.26041666666666602</v>
      </c>
      <c r="U38">
        <v>0.98794138431548995</v>
      </c>
      <c r="V38">
        <v>0.23792338778962199</v>
      </c>
      <c r="W38" t="s">
        <v>233</v>
      </c>
    </row>
    <row r="39" spans="1:23">
      <c r="A39">
        <v>0</v>
      </c>
      <c r="B39" s="2">
        <v>0.121895547795382</v>
      </c>
      <c r="C39" s="2" t="s">
        <v>28</v>
      </c>
      <c r="D39" s="2">
        <v>11.759605407714799</v>
      </c>
      <c r="E39" t="s">
        <v>3144</v>
      </c>
      <c r="F39">
        <v>35.309961140405598</v>
      </c>
      <c r="G39">
        <v>-120.66267696092601</v>
      </c>
      <c r="J39" t="s">
        <v>29</v>
      </c>
      <c r="K39">
        <v>1.1716536283493</v>
      </c>
      <c r="L39" t="s">
        <v>30</v>
      </c>
      <c r="M39" t="s">
        <v>87</v>
      </c>
      <c r="N39" t="s">
        <v>3133</v>
      </c>
      <c r="O39" t="s">
        <v>33</v>
      </c>
      <c r="P39" t="s">
        <v>64</v>
      </c>
      <c r="Q39" t="s">
        <v>3145</v>
      </c>
      <c r="R39" t="s">
        <v>3146</v>
      </c>
      <c r="S39" t="s">
        <v>3147</v>
      </c>
      <c r="T39">
        <v>0.31880482456140302</v>
      </c>
      <c r="U39">
        <v>1.0631175041198699</v>
      </c>
      <c r="V39">
        <v>4.9990222003441102E-2</v>
      </c>
      <c r="W39" t="s">
        <v>3148</v>
      </c>
    </row>
    <row r="40" spans="1:23">
      <c r="A40">
        <v>0</v>
      </c>
      <c r="B40" s="2">
        <v>0.23417187358983499</v>
      </c>
      <c r="C40" s="2" t="s">
        <v>28</v>
      </c>
      <c r="D40" s="2">
        <v>12.2546834945678</v>
      </c>
      <c r="E40" t="s">
        <v>234</v>
      </c>
      <c r="F40">
        <v>35.310639182953899</v>
      </c>
      <c r="G40">
        <v>-120.662461850013</v>
      </c>
      <c r="H40">
        <v>0.32700000000000001</v>
      </c>
      <c r="I40">
        <v>12</v>
      </c>
      <c r="J40" t="s">
        <v>29</v>
      </c>
      <c r="K40">
        <v>1.2486169338226301</v>
      </c>
      <c r="L40" t="s">
        <v>30</v>
      </c>
      <c r="M40" t="s">
        <v>87</v>
      </c>
      <c r="N40" t="s">
        <v>3149</v>
      </c>
      <c r="O40" t="s">
        <v>33</v>
      </c>
      <c r="P40" t="s">
        <v>64</v>
      </c>
      <c r="Q40" t="s">
        <v>236</v>
      </c>
      <c r="R40" t="s">
        <v>237</v>
      </c>
      <c r="S40" t="s">
        <v>238</v>
      </c>
      <c r="T40">
        <v>0.282540954415954</v>
      </c>
      <c r="U40">
        <v>1.1241169571876499</v>
      </c>
      <c r="V40">
        <v>0.20949262896804799</v>
      </c>
      <c r="W40" t="s">
        <v>239</v>
      </c>
    </row>
    <row r="41" spans="1:23">
      <c r="A41">
        <v>0</v>
      </c>
      <c r="B41" s="2">
        <v>0.280983437166058</v>
      </c>
      <c r="C41" s="2" t="s">
        <v>28</v>
      </c>
      <c r="D41" s="2">
        <v>1.2647013664245601</v>
      </c>
      <c r="E41" t="s">
        <v>3150</v>
      </c>
      <c r="F41">
        <v>35.310198244111</v>
      </c>
      <c r="G41">
        <v>-120.661891574458</v>
      </c>
      <c r="H41">
        <v>0.32700000000000001</v>
      </c>
      <c r="I41">
        <v>1.3</v>
      </c>
      <c r="J41" t="s">
        <v>29</v>
      </c>
      <c r="K41">
        <v>1.2344617843627901</v>
      </c>
      <c r="L41" t="s">
        <v>30</v>
      </c>
      <c r="M41" t="s">
        <v>87</v>
      </c>
      <c r="N41" t="s">
        <v>3151</v>
      </c>
      <c r="O41" t="s">
        <v>33</v>
      </c>
      <c r="P41" t="s">
        <v>64</v>
      </c>
      <c r="Q41" t="s">
        <v>3152</v>
      </c>
      <c r="R41" t="s">
        <v>3153</v>
      </c>
      <c r="S41" t="s">
        <v>3154</v>
      </c>
      <c r="T41">
        <v>0.237382192460317</v>
      </c>
      <c r="U41">
        <v>1.12398028373718</v>
      </c>
      <c r="V41">
        <v>0.262655473325767</v>
      </c>
      <c r="W41" t="s">
        <v>3155</v>
      </c>
    </row>
    <row r="42" spans="1:23">
      <c r="A42">
        <v>0</v>
      </c>
      <c r="B42" s="2">
        <v>0.34173329062757601</v>
      </c>
      <c r="C42" s="2" t="s">
        <v>28</v>
      </c>
      <c r="D42" s="2">
        <v>1.3008503913879299</v>
      </c>
      <c r="E42" t="s">
        <v>240</v>
      </c>
      <c r="F42">
        <v>35.309474557945698</v>
      </c>
      <c r="G42">
        <v>-120.66300358809499</v>
      </c>
      <c r="H42">
        <v>0.34399999999999997</v>
      </c>
      <c r="I42">
        <v>1.3</v>
      </c>
      <c r="J42" t="s">
        <v>29</v>
      </c>
      <c r="K42">
        <v>1.1136006116867001</v>
      </c>
      <c r="L42" t="s">
        <v>30</v>
      </c>
      <c r="M42" t="s">
        <v>87</v>
      </c>
      <c r="N42" t="s">
        <v>241</v>
      </c>
      <c r="O42" t="s">
        <v>33</v>
      </c>
      <c r="P42" t="s">
        <v>64</v>
      </c>
      <c r="Q42" t="s">
        <v>242</v>
      </c>
      <c r="R42" t="s">
        <v>243</v>
      </c>
      <c r="S42" t="s">
        <v>244</v>
      </c>
      <c r="T42">
        <v>0.23958333333333301</v>
      </c>
      <c r="U42">
        <v>1.31388795375823</v>
      </c>
      <c r="V42">
        <v>0.30862727579618898</v>
      </c>
      <c r="W42" t="s">
        <v>245</v>
      </c>
    </row>
    <row r="43" spans="1:23">
      <c r="A43">
        <v>0</v>
      </c>
      <c r="B43" s="2">
        <v>0.21662830278481099</v>
      </c>
      <c r="C43" s="2" t="s">
        <v>28</v>
      </c>
      <c r="D43" s="2">
        <v>1.3053650856018</v>
      </c>
      <c r="E43" t="s">
        <v>246</v>
      </c>
      <c r="F43">
        <v>35.309611234194598</v>
      </c>
      <c r="G43">
        <v>-120.66297030182</v>
      </c>
      <c r="H43">
        <v>0.25800000000000001</v>
      </c>
      <c r="I43">
        <v>1.3</v>
      </c>
      <c r="J43" t="s">
        <v>29</v>
      </c>
      <c r="K43">
        <v>0.96609711647033603</v>
      </c>
      <c r="L43" t="s">
        <v>30</v>
      </c>
      <c r="M43" t="s">
        <v>87</v>
      </c>
      <c r="N43" t="s">
        <v>247</v>
      </c>
      <c r="O43" t="s">
        <v>33</v>
      </c>
      <c r="P43" t="s">
        <v>64</v>
      </c>
      <c r="Q43" t="s">
        <v>248</v>
      </c>
      <c r="R43" t="s">
        <v>249</v>
      </c>
      <c r="S43" t="s">
        <v>250</v>
      </c>
      <c r="T43">
        <v>0.23611111111111099</v>
      </c>
      <c r="U43">
        <v>0.85008329153060902</v>
      </c>
      <c r="V43">
        <v>0.195368558504771</v>
      </c>
      <c r="W43" t="s">
        <v>251</v>
      </c>
    </row>
    <row r="44" spans="1:23">
      <c r="A44">
        <v>0</v>
      </c>
      <c r="B44" s="2">
        <v>0.29312723074838498</v>
      </c>
      <c r="C44" s="2" t="s">
        <v>28</v>
      </c>
      <c r="D44" s="2">
        <v>1.3021757602691599</v>
      </c>
      <c r="E44" t="s">
        <v>252</v>
      </c>
      <c r="F44">
        <v>35.309481929942102</v>
      </c>
      <c r="G44">
        <v>-120.663076813449</v>
      </c>
      <c r="H44">
        <v>0.34</v>
      </c>
      <c r="I44">
        <v>1.3</v>
      </c>
      <c r="J44" t="s">
        <v>29</v>
      </c>
      <c r="K44">
        <v>1.25433337688446</v>
      </c>
      <c r="L44" t="s">
        <v>30</v>
      </c>
      <c r="M44" t="s">
        <v>87</v>
      </c>
      <c r="N44" t="s">
        <v>3156</v>
      </c>
      <c r="O44" t="s">
        <v>33</v>
      </c>
      <c r="P44" t="s">
        <v>64</v>
      </c>
      <c r="Q44" t="s">
        <v>254</v>
      </c>
      <c r="R44" t="s">
        <v>255</v>
      </c>
      <c r="S44" t="s">
        <v>256</v>
      </c>
      <c r="T44">
        <v>0.24698464912280699</v>
      </c>
      <c r="U44">
        <v>1.1601253747939999</v>
      </c>
      <c r="V44">
        <v>0.263762988280004</v>
      </c>
      <c r="W44" t="s">
        <v>257</v>
      </c>
    </row>
    <row r="45" spans="1:23">
      <c r="A45">
        <v>0</v>
      </c>
      <c r="B45" s="2">
        <v>0.37384262345453301</v>
      </c>
      <c r="C45" s="2" t="s">
        <v>28</v>
      </c>
      <c r="D45" s="2">
        <v>12.121313095092701</v>
      </c>
      <c r="E45" t="s">
        <v>258</v>
      </c>
      <c r="F45">
        <v>35.309611260494002</v>
      </c>
      <c r="G45">
        <v>-120.66297255928799</v>
      </c>
      <c r="H45">
        <v>0.432</v>
      </c>
      <c r="I45">
        <v>11.6</v>
      </c>
      <c r="J45" t="s">
        <v>29</v>
      </c>
      <c r="K45">
        <v>1.0762901306152299</v>
      </c>
      <c r="L45" t="s">
        <v>30</v>
      </c>
      <c r="M45" t="s">
        <v>87</v>
      </c>
      <c r="N45" t="s">
        <v>259</v>
      </c>
      <c r="O45" t="s">
        <v>33</v>
      </c>
      <c r="P45" t="s">
        <v>64</v>
      </c>
      <c r="Q45" t="s">
        <v>260</v>
      </c>
      <c r="R45" t="s">
        <v>261</v>
      </c>
      <c r="S45" t="s">
        <v>262</v>
      </c>
      <c r="T45">
        <v>0.240972222222222</v>
      </c>
      <c r="U45">
        <v>1.47539126873016</v>
      </c>
      <c r="V45">
        <v>0.337391369448587</v>
      </c>
      <c r="W45" t="s">
        <v>263</v>
      </c>
    </row>
    <row r="46" spans="1:23">
      <c r="A46">
        <v>0</v>
      </c>
      <c r="B46" s="2">
        <v>0.38786311411810598</v>
      </c>
      <c r="C46" s="2" t="s">
        <v>28</v>
      </c>
      <c r="D46" s="2">
        <v>14.884517669677701</v>
      </c>
      <c r="E46" t="s">
        <v>3157</v>
      </c>
      <c r="F46">
        <v>35.309555442128698</v>
      </c>
      <c r="G46">
        <v>-120.66297686166401</v>
      </c>
      <c r="J46" t="s">
        <v>29</v>
      </c>
      <c r="K46">
        <v>1.0804631710052399</v>
      </c>
      <c r="L46" t="s">
        <v>30</v>
      </c>
      <c r="M46" t="s">
        <v>87</v>
      </c>
      <c r="N46" t="s">
        <v>3158</v>
      </c>
      <c r="O46" t="s">
        <v>33</v>
      </c>
      <c r="P46" t="s">
        <v>64</v>
      </c>
      <c r="Q46" t="s">
        <v>3159</v>
      </c>
      <c r="R46" t="s">
        <v>3160</v>
      </c>
      <c r="S46" t="s">
        <v>3161</v>
      </c>
      <c r="T46">
        <v>0.241551959325396</v>
      </c>
      <c r="U46">
        <v>1.8646448850631701</v>
      </c>
      <c r="V46">
        <v>0.43552947078489801</v>
      </c>
      <c r="W46" t="s">
        <v>3162</v>
      </c>
    </row>
    <row r="47" spans="1:23">
      <c r="A47">
        <v>0</v>
      </c>
      <c r="B47" s="2">
        <v>0.490995585115233</v>
      </c>
      <c r="C47" s="2" t="s">
        <v>28</v>
      </c>
      <c r="D47" s="2">
        <v>14.6351099014282</v>
      </c>
      <c r="E47" t="s">
        <v>264</v>
      </c>
      <c r="F47">
        <v>35.309615723510298</v>
      </c>
      <c r="G47">
        <v>-120.662966489281</v>
      </c>
      <c r="H47">
        <v>0.53</v>
      </c>
      <c r="I47">
        <v>13.6</v>
      </c>
      <c r="J47" t="s">
        <v>29</v>
      </c>
      <c r="K47">
        <v>0.93339991569518999</v>
      </c>
      <c r="L47" t="s">
        <v>30</v>
      </c>
      <c r="M47" t="s">
        <v>87</v>
      </c>
      <c r="N47" t="s">
        <v>265</v>
      </c>
      <c r="O47" t="s">
        <v>33</v>
      </c>
      <c r="P47" t="s">
        <v>64</v>
      </c>
      <c r="Q47" t="s">
        <v>266</v>
      </c>
      <c r="R47" t="s">
        <v>267</v>
      </c>
      <c r="S47" t="s">
        <v>268</v>
      </c>
      <c r="T47">
        <v>0.239044540229885</v>
      </c>
      <c r="U47">
        <v>1.86116707324981</v>
      </c>
      <c r="V47">
        <v>0.44289978265678798</v>
      </c>
      <c r="W47" t="s">
        <v>269</v>
      </c>
    </row>
    <row r="48" spans="1:23">
      <c r="A48">
        <v>0</v>
      </c>
      <c r="B48" s="2">
        <v>0.40315870807506998</v>
      </c>
      <c r="C48" s="2" t="s">
        <v>28</v>
      </c>
      <c r="D48" s="2">
        <v>11.089599609375</v>
      </c>
      <c r="E48" t="s">
        <v>270</v>
      </c>
      <c r="F48">
        <v>35.310172524120702</v>
      </c>
      <c r="G48">
        <v>-120.662236733692</v>
      </c>
      <c r="H48">
        <v>0.39900000000000002</v>
      </c>
      <c r="I48">
        <v>11.6</v>
      </c>
      <c r="J48" t="s">
        <v>29</v>
      </c>
      <c r="K48">
        <v>0.92890918254852295</v>
      </c>
      <c r="L48" t="s">
        <v>30</v>
      </c>
      <c r="M48" t="s">
        <v>87</v>
      </c>
      <c r="N48" t="s">
        <v>271</v>
      </c>
      <c r="O48" t="s">
        <v>33</v>
      </c>
      <c r="P48" t="s">
        <v>64</v>
      </c>
      <c r="Q48" t="s">
        <v>272</v>
      </c>
      <c r="R48" t="s">
        <v>273</v>
      </c>
      <c r="S48" t="s">
        <v>274</v>
      </c>
      <c r="T48">
        <v>0.25611584595959502</v>
      </c>
      <c r="U48">
        <v>1.55576688051223</v>
      </c>
      <c r="V48">
        <v>0.36394668437573502</v>
      </c>
      <c r="W48" t="s">
        <v>275</v>
      </c>
    </row>
    <row r="49" spans="1:23">
      <c r="A49">
        <v>0</v>
      </c>
      <c r="B49" s="2">
        <v>0.31893615242182299</v>
      </c>
      <c r="C49" s="2" t="s">
        <v>28</v>
      </c>
      <c r="D49" s="2">
        <v>8.3935136795043892</v>
      </c>
      <c r="E49" t="s">
        <v>276</v>
      </c>
      <c r="F49">
        <v>35.309264926519297</v>
      </c>
      <c r="G49">
        <v>-120.663199980562</v>
      </c>
      <c r="H49">
        <v>0.31</v>
      </c>
      <c r="I49">
        <v>0.79</v>
      </c>
      <c r="J49" t="s">
        <v>29</v>
      </c>
      <c r="K49">
        <v>1.39362061023712</v>
      </c>
      <c r="L49" t="s">
        <v>30</v>
      </c>
      <c r="M49" t="s">
        <v>87</v>
      </c>
      <c r="N49" t="s">
        <v>277</v>
      </c>
      <c r="O49" t="s">
        <v>33</v>
      </c>
      <c r="P49" t="s">
        <v>64</v>
      </c>
      <c r="Q49" t="s">
        <v>278</v>
      </c>
      <c r="R49" t="s">
        <v>279</v>
      </c>
      <c r="S49" t="s">
        <v>280</v>
      </c>
      <c r="T49">
        <v>0.22519841269841201</v>
      </c>
      <c r="U49">
        <v>1.27394914627075</v>
      </c>
      <c r="V49">
        <v>0.287708818717964</v>
      </c>
      <c r="W49" t="s">
        <v>281</v>
      </c>
    </row>
    <row r="50" spans="1:23">
      <c r="A50">
        <v>0</v>
      </c>
      <c r="B50" s="2">
        <v>8.6483989022523702E-2</v>
      </c>
      <c r="C50" s="2" t="s">
        <v>28</v>
      </c>
      <c r="D50" s="2">
        <v>1.2969564199447601</v>
      </c>
      <c r="E50" t="s">
        <v>282</v>
      </c>
      <c r="F50">
        <v>35.309633755190099</v>
      </c>
      <c r="G50">
        <v>-120.66295716344899</v>
      </c>
      <c r="H50">
        <v>0.09</v>
      </c>
      <c r="I50">
        <v>1.3</v>
      </c>
      <c r="J50" t="s">
        <v>29</v>
      </c>
      <c r="K50">
        <v>1.0695209503173799</v>
      </c>
      <c r="L50" t="s">
        <v>30</v>
      </c>
      <c r="M50" t="s">
        <v>87</v>
      </c>
      <c r="N50" t="s">
        <v>283</v>
      </c>
      <c r="O50" t="s">
        <v>33</v>
      </c>
      <c r="P50" t="s">
        <v>64</v>
      </c>
      <c r="Q50" t="s">
        <v>284</v>
      </c>
      <c r="R50" t="s">
        <v>285</v>
      </c>
      <c r="S50" t="s">
        <v>286</v>
      </c>
      <c r="T50">
        <v>0.226041666666666</v>
      </c>
      <c r="U50">
        <v>0.66071045398712103</v>
      </c>
      <c r="V50">
        <v>7.7101801616425394E-2</v>
      </c>
      <c r="W50" t="s">
        <v>287</v>
      </c>
    </row>
    <row r="51" spans="1:23">
      <c r="A51">
        <v>0</v>
      </c>
      <c r="B51" s="2">
        <v>0.43235446583085102</v>
      </c>
      <c r="C51" s="2" t="s">
        <v>28</v>
      </c>
      <c r="D51" s="2">
        <v>13.5270738601684</v>
      </c>
      <c r="E51" t="s">
        <v>3163</v>
      </c>
      <c r="F51">
        <v>35.309638554312301</v>
      </c>
      <c r="G51">
        <v>-120.662927193342</v>
      </c>
      <c r="H51">
        <v>0.50600000000000001</v>
      </c>
      <c r="I51">
        <v>13.5</v>
      </c>
      <c r="J51" t="s">
        <v>29</v>
      </c>
      <c r="K51">
        <v>0.96869981288909901</v>
      </c>
      <c r="L51" t="s">
        <v>30</v>
      </c>
      <c r="M51" t="s">
        <v>87</v>
      </c>
      <c r="N51" t="s">
        <v>289</v>
      </c>
      <c r="O51" t="s">
        <v>33</v>
      </c>
      <c r="P51" t="s">
        <v>64</v>
      </c>
      <c r="Q51" t="s">
        <v>3164</v>
      </c>
      <c r="R51" t="s">
        <v>3165</v>
      </c>
      <c r="S51" t="s">
        <v>3166</v>
      </c>
      <c r="T51">
        <v>0.25354268127705598</v>
      </c>
      <c r="U51">
        <v>1.6715935468673699</v>
      </c>
      <c r="V51">
        <v>0.391682465720327</v>
      </c>
      <c r="W51" t="s">
        <v>3167</v>
      </c>
    </row>
    <row r="52" spans="1:23">
      <c r="A52">
        <v>0</v>
      </c>
      <c r="B52" s="2">
        <v>0.45294937671402602</v>
      </c>
      <c r="C52" s="2" t="s">
        <v>28</v>
      </c>
      <c r="D52" s="2">
        <v>1.2346558570861801</v>
      </c>
      <c r="E52" t="s">
        <v>3168</v>
      </c>
      <c r="F52">
        <v>35.309583936457997</v>
      </c>
      <c r="G52">
        <v>-120.66296049876701</v>
      </c>
      <c r="J52" t="s">
        <v>29</v>
      </c>
      <c r="K52">
        <v>1.1192141771316499</v>
      </c>
      <c r="L52" t="s">
        <v>30</v>
      </c>
      <c r="M52" t="s">
        <v>87</v>
      </c>
      <c r="N52" t="s">
        <v>3169</v>
      </c>
      <c r="O52" t="s">
        <v>33</v>
      </c>
      <c r="P52" t="s">
        <v>64</v>
      </c>
      <c r="Q52" t="s">
        <v>3170</v>
      </c>
      <c r="R52" t="s">
        <v>3171</v>
      </c>
      <c r="S52" t="s">
        <v>3172</v>
      </c>
      <c r="T52">
        <v>0.243055555555555</v>
      </c>
      <c r="U52">
        <v>1.79166984558105</v>
      </c>
      <c r="V52">
        <v>0.41199129474975599</v>
      </c>
      <c r="W52" t="s">
        <v>3173</v>
      </c>
    </row>
    <row r="53" spans="1:23">
      <c r="A53">
        <v>0</v>
      </c>
      <c r="B53" s="2">
        <v>0.444283874552449</v>
      </c>
      <c r="C53" s="2" t="s">
        <v>28</v>
      </c>
      <c r="D53" s="2">
        <v>12.612845420837401</v>
      </c>
      <c r="E53" t="s">
        <v>3174</v>
      </c>
      <c r="F53">
        <v>35.309590380189903</v>
      </c>
      <c r="G53">
        <v>-120.66297009057099</v>
      </c>
      <c r="H53">
        <v>0.56399999999999995</v>
      </c>
      <c r="I53">
        <v>12.1</v>
      </c>
      <c r="J53" t="s">
        <v>29</v>
      </c>
      <c r="K53">
        <v>1.0383394956588701</v>
      </c>
      <c r="L53" t="s">
        <v>30</v>
      </c>
      <c r="M53" t="s">
        <v>87</v>
      </c>
      <c r="N53" t="s">
        <v>295</v>
      </c>
      <c r="O53" t="s">
        <v>33</v>
      </c>
      <c r="P53" t="s">
        <v>64</v>
      </c>
      <c r="Q53" t="s">
        <v>3175</v>
      </c>
      <c r="R53" t="s">
        <v>3176</v>
      </c>
      <c r="S53" t="s">
        <v>3177</v>
      </c>
      <c r="T53">
        <v>0.23958333333333301</v>
      </c>
      <c r="U53">
        <v>1.86851358413696</v>
      </c>
      <c r="V53">
        <v>0.43489914523425199</v>
      </c>
      <c r="W53" t="s">
        <v>3178</v>
      </c>
    </row>
    <row r="54" spans="1:23">
      <c r="A54">
        <v>0</v>
      </c>
      <c r="B54" s="2">
        <v>0.52833857906884196</v>
      </c>
      <c r="C54" s="2" t="s">
        <v>28</v>
      </c>
      <c r="D54" s="2">
        <v>1.0429857969284</v>
      </c>
      <c r="E54" t="s">
        <v>294</v>
      </c>
      <c r="F54">
        <v>35.309527829342699</v>
      </c>
      <c r="G54">
        <v>-120.663041469291</v>
      </c>
      <c r="H54">
        <v>0.56399999999999995</v>
      </c>
      <c r="I54">
        <v>1.3</v>
      </c>
      <c r="J54" t="s">
        <v>29</v>
      </c>
      <c r="K54">
        <v>0.88502156734466497</v>
      </c>
      <c r="L54" t="s">
        <v>30</v>
      </c>
      <c r="M54" t="s">
        <v>87</v>
      </c>
      <c r="N54" t="s">
        <v>3179</v>
      </c>
      <c r="O54" t="s">
        <v>33</v>
      </c>
      <c r="P54" t="s">
        <v>64</v>
      </c>
      <c r="Q54" t="s">
        <v>296</v>
      </c>
      <c r="R54" t="s">
        <v>297</v>
      </c>
      <c r="S54" t="s">
        <v>298</v>
      </c>
      <c r="T54">
        <v>0.24069940476190399</v>
      </c>
      <c r="U54">
        <v>1.94875347614288</v>
      </c>
      <c r="V54">
        <v>0.47952449621412002</v>
      </c>
      <c r="W54" t="s">
        <v>299</v>
      </c>
    </row>
    <row r="55" spans="1:23">
      <c r="A55">
        <v>0</v>
      </c>
      <c r="B55" s="2">
        <v>0.217648734026295</v>
      </c>
      <c r="C55" s="2" t="s">
        <v>28</v>
      </c>
      <c r="D55" s="2">
        <v>14.6360969543457</v>
      </c>
      <c r="E55" t="s">
        <v>3180</v>
      </c>
      <c r="F55">
        <v>35.309531169163101</v>
      </c>
      <c r="G55">
        <v>-120.662965361956</v>
      </c>
      <c r="H55">
        <v>0.48199999999999998</v>
      </c>
      <c r="I55">
        <v>14</v>
      </c>
      <c r="J55" t="s">
        <v>29</v>
      </c>
      <c r="K55">
        <v>1.5343147516250599</v>
      </c>
      <c r="L55" t="s">
        <v>30</v>
      </c>
      <c r="M55" t="s">
        <v>87</v>
      </c>
      <c r="N55" t="s">
        <v>3181</v>
      </c>
      <c r="O55" t="s">
        <v>33</v>
      </c>
      <c r="P55" t="s">
        <v>64</v>
      </c>
      <c r="Q55" t="s">
        <v>3182</v>
      </c>
      <c r="R55" t="s">
        <v>3183</v>
      </c>
      <c r="S55" t="s">
        <v>3184</v>
      </c>
      <c r="T55">
        <v>0.24594907407407399</v>
      </c>
      <c r="U55">
        <v>1.5032883882522501</v>
      </c>
      <c r="V55">
        <v>0.34747360123265802</v>
      </c>
      <c r="W55" t="s">
        <v>3185</v>
      </c>
    </row>
    <row r="56" spans="1:23">
      <c r="A56">
        <v>0</v>
      </c>
      <c r="B56" s="2">
        <v>0.49730935309728003</v>
      </c>
      <c r="C56" s="2" t="s">
        <v>28</v>
      </c>
      <c r="D56" s="2">
        <v>1.08677053451538</v>
      </c>
      <c r="E56" t="s">
        <v>300</v>
      </c>
      <c r="F56">
        <v>35.309611714894601</v>
      </c>
      <c r="G56">
        <v>-120.662971817697</v>
      </c>
      <c r="J56" t="s">
        <v>29</v>
      </c>
      <c r="K56">
        <v>0.89463758468627896</v>
      </c>
      <c r="L56" t="s">
        <v>30</v>
      </c>
      <c r="M56" t="s">
        <v>87</v>
      </c>
      <c r="N56" t="s">
        <v>3186</v>
      </c>
      <c r="O56" t="s">
        <v>33</v>
      </c>
      <c r="P56" t="s">
        <v>64</v>
      </c>
      <c r="Q56" t="s">
        <v>302</v>
      </c>
      <c r="R56" t="s">
        <v>303</v>
      </c>
      <c r="S56" t="s">
        <v>304</v>
      </c>
      <c r="T56">
        <v>0.24382716049382699</v>
      </c>
      <c r="U56">
        <v>1.93515396118164</v>
      </c>
      <c r="V56">
        <v>0.45186396975763599</v>
      </c>
      <c r="W56" t="s">
        <v>305</v>
      </c>
    </row>
    <row r="57" spans="1:23">
      <c r="A57">
        <v>0</v>
      </c>
      <c r="B57" s="2">
        <v>0.124135018719643</v>
      </c>
      <c r="C57" s="2" t="s">
        <v>28</v>
      </c>
      <c r="D57" s="2">
        <v>1.3123517036437899</v>
      </c>
      <c r="E57" t="s">
        <v>306</v>
      </c>
      <c r="F57">
        <v>35.309619893349101</v>
      </c>
      <c r="G57">
        <v>-120.66296154240401</v>
      </c>
      <c r="H57">
        <v>0.13100000000000001</v>
      </c>
      <c r="I57">
        <v>1.3</v>
      </c>
      <c r="J57" t="s">
        <v>29</v>
      </c>
      <c r="K57">
        <v>1.2841542959213199</v>
      </c>
      <c r="L57" t="s">
        <v>30</v>
      </c>
      <c r="M57" t="s">
        <v>87</v>
      </c>
      <c r="N57" t="s">
        <v>3187</v>
      </c>
      <c r="O57" t="s">
        <v>33</v>
      </c>
      <c r="P57" t="s">
        <v>64</v>
      </c>
      <c r="Q57" t="s">
        <v>308</v>
      </c>
      <c r="R57" t="s">
        <v>309</v>
      </c>
      <c r="S57" t="s">
        <v>310</v>
      </c>
      <c r="T57">
        <v>0.240575396825396</v>
      </c>
      <c r="U57">
        <v>0.48530188202857899</v>
      </c>
      <c r="V57">
        <v>0.112850694621714</v>
      </c>
      <c r="W57" t="s">
        <v>311</v>
      </c>
    </row>
    <row r="58" spans="1:23">
      <c r="A58">
        <v>0</v>
      </c>
      <c r="B58" s="2">
        <v>0.119537722413443</v>
      </c>
      <c r="C58" s="2" t="s">
        <v>28</v>
      </c>
      <c r="D58" s="2">
        <v>8.3523473739624006</v>
      </c>
      <c r="E58" t="s">
        <v>312</v>
      </c>
      <c r="F58">
        <v>35.3096188801266</v>
      </c>
      <c r="G58">
        <v>-120.662961990041</v>
      </c>
      <c r="H58">
        <v>0.13500000000000001</v>
      </c>
      <c r="I58">
        <v>7.9</v>
      </c>
      <c r="J58" t="s">
        <v>29</v>
      </c>
      <c r="K58">
        <v>1.2964946031570399</v>
      </c>
      <c r="L58" t="s">
        <v>30</v>
      </c>
      <c r="M58" t="s">
        <v>87</v>
      </c>
      <c r="N58" t="s">
        <v>313</v>
      </c>
      <c r="O58" t="s">
        <v>33</v>
      </c>
      <c r="P58" t="s">
        <v>64</v>
      </c>
      <c r="Q58" t="s">
        <v>314</v>
      </c>
      <c r="R58" t="s">
        <v>315</v>
      </c>
      <c r="S58" t="s">
        <v>316</v>
      </c>
      <c r="T58">
        <v>0.24069940476190399</v>
      </c>
      <c r="U58">
        <v>0.46175208687782199</v>
      </c>
      <c r="V58">
        <v>0.107524757506339</v>
      </c>
      <c r="W58" t="s">
        <v>317</v>
      </c>
    </row>
    <row r="59" spans="1:23">
      <c r="A59">
        <v>0</v>
      </c>
      <c r="B59" s="2">
        <v>0.110198944024981</v>
      </c>
      <c r="C59" s="2" t="s">
        <v>28</v>
      </c>
      <c r="D59" s="2">
        <v>7.1609406471252397</v>
      </c>
      <c r="E59" t="s">
        <v>318</v>
      </c>
      <c r="F59">
        <v>35.309498135036797</v>
      </c>
      <c r="G59">
        <v>-120.663109198985</v>
      </c>
      <c r="H59">
        <v>0.11799999999999999</v>
      </c>
      <c r="I59">
        <v>5.7</v>
      </c>
      <c r="J59" t="s">
        <v>29</v>
      </c>
      <c r="K59">
        <v>0.839663445949554</v>
      </c>
      <c r="L59" t="s">
        <v>30</v>
      </c>
      <c r="M59" t="s">
        <v>87</v>
      </c>
      <c r="N59" t="s">
        <v>319</v>
      </c>
      <c r="O59" t="s">
        <v>33</v>
      </c>
      <c r="P59" t="s">
        <v>64</v>
      </c>
      <c r="Q59" t="s">
        <v>320</v>
      </c>
      <c r="R59" t="s">
        <v>321</v>
      </c>
      <c r="S59" t="s">
        <v>322</v>
      </c>
      <c r="T59">
        <v>0.23611111111111099</v>
      </c>
      <c r="U59">
        <v>0.423396736383438</v>
      </c>
      <c r="V59">
        <v>9.9954040665294799E-2</v>
      </c>
      <c r="W59" t="s">
        <v>323</v>
      </c>
    </row>
    <row r="60" spans="1:23">
      <c r="A60">
        <v>0</v>
      </c>
      <c r="B60" s="2">
        <v>0.112773935759414</v>
      </c>
      <c r="C60" s="2" t="s">
        <v>28</v>
      </c>
      <c r="D60" s="2">
        <v>6.1825981140136701</v>
      </c>
      <c r="E60" t="s">
        <v>324</v>
      </c>
      <c r="F60">
        <v>35.309517294695802</v>
      </c>
      <c r="G60">
        <v>-120.663078758838</v>
      </c>
      <c r="H60">
        <v>0.124</v>
      </c>
      <c r="I60">
        <v>5.4</v>
      </c>
      <c r="J60" t="s">
        <v>29</v>
      </c>
      <c r="K60">
        <v>1.1684811115264799</v>
      </c>
      <c r="L60" t="s">
        <v>30</v>
      </c>
      <c r="M60" t="s">
        <v>87</v>
      </c>
      <c r="N60" t="s">
        <v>3188</v>
      </c>
      <c r="O60" t="s">
        <v>33</v>
      </c>
      <c r="P60" t="s">
        <v>64</v>
      </c>
      <c r="Q60" t="s">
        <v>326</v>
      </c>
      <c r="R60" t="s">
        <v>327</v>
      </c>
      <c r="S60" t="s">
        <v>328</v>
      </c>
      <c r="T60">
        <v>0.235243055555555</v>
      </c>
      <c r="U60">
        <v>0.45651993155479398</v>
      </c>
      <c r="V60">
        <v>0.101031173657663</v>
      </c>
      <c r="W60" t="s">
        <v>329</v>
      </c>
    </row>
    <row r="61" spans="1:23">
      <c r="A61">
        <v>0</v>
      </c>
      <c r="B61" s="2">
        <v>7.8797186380536705E-2</v>
      </c>
      <c r="C61" s="2" t="s">
        <v>28</v>
      </c>
      <c r="D61" s="2">
        <v>0.99911803007125799</v>
      </c>
      <c r="E61" t="s">
        <v>330</v>
      </c>
      <c r="F61">
        <v>35.309622578700001</v>
      </c>
      <c r="G61">
        <v>-120.662954128648</v>
      </c>
      <c r="H61">
        <v>9.2999999999999999E-2</v>
      </c>
      <c r="I61">
        <v>1.3</v>
      </c>
      <c r="J61" t="s">
        <v>29</v>
      </c>
      <c r="K61">
        <v>1.0168037414550699</v>
      </c>
      <c r="L61" t="s">
        <v>30</v>
      </c>
      <c r="M61" t="s">
        <v>87</v>
      </c>
      <c r="N61" t="s">
        <v>3189</v>
      </c>
      <c r="O61" t="s">
        <v>33</v>
      </c>
      <c r="P61" t="s">
        <v>64</v>
      </c>
      <c r="Q61" t="s">
        <v>332</v>
      </c>
      <c r="R61" t="s">
        <v>333</v>
      </c>
      <c r="S61" t="s">
        <v>334</v>
      </c>
      <c r="T61">
        <v>0.22203947368421001</v>
      </c>
      <c r="U61">
        <v>0.30814889073371798</v>
      </c>
      <c r="V61">
        <v>7.36889113270566E-2</v>
      </c>
      <c r="W61" t="s">
        <v>335</v>
      </c>
    </row>
    <row r="62" spans="1:23">
      <c r="A62">
        <v>0</v>
      </c>
      <c r="B62" s="2">
        <v>0.12439705906618199</v>
      </c>
      <c r="C62" s="2" t="s">
        <v>28</v>
      </c>
      <c r="D62" s="2">
        <v>5.6236486434936497</v>
      </c>
      <c r="E62" t="s">
        <v>598</v>
      </c>
      <c r="F62">
        <v>35.3094414951358</v>
      </c>
      <c r="G62">
        <v>-120.662979093413</v>
      </c>
      <c r="H62">
        <v>0.13500000000000001</v>
      </c>
      <c r="I62">
        <v>4.2</v>
      </c>
      <c r="J62" t="s">
        <v>29</v>
      </c>
      <c r="K62">
        <v>1.2944204807281401</v>
      </c>
      <c r="L62" t="s">
        <v>30</v>
      </c>
      <c r="M62" t="s">
        <v>337</v>
      </c>
      <c r="N62" t="s">
        <v>338</v>
      </c>
      <c r="O62" t="s">
        <v>33</v>
      </c>
      <c r="P62" t="s">
        <v>64</v>
      </c>
      <c r="Q62" t="s">
        <v>339</v>
      </c>
      <c r="R62" t="s">
        <v>340</v>
      </c>
      <c r="S62" t="s">
        <v>341</v>
      </c>
      <c r="T62">
        <v>0.23958333333333301</v>
      </c>
      <c r="U62">
        <v>0.47272926568984902</v>
      </c>
      <c r="V62">
        <v>0.11218968274774101</v>
      </c>
      <c r="W62" t="s">
        <v>342</v>
      </c>
    </row>
    <row r="63" spans="1:23">
      <c r="A63">
        <v>0</v>
      </c>
      <c r="B63" s="2">
        <v>6.1054877924523902E-2</v>
      </c>
      <c r="C63" s="2" t="s">
        <v>28</v>
      </c>
      <c r="D63" s="2">
        <v>3.0716283321380602</v>
      </c>
      <c r="E63" t="s">
        <v>604</v>
      </c>
      <c r="F63">
        <v>35.309602265495798</v>
      </c>
      <c r="G63">
        <v>-120.6629479602</v>
      </c>
      <c r="H63">
        <v>6.3E-2</v>
      </c>
      <c r="I63">
        <v>2.7</v>
      </c>
      <c r="J63" t="s">
        <v>29</v>
      </c>
      <c r="K63">
        <v>2.4714541435241699</v>
      </c>
      <c r="L63" t="s">
        <v>30</v>
      </c>
      <c r="M63" t="s">
        <v>337</v>
      </c>
      <c r="N63" t="s">
        <v>344</v>
      </c>
      <c r="O63" t="s">
        <v>33</v>
      </c>
      <c r="P63" t="s">
        <v>64</v>
      </c>
      <c r="Q63" t="s">
        <v>345</v>
      </c>
      <c r="R63" t="s">
        <v>346</v>
      </c>
      <c r="S63" t="s">
        <v>347</v>
      </c>
      <c r="T63">
        <v>0.238461538461538</v>
      </c>
      <c r="U63">
        <v>0.25085465610027302</v>
      </c>
      <c r="V63">
        <v>5.47443502890025E-2</v>
      </c>
      <c r="W63" t="s">
        <v>348</v>
      </c>
    </row>
    <row r="64" spans="1:23">
      <c r="A64">
        <v>0</v>
      </c>
      <c r="B64" s="2">
        <v>0.30838308026487399</v>
      </c>
      <c r="C64" s="2" t="s">
        <v>28</v>
      </c>
      <c r="D64" s="2">
        <v>15.126721382141101</v>
      </c>
      <c r="E64" t="s">
        <v>336</v>
      </c>
      <c r="F64">
        <v>35.3092534257746</v>
      </c>
      <c r="G64">
        <v>-120.662325783158</v>
      </c>
      <c r="H64">
        <v>0.32800000000000001</v>
      </c>
      <c r="I64">
        <v>15.3</v>
      </c>
      <c r="J64" t="s">
        <v>29</v>
      </c>
      <c r="K64">
        <v>1.2880781888961701</v>
      </c>
      <c r="L64" t="s">
        <v>30</v>
      </c>
      <c r="M64" t="s">
        <v>337</v>
      </c>
      <c r="N64" t="s">
        <v>350</v>
      </c>
      <c r="O64" t="s">
        <v>33</v>
      </c>
      <c r="P64" t="s">
        <v>351</v>
      </c>
      <c r="Q64" t="s">
        <v>352</v>
      </c>
      <c r="R64" t="s">
        <v>353</v>
      </c>
      <c r="S64" t="s">
        <v>354</v>
      </c>
      <c r="T64">
        <v>0.24479166666666599</v>
      </c>
      <c r="U64">
        <v>1.2148510217666599</v>
      </c>
      <c r="V64">
        <v>0.27682170188322902</v>
      </c>
      <c r="W64" t="s">
        <v>355</v>
      </c>
    </row>
    <row r="65" spans="1:23">
      <c r="A65">
        <v>0</v>
      </c>
      <c r="B65" s="2">
        <v>0.221186151251417</v>
      </c>
      <c r="C65" s="2" t="s">
        <v>28</v>
      </c>
      <c r="D65" s="2">
        <v>11.3740901947021</v>
      </c>
      <c r="E65" t="s">
        <v>343</v>
      </c>
      <c r="F65">
        <v>35.309492013185597</v>
      </c>
      <c r="G65">
        <v>-120.662629281432</v>
      </c>
      <c r="H65">
        <v>0.252</v>
      </c>
      <c r="I65">
        <v>10.7</v>
      </c>
      <c r="J65" t="s">
        <v>29</v>
      </c>
      <c r="K65">
        <v>1.1920037269592201</v>
      </c>
      <c r="L65" t="s">
        <v>30</v>
      </c>
      <c r="M65" t="s">
        <v>337</v>
      </c>
      <c r="N65" t="s">
        <v>357</v>
      </c>
      <c r="O65" t="s">
        <v>33</v>
      </c>
      <c r="P65" t="s">
        <v>351</v>
      </c>
      <c r="Q65" t="s">
        <v>358</v>
      </c>
      <c r="R65" t="s">
        <v>359</v>
      </c>
      <c r="S65" t="s">
        <v>360</v>
      </c>
      <c r="T65">
        <v>0.22237318840579701</v>
      </c>
      <c r="U65">
        <v>0.92293465137481601</v>
      </c>
      <c r="V65">
        <v>0.19862989007389201</v>
      </c>
      <c r="W65" t="s">
        <v>361</v>
      </c>
    </row>
    <row r="66" spans="1:23">
      <c r="A66">
        <v>0</v>
      </c>
      <c r="B66" s="2">
        <v>0.13553993788621399</v>
      </c>
      <c r="C66" s="2" t="s">
        <v>28</v>
      </c>
      <c r="D66" s="2">
        <v>1.2165282964706401</v>
      </c>
      <c r="E66" t="s">
        <v>349</v>
      </c>
      <c r="F66">
        <v>35.3032646099999</v>
      </c>
      <c r="G66">
        <v>-120.65733337</v>
      </c>
      <c r="H66">
        <v>0.14499999999999999</v>
      </c>
      <c r="I66">
        <v>1.3</v>
      </c>
      <c r="J66" t="s">
        <v>29</v>
      </c>
      <c r="K66">
        <v>0.75327992439269997</v>
      </c>
      <c r="L66" t="s">
        <v>30</v>
      </c>
      <c r="M66" t="s">
        <v>337</v>
      </c>
      <c r="N66" t="s">
        <v>363</v>
      </c>
      <c r="O66" t="s">
        <v>33</v>
      </c>
      <c r="P66" t="s">
        <v>351</v>
      </c>
      <c r="Q66" t="s">
        <v>364</v>
      </c>
      <c r="R66" t="s">
        <v>365</v>
      </c>
      <c r="S66" t="s">
        <v>366</v>
      </c>
      <c r="T66">
        <v>0.24053030303030301</v>
      </c>
      <c r="U66">
        <v>0.50408357381820601</v>
      </c>
      <c r="V66">
        <v>0.12084945380250001</v>
      </c>
      <c r="W66" t="s">
        <v>367</v>
      </c>
    </row>
    <row r="67" spans="1:23">
      <c r="A67">
        <v>0</v>
      </c>
      <c r="B67" s="2">
        <v>0.14918288691336501</v>
      </c>
      <c r="C67" s="2" t="s">
        <v>28</v>
      </c>
      <c r="D67" s="2">
        <v>1.1127357482910101</v>
      </c>
      <c r="E67" t="s">
        <v>356</v>
      </c>
      <c r="F67">
        <v>35.303264706993701</v>
      </c>
      <c r="G67">
        <v>-120.657333442225</v>
      </c>
      <c r="H67">
        <v>0.157</v>
      </c>
      <c r="I67">
        <v>1.3</v>
      </c>
      <c r="J67" t="s">
        <v>29</v>
      </c>
      <c r="K67">
        <v>1.05742835998535</v>
      </c>
      <c r="L67" t="s">
        <v>30</v>
      </c>
      <c r="M67" t="s">
        <v>337</v>
      </c>
      <c r="N67" t="s">
        <v>369</v>
      </c>
      <c r="O67" t="s">
        <v>33</v>
      </c>
      <c r="P67" t="s">
        <v>351</v>
      </c>
      <c r="Q67" t="s">
        <v>370</v>
      </c>
      <c r="R67" t="s">
        <v>371</v>
      </c>
      <c r="S67" t="s">
        <v>372</v>
      </c>
      <c r="T67">
        <v>0.235369318181818</v>
      </c>
      <c r="U67">
        <v>0.56262013316154402</v>
      </c>
      <c r="V67">
        <v>0.13627783390395701</v>
      </c>
      <c r="W67" t="s">
        <v>373</v>
      </c>
    </row>
    <row r="68" spans="1:23">
      <c r="A68">
        <v>0</v>
      </c>
      <c r="B68" s="2">
        <v>0.13908360518961099</v>
      </c>
      <c r="C68" s="2" t="s">
        <v>28</v>
      </c>
      <c r="D68" s="2">
        <v>1.3024827241897501</v>
      </c>
      <c r="E68" t="s">
        <v>362</v>
      </c>
      <c r="F68">
        <v>35.3098768764699</v>
      </c>
      <c r="G68">
        <v>-120.66292651009999</v>
      </c>
      <c r="H68">
        <v>0.158</v>
      </c>
      <c r="I68">
        <v>1.3</v>
      </c>
      <c r="J68" t="s">
        <v>29</v>
      </c>
      <c r="K68">
        <v>1.01283490657806</v>
      </c>
      <c r="L68" t="s">
        <v>30</v>
      </c>
      <c r="M68" t="s">
        <v>337</v>
      </c>
      <c r="N68" t="s">
        <v>375</v>
      </c>
      <c r="O68" t="s">
        <v>33</v>
      </c>
      <c r="P68" t="s">
        <v>351</v>
      </c>
      <c r="Q68" t="s">
        <v>376</v>
      </c>
      <c r="R68" t="s">
        <v>377</v>
      </c>
      <c r="S68" t="s">
        <v>378</v>
      </c>
      <c r="T68">
        <v>0.24887305068226101</v>
      </c>
      <c r="U68">
        <v>0.89075145125389099</v>
      </c>
      <c r="V68">
        <v>0.125560876937726</v>
      </c>
      <c r="W68" t="s">
        <v>379</v>
      </c>
    </row>
    <row r="69" spans="1:23">
      <c r="A69">
        <v>0</v>
      </c>
      <c r="B69" s="2">
        <v>7.4121627462758494E-2</v>
      </c>
      <c r="C69" s="2" t="s">
        <v>28</v>
      </c>
      <c r="D69" s="2">
        <v>13.93394947052</v>
      </c>
      <c r="E69" t="s">
        <v>368</v>
      </c>
      <c r="F69">
        <v>35.3095311208533</v>
      </c>
      <c r="G69">
        <v>-120.662869171854</v>
      </c>
      <c r="H69">
        <v>6.7000000000000004E-2</v>
      </c>
      <c r="I69">
        <v>1.3</v>
      </c>
      <c r="J69" t="s">
        <v>29</v>
      </c>
      <c r="K69">
        <v>-0.79454213380813599</v>
      </c>
      <c r="L69" t="s">
        <v>30</v>
      </c>
      <c r="M69" t="s">
        <v>337</v>
      </c>
      <c r="N69" t="s">
        <v>381</v>
      </c>
      <c r="O69" t="s">
        <v>33</v>
      </c>
      <c r="P69" t="s">
        <v>351</v>
      </c>
      <c r="Q69" t="s">
        <v>382</v>
      </c>
      <c r="R69" t="s">
        <v>383</v>
      </c>
      <c r="S69" t="s">
        <v>384</v>
      </c>
      <c r="T69">
        <v>0.23707837301587301</v>
      </c>
      <c r="U69">
        <v>0.27296152710914601</v>
      </c>
      <c r="V69">
        <v>6.55480000290833E-2</v>
      </c>
      <c r="W69" t="s">
        <v>385</v>
      </c>
    </row>
    <row r="70" spans="1:23">
      <c r="A70">
        <v>0</v>
      </c>
      <c r="B70" s="2">
        <v>0.117513367990065</v>
      </c>
      <c r="C70" s="2" t="s">
        <v>28</v>
      </c>
      <c r="D70" s="2">
        <v>1.3172624111175499</v>
      </c>
      <c r="E70" t="s">
        <v>374</v>
      </c>
      <c r="F70">
        <v>35.309622873601</v>
      </c>
      <c r="G70">
        <v>-120.66294823806</v>
      </c>
      <c r="H70">
        <v>0.13100000000000001</v>
      </c>
      <c r="I70">
        <v>1.3</v>
      </c>
      <c r="J70" t="s">
        <v>29</v>
      </c>
      <c r="K70">
        <v>1.1626662015914899</v>
      </c>
      <c r="L70" t="s">
        <v>30</v>
      </c>
      <c r="M70" t="s">
        <v>337</v>
      </c>
      <c r="N70" t="s">
        <v>387</v>
      </c>
      <c r="O70" t="s">
        <v>33</v>
      </c>
      <c r="P70" t="s">
        <v>351</v>
      </c>
      <c r="Q70" t="s">
        <v>388</v>
      </c>
      <c r="R70" t="s">
        <v>389</v>
      </c>
      <c r="S70" t="s">
        <v>390</v>
      </c>
      <c r="T70">
        <v>0.23929398148148101</v>
      </c>
      <c r="U70">
        <v>0.49815532565116799</v>
      </c>
      <c r="V70">
        <v>0.116253005374996</v>
      </c>
      <c r="W70" t="s">
        <v>391</v>
      </c>
    </row>
    <row r="71" spans="1:23">
      <c r="A71">
        <v>0</v>
      </c>
      <c r="B71" s="2">
        <v>0.15659395255515901</v>
      </c>
      <c r="C71" s="2" t="s">
        <v>28</v>
      </c>
      <c r="D71" s="2">
        <v>1.3075646162032999</v>
      </c>
      <c r="E71" t="s">
        <v>380</v>
      </c>
      <c r="F71">
        <v>35.3065509959374</v>
      </c>
      <c r="G71">
        <v>-120.659471695671</v>
      </c>
      <c r="H71">
        <v>0.17399999999999999</v>
      </c>
      <c r="I71">
        <v>1.3</v>
      </c>
      <c r="J71" t="s">
        <v>29</v>
      </c>
      <c r="K71">
        <v>1.2949794530868499</v>
      </c>
      <c r="L71" t="s">
        <v>30</v>
      </c>
      <c r="M71" t="s">
        <v>337</v>
      </c>
      <c r="N71" t="s">
        <v>393</v>
      </c>
      <c r="O71" t="s">
        <v>33</v>
      </c>
      <c r="P71" t="s">
        <v>351</v>
      </c>
      <c r="Q71" t="s">
        <v>394</v>
      </c>
      <c r="R71" t="s">
        <v>395</v>
      </c>
      <c r="S71" t="s">
        <v>396</v>
      </c>
      <c r="T71">
        <v>0.242476851851851</v>
      </c>
      <c r="U71">
        <v>0.67710343003272999</v>
      </c>
      <c r="V71">
        <v>0.140455085609513</v>
      </c>
      <c r="W71" t="s">
        <v>397</v>
      </c>
    </row>
    <row r="72" spans="1:23">
      <c r="A72">
        <v>0</v>
      </c>
      <c r="B72" s="2">
        <v>0.109155022103293</v>
      </c>
      <c r="C72" s="2" t="s">
        <v>28</v>
      </c>
      <c r="D72" s="2">
        <v>0.54644340276718095</v>
      </c>
      <c r="E72" t="s">
        <v>386</v>
      </c>
      <c r="F72">
        <v>35.307586147958503</v>
      </c>
      <c r="G72">
        <v>-120.660456831663</v>
      </c>
      <c r="H72">
        <v>0.12</v>
      </c>
      <c r="I72">
        <v>1.3</v>
      </c>
      <c r="J72" t="s">
        <v>29</v>
      </c>
      <c r="K72">
        <v>-3.88155889511108</v>
      </c>
      <c r="L72" t="s">
        <v>30</v>
      </c>
      <c r="M72" t="s">
        <v>337</v>
      </c>
      <c r="N72" t="s">
        <v>399</v>
      </c>
      <c r="O72" t="s">
        <v>33</v>
      </c>
      <c r="P72" t="s">
        <v>351</v>
      </c>
      <c r="Q72" t="s">
        <v>400</v>
      </c>
      <c r="R72" t="s">
        <v>401</v>
      </c>
      <c r="S72" t="s">
        <v>402</v>
      </c>
      <c r="T72">
        <v>0.24945023148148099</v>
      </c>
      <c r="U72">
        <v>0.40148279070854098</v>
      </c>
      <c r="V72">
        <v>9.7942508468147005E-2</v>
      </c>
      <c r="W72" t="s">
        <v>403</v>
      </c>
    </row>
    <row r="73" spans="1:23">
      <c r="A73">
        <v>0</v>
      </c>
      <c r="B73" s="2">
        <v>0.32360393785874397</v>
      </c>
      <c r="C73" s="2" t="s">
        <v>28</v>
      </c>
      <c r="D73" s="2">
        <v>13.874636650085399</v>
      </c>
      <c r="E73" t="s">
        <v>392</v>
      </c>
      <c r="F73">
        <v>35.309666337867696</v>
      </c>
      <c r="G73">
        <v>-120.662903349498</v>
      </c>
      <c r="H73">
        <v>0.35199999999999998</v>
      </c>
      <c r="I73">
        <v>13.2</v>
      </c>
      <c r="J73" t="s">
        <v>29</v>
      </c>
      <c r="K73">
        <v>1.3900855779647801</v>
      </c>
      <c r="L73" t="s">
        <v>30</v>
      </c>
      <c r="M73" t="s">
        <v>337</v>
      </c>
      <c r="N73" t="s">
        <v>405</v>
      </c>
      <c r="O73" t="s">
        <v>33</v>
      </c>
      <c r="P73" t="s">
        <v>351</v>
      </c>
      <c r="Q73" t="s">
        <v>406</v>
      </c>
      <c r="R73" t="s">
        <v>407</v>
      </c>
      <c r="S73" t="s">
        <v>408</v>
      </c>
      <c r="T73">
        <v>0.24374999999999999</v>
      </c>
      <c r="U73">
        <v>1.24966847896575</v>
      </c>
      <c r="V73">
        <v>0.29195579660458498</v>
      </c>
      <c r="W73" t="s">
        <v>409</v>
      </c>
    </row>
    <row r="74" spans="1:23">
      <c r="A74">
        <v>0</v>
      </c>
      <c r="B74" s="2">
        <v>9.4102393941898094E-2</v>
      </c>
      <c r="C74" s="2" t="s">
        <v>28</v>
      </c>
      <c r="D74" s="2">
        <v>30.706323623657202</v>
      </c>
      <c r="E74" t="s">
        <v>398</v>
      </c>
      <c r="F74">
        <v>35.309523514945198</v>
      </c>
      <c r="G74">
        <v>-120.662654004484</v>
      </c>
      <c r="H74">
        <v>0.14000000000000001</v>
      </c>
      <c r="I74">
        <v>1.3</v>
      </c>
      <c r="J74" t="s">
        <v>29</v>
      </c>
      <c r="K74">
        <v>5.3221473693847603</v>
      </c>
      <c r="L74" t="s">
        <v>30</v>
      </c>
      <c r="M74" t="s">
        <v>337</v>
      </c>
      <c r="N74" t="s">
        <v>411</v>
      </c>
      <c r="O74" t="s">
        <v>33</v>
      </c>
      <c r="P74" t="s">
        <v>351</v>
      </c>
      <c r="Q74" t="s">
        <v>412</v>
      </c>
      <c r="R74" t="s">
        <v>413</v>
      </c>
      <c r="S74" t="s">
        <v>414</v>
      </c>
      <c r="T74">
        <v>0.24877450980392099</v>
      </c>
      <c r="U74">
        <v>0.41005316376686002</v>
      </c>
      <c r="V74">
        <v>8.3791647989845605E-2</v>
      </c>
      <c r="W74" t="s">
        <v>415</v>
      </c>
    </row>
    <row r="75" spans="1:23">
      <c r="A75">
        <v>0</v>
      </c>
      <c r="B75" s="2">
        <v>0.27565844900199299</v>
      </c>
      <c r="C75" s="2" t="s">
        <v>28</v>
      </c>
      <c r="D75" s="2">
        <v>13.894880294799799</v>
      </c>
      <c r="E75" t="s">
        <v>404</v>
      </c>
      <c r="F75">
        <v>35.309474850523202</v>
      </c>
      <c r="G75">
        <v>-120.66243235619</v>
      </c>
      <c r="H75">
        <v>0.28000000000000003</v>
      </c>
      <c r="I75">
        <v>13</v>
      </c>
      <c r="J75" t="s">
        <v>29</v>
      </c>
      <c r="K75">
        <v>1.24861359596252</v>
      </c>
      <c r="L75" t="s">
        <v>30</v>
      </c>
      <c r="M75" t="s">
        <v>337</v>
      </c>
      <c r="N75" t="s">
        <v>417</v>
      </c>
      <c r="O75" t="s">
        <v>33</v>
      </c>
      <c r="P75" t="s">
        <v>351</v>
      </c>
      <c r="Q75" t="s">
        <v>418</v>
      </c>
      <c r="R75" t="s">
        <v>419</v>
      </c>
      <c r="S75" t="s">
        <v>420</v>
      </c>
      <c r="T75">
        <v>0.23342803030303</v>
      </c>
      <c r="U75">
        <v>1.0602986812591499</v>
      </c>
      <c r="V75">
        <v>0.24898125502066301</v>
      </c>
      <c r="W75" t="s">
        <v>421</v>
      </c>
    </row>
    <row r="76" spans="1:23">
      <c r="A76">
        <v>0</v>
      </c>
      <c r="B76" s="2">
        <v>0.115429212849173</v>
      </c>
      <c r="C76" s="2" t="s">
        <v>28</v>
      </c>
      <c r="D76" s="2">
        <v>1.7329024076461701</v>
      </c>
      <c r="E76" t="s">
        <v>410</v>
      </c>
      <c r="F76">
        <v>35.309458242985599</v>
      </c>
      <c r="G76">
        <v>-120.66276379094801</v>
      </c>
      <c r="H76">
        <v>0.11700000000000001</v>
      </c>
      <c r="I76">
        <v>1.3</v>
      </c>
      <c r="J76" t="s">
        <v>29</v>
      </c>
      <c r="K76">
        <v>2.0917541980743399</v>
      </c>
      <c r="L76" t="s">
        <v>30</v>
      </c>
      <c r="M76" t="s">
        <v>337</v>
      </c>
      <c r="N76" t="s">
        <v>423</v>
      </c>
      <c r="O76" t="s">
        <v>33</v>
      </c>
      <c r="P76" t="s">
        <v>351</v>
      </c>
      <c r="Q76" t="s">
        <v>424</v>
      </c>
      <c r="R76" t="s">
        <v>425</v>
      </c>
      <c r="S76" t="s">
        <v>426</v>
      </c>
      <c r="T76">
        <v>0.241156220322886</v>
      </c>
      <c r="U76">
        <v>0.46352927386760701</v>
      </c>
      <c r="V76">
        <v>0.104119264937995</v>
      </c>
      <c r="W76" t="s">
        <v>427</v>
      </c>
    </row>
    <row r="77" spans="1:23">
      <c r="A77">
        <v>0</v>
      </c>
      <c r="B77" s="2">
        <v>0.27981795898218098</v>
      </c>
      <c r="C77" s="2" t="s">
        <v>28</v>
      </c>
      <c r="D77" s="2">
        <v>8.4807558059692294</v>
      </c>
      <c r="E77" t="s">
        <v>416</v>
      </c>
      <c r="F77">
        <v>35.303264675779602</v>
      </c>
      <c r="G77">
        <v>-120.65733341898201</v>
      </c>
      <c r="H77">
        <v>0.32</v>
      </c>
      <c r="I77">
        <v>8.3000000000000007</v>
      </c>
      <c r="J77" t="s">
        <v>29</v>
      </c>
      <c r="K77">
        <v>1.3303035497665401</v>
      </c>
      <c r="L77" t="s">
        <v>30</v>
      </c>
      <c r="M77" t="s">
        <v>337</v>
      </c>
      <c r="N77" t="s">
        <v>429</v>
      </c>
      <c r="O77" t="s">
        <v>33</v>
      </c>
      <c r="P77" t="s">
        <v>351</v>
      </c>
      <c r="Q77" t="s">
        <v>430</v>
      </c>
      <c r="R77" t="s">
        <v>431</v>
      </c>
      <c r="S77" t="s">
        <v>432</v>
      </c>
      <c r="T77">
        <v>0.23898148148148099</v>
      </c>
      <c r="U77">
        <v>1.1446863412857</v>
      </c>
      <c r="V77">
        <v>0.25260932880549097</v>
      </c>
      <c r="W77" t="s">
        <v>433</v>
      </c>
    </row>
    <row r="78" spans="1:23">
      <c r="A78">
        <v>0</v>
      </c>
      <c r="B78" s="2">
        <v>0.36687783854128497</v>
      </c>
      <c r="C78" s="2" t="s">
        <v>28</v>
      </c>
      <c r="D78" s="2">
        <v>12.613807678222599</v>
      </c>
      <c r="E78" t="s">
        <v>452</v>
      </c>
      <c r="F78">
        <v>35.3094411044571</v>
      </c>
      <c r="G78">
        <v>-120.662271757078</v>
      </c>
      <c r="H78">
        <v>0.41799999999999998</v>
      </c>
      <c r="I78">
        <v>11.8</v>
      </c>
      <c r="J78" t="s">
        <v>29</v>
      </c>
      <c r="K78">
        <v>1.25055432319641</v>
      </c>
      <c r="L78" t="s">
        <v>30</v>
      </c>
      <c r="M78" t="s">
        <v>337</v>
      </c>
      <c r="N78" t="s">
        <v>435</v>
      </c>
      <c r="O78" t="s">
        <v>33</v>
      </c>
      <c r="P78" t="s">
        <v>351</v>
      </c>
      <c r="Q78" t="s">
        <v>436</v>
      </c>
      <c r="R78" t="s">
        <v>437</v>
      </c>
      <c r="S78" t="s">
        <v>438</v>
      </c>
      <c r="T78">
        <v>0.250578703703703</v>
      </c>
      <c r="U78">
        <v>1.44910180568695</v>
      </c>
      <c r="V78">
        <v>0.33115346012681801</v>
      </c>
      <c r="W78" t="s">
        <v>439</v>
      </c>
    </row>
    <row r="79" spans="1:23">
      <c r="A79">
        <v>0</v>
      </c>
      <c r="B79" s="2">
        <v>0.16636138531247399</v>
      </c>
      <c r="C79" s="2" t="s">
        <v>28</v>
      </c>
      <c r="D79" s="2">
        <v>1.1332967281341499</v>
      </c>
      <c r="E79" t="s">
        <v>458</v>
      </c>
      <c r="F79">
        <v>35.309623370177498</v>
      </c>
      <c r="G79">
        <v>-120.66292510558</v>
      </c>
      <c r="H79">
        <v>2.1000000000000001E-2</v>
      </c>
      <c r="I79">
        <v>1.3</v>
      </c>
      <c r="J79" t="s">
        <v>29</v>
      </c>
      <c r="K79">
        <v>5.5771322250366202</v>
      </c>
      <c r="L79" t="s">
        <v>30</v>
      </c>
      <c r="M79" t="s">
        <v>337</v>
      </c>
      <c r="N79" t="s">
        <v>441</v>
      </c>
      <c r="O79" t="s">
        <v>33</v>
      </c>
      <c r="P79" t="s">
        <v>351</v>
      </c>
      <c r="Q79" t="s">
        <v>442</v>
      </c>
      <c r="R79" t="s">
        <v>443</v>
      </c>
      <c r="S79" t="s">
        <v>444</v>
      </c>
      <c r="T79">
        <v>0.24479166666666599</v>
      </c>
      <c r="U79">
        <v>1.5832210779189999</v>
      </c>
      <c r="V79">
        <v>0.15013736563506599</v>
      </c>
      <c r="W79" t="s">
        <v>445</v>
      </c>
    </row>
    <row r="80" spans="1:23">
      <c r="A80">
        <v>0</v>
      </c>
      <c r="B80" s="2">
        <v>8.4537044486568999E-2</v>
      </c>
      <c r="C80" s="2" t="s">
        <v>28</v>
      </c>
      <c r="D80" s="2">
        <v>1.04779696464538</v>
      </c>
      <c r="E80" t="s">
        <v>464</v>
      </c>
      <c r="F80">
        <v>35.309623885046797</v>
      </c>
      <c r="G80">
        <v>-120.662924978826</v>
      </c>
      <c r="H80">
        <v>0.09</v>
      </c>
      <c r="I80">
        <v>1.3</v>
      </c>
      <c r="J80" t="s">
        <v>29</v>
      </c>
      <c r="K80">
        <v>-2.0450191497802699</v>
      </c>
      <c r="L80" t="s">
        <v>30</v>
      </c>
      <c r="M80" t="s">
        <v>337</v>
      </c>
      <c r="N80" t="s">
        <v>447</v>
      </c>
      <c r="O80" t="s">
        <v>33</v>
      </c>
      <c r="P80" t="s">
        <v>351</v>
      </c>
      <c r="Q80" t="s">
        <v>448</v>
      </c>
      <c r="R80" t="s">
        <v>449</v>
      </c>
      <c r="S80" t="s">
        <v>450</v>
      </c>
      <c r="T80">
        <v>0.22976239106753801</v>
      </c>
      <c r="U80">
        <v>0.34040747582912401</v>
      </c>
      <c r="V80">
        <v>7.6306732465663302E-2</v>
      </c>
      <c r="W80" t="s">
        <v>451</v>
      </c>
    </row>
    <row r="81" spans="1:23">
      <c r="A81">
        <v>0</v>
      </c>
      <c r="B81" s="2">
        <v>0.25343617034204402</v>
      </c>
      <c r="C81" s="2" t="s">
        <v>28</v>
      </c>
      <c r="D81" s="2">
        <v>32.194686889648402</v>
      </c>
      <c r="E81" t="s">
        <v>469</v>
      </c>
      <c r="F81">
        <v>35.309430393329897</v>
      </c>
      <c r="G81">
        <v>-120.662781778523</v>
      </c>
      <c r="H81">
        <v>0.28000000000000003</v>
      </c>
      <c r="I81">
        <v>1.3</v>
      </c>
      <c r="J81" t="s">
        <v>29</v>
      </c>
      <c r="K81">
        <v>4.4854965209960902</v>
      </c>
      <c r="L81" t="s">
        <v>30</v>
      </c>
      <c r="M81" t="s">
        <v>337</v>
      </c>
      <c r="N81" t="s">
        <v>453</v>
      </c>
      <c r="O81" t="s">
        <v>33</v>
      </c>
      <c r="P81" t="s">
        <v>351</v>
      </c>
      <c r="Q81" t="s">
        <v>454</v>
      </c>
      <c r="R81" t="s">
        <v>455</v>
      </c>
      <c r="S81" t="s">
        <v>456</v>
      </c>
      <c r="T81">
        <v>0.24702380952380901</v>
      </c>
      <c r="U81">
        <v>0.94961154460906905</v>
      </c>
      <c r="V81">
        <v>0.22845729584659399</v>
      </c>
      <c r="W81" t="s">
        <v>457</v>
      </c>
    </row>
    <row r="82" spans="1:23">
      <c r="A82">
        <v>0</v>
      </c>
      <c r="B82" s="2">
        <v>0.13519412646124301</v>
      </c>
      <c r="C82" s="2" t="s">
        <v>28</v>
      </c>
      <c r="D82" s="2">
        <v>1.3176810741424501</v>
      </c>
      <c r="E82" t="s">
        <v>486</v>
      </c>
      <c r="F82">
        <v>35.309626658999903</v>
      </c>
      <c r="G82">
        <v>-120.662943689397</v>
      </c>
      <c r="H82">
        <v>0.155</v>
      </c>
      <c r="I82">
        <v>1.3</v>
      </c>
      <c r="J82" t="s">
        <v>29</v>
      </c>
      <c r="K82">
        <v>1.3107924461364699</v>
      </c>
      <c r="L82" t="s">
        <v>30</v>
      </c>
      <c r="M82" t="s">
        <v>337</v>
      </c>
      <c r="N82" t="s">
        <v>459</v>
      </c>
      <c r="O82" t="s">
        <v>33</v>
      </c>
      <c r="P82" t="s">
        <v>351</v>
      </c>
      <c r="Q82" t="s">
        <v>460</v>
      </c>
      <c r="R82" t="s">
        <v>461</v>
      </c>
      <c r="S82" t="s">
        <v>462</v>
      </c>
      <c r="T82">
        <v>0.234375</v>
      </c>
      <c r="U82">
        <v>0.54461425542831399</v>
      </c>
      <c r="V82">
        <v>0.121966261400553</v>
      </c>
      <c r="W82" t="s">
        <v>463</v>
      </c>
    </row>
    <row r="83" spans="1:23">
      <c r="A83">
        <v>0</v>
      </c>
      <c r="B83" s="2">
        <v>0.202293965085625</v>
      </c>
      <c r="C83" s="2" t="s">
        <v>28</v>
      </c>
      <c r="D83" s="2">
        <v>9.9139509201049805</v>
      </c>
      <c r="E83" t="s">
        <v>422</v>
      </c>
      <c r="F83">
        <v>35.310202385375703</v>
      </c>
      <c r="G83">
        <v>-120.662780273875</v>
      </c>
      <c r="H83">
        <v>0.223</v>
      </c>
      <c r="I83">
        <v>9.9</v>
      </c>
      <c r="J83" t="s">
        <v>29</v>
      </c>
      <c r="K83">
        <v>-1.2176756858825599</v>
      </c>
      <c r="L83" t="s">
        <v>30</v>
      </c>
      <c r="M83" t="s">
        <v>337</v>
      </c>
      <c r="N83" t="s">
        <v>350</v>
      </c>
      <c r="O83" t="s">
        <v>33</v>
      </c>
      <c r="P83" t="s">
        <v>71</v>
      </c>
      <c r="Q83" t="s">
        <v>465</v>
      </c>
      <c r="R83" t="s">
        <v>466</v>
      </c>
      <c r="S83" t="s">
        <v>467</v>
      </c>
      <c r="T83">
        <v>0.2421875</v>
      </c>
      <c r="U83">
        <v>0.813088119029998</v>
      </c>
      <c r="V83">
        <v>0.18228444394422599</v>
      </c>
      <c r="W83" t="s">
        <v>468</v>
      </c>
    </row>
    <row r="84" spans="1:23">
      <c r="A84">
        <v>0</v>
      </c>
      <c r="B84" s="2">
        <v>0.30445444834844698</v>
      </c>
      <c r="C84" s="2" t="s">
        <v>28</v>
      </c>
      <c r="D84" s="2">
        <v>7.5148873329162598</v>
      </c>
      <c r="E84" t="s">
        <v>428</v>
      </c>
      <c r="F84">
        <v>35.308940160991902</v>
      </c>
      <c r="G84">
        <v>-120.661246518685</v>
      </c>
      <c r="H84">
        <v>0.32600000000000001</v>
      </c>
      <c r="I84">
        <v>6.6</v>
      </c>
      <c r="J84" t="s">
        <v>29</v>
      </c>
      <c r="K84">
        <v>0.86418318748474099</v>
      </c>
      <c r="L84" t="s">
        <v>30</v>
      </c>
      <c r="M84" t="s">
        <v>337</v>
      </c>
      <c r="N84" t="s">
        <v>470</v>
      </c>
      <c r="O84" t="s">
        <v>33</v>
      </c>
      <c r="P84" t="s">
        <v>71</v>
      </c>
      <c r="Q84" t="s">
        <v>471</v>
      </c>
      <c r="R84" t="s">
        <v>472</v>
      </c>
      <c r="S84" t="s">
        <v>473</v>
      </c>
      <c r="T84">
        <v>0.23914627039627001</v>
      </c>
      <c r="U84">
        <v>1.1595686078071501</v>
      </c>
      <c r="V84">
        <v>0.27420520155893102</v>
      </c>
      <c r="W84" t="s">
        <v>474</v>
      </c>
    </row>
    <row r="85" spans="1:23">
      <c r="A85">
        <v>0</v>
      </c>
      <c r="B85" s="2">
        <v>0.23925096114201599</v>
      </c>
      <c r="C85" s="2" t="s">
        <v>28</v>
      </c>
      <c r="D85" s="2">
        <v>1.23836398124694</v>
      </c>
      <c r="E85" t="s">
        <v>434</v>
      </c>
      <c r="F85">
        <v>35.309315885550397</v>
      </c>
      <c r="G85">
        <v>-120.66260739496499</v>
      </c>
      <c r="H85">
        <v>0.245</v>
      </c>
      <c r="I85">
        <v>1.3</v>
      </c>
      <c r="J85" t="s">
        <v>29</v>
      </c>
      <c r="K85">
        <v>1.16117691993713</v>
      </c>
      <c r="L85" t="s">
        <v>30</v>
      </c>
      <c r="M85" t="s">
        <v>337</v>
      </c>
      <c r="N85" t="s">
        <v>476</v>
      </c>
      <c r="O85" t="s">
        <v>33</v>
      </c>
      <c r="P85" t="s">
        <v>71</v>
      </c>
      <c r="Q85" t="s">
        <v>477</v>
      </c>
      <c r="R85" t="s">
        <v>478</v>
      </c>
      <c r="S85" t="s">
        <v>479</v>
      </c>
      <c r="T85">
        <v>0.242881944444444</v>
      </c>
      <c r="U85">
        <v>0.91967996954917897</v>
      </c>
      <c r="V85">
        <v>0.215916461889647</v>
      </c>
      <c r="W85" t="s">
        <v>480</v>
      </c>
    </row>
    <row r="86" spans="1:23">
      <c r="A86">
        <v>0</v>
      </c>
      <c r="B86" s="2">
        <v>0.15463968368697201</v>
      </c>
      <c r="C86" s="2" t="s">
        <v>28</v>
      </c>
      <c r="D86" s="2">
        <v>1.5980798006057699</v>
      </c>
      <c r="E86" t="s">
        <v>440</v>
      </c>
      <c r="F86">
        <v>35.308948494944097</v>
      </c>
      <c r="G86">
        <v>-120.660255147623</v>
      </c>
      <c r="H86">
        <v>0.16700000000000001</v>
      </c>
      <c r="I86">
        <v>1.3</v>
      </c>
      <c r="J86" t="s">
        <v>29</v>
      </c>
      <c r="K86">
        <v>1.4188969135284399</v>
      </c>
      <c r="L86" t="s">
        <v>30</v>
      </c>
      <c r="M86" t="s">
        <v>337</v>
      </c>
      <c r="N86" t="s">
        <v>369</v>
      </c>
      <c r="O86" t="s">
        <v>33</v>
      </c>
      <c r="P86" t="s">
        <v>71</v>
      </c>
      <c r="Q86" t="s">
        <v>482</v>
      </c>
      <c r="R86" t="s">
        <v>483</v>
      </c>
      <c r="S86" t="s">
        <v>484</v>
      </c>
      <c r="T86">
        <v>0.238281249999999</v>
      </c>
      <c r="U86">
        <v>0.58635663986205999</v>
      </c>
      <c r="V86">
        <v>0.14023375890117801</v>
      </c>
      <c r="W86" t="s">
        <v>485</v>
      </c>
    </row>
    <row r="87" spans="1:23">
      <c r="A87">
        <v>0</v>
      </c>
      <c r="B87" s="2">
        <v>0.18034055555130801</v>
      </c>
      <c r="C87" s="2" t="s">
        <v>28</v>
      </c>
      <c r="D87" s="2">
        <v>1.36676013469696</v>
      </c>
      <c r="E87" t="s">
        <v>446</v>
      </c>
      <c r="F87">
        <v>35.308953192090698</v>
      </c>
      <c r="G87">
        <v>-120.66025781826301</v>
      </c>
      <c r="H87">
        <v>0.17699999999999999</v>
      </c>
      <c r="I87">
        <v>1.3</v>
      </c>
      <c r="J87" t="s">
        <v>29</v>
      </c>
      <c r="K87">
        <v>1.3292877674102701</v>
      </c>
      <c r="L87" t="s">
        <v>30</v>
      </c>
      <c r="M87" t="s">
        <v>337</v>
      </c>
      <c r="N87" t="s">
        <v>369</v>
      </c>
      <c r="O87" t="s">
        <v>33</v>
      </c>
      <c r="P87" t="s">
        <v>71</v>
      </c>
      <c r="Q87" t="s">
        <v>487</v>
      </c>
      <c r="R87" t="s">
        <v>488</v>
      </c>
      <c r="S87" t="s">
        <v>489</v>
      </c>
      <c r="T87">
        <v>0.22546831232493</v>
      </c>
      <c r="U87">
        <v>0.71800002455711298</v>
      </c>
      <c r="V87">
        <v>0.16253737356439199</v>
      </c>
      <c r="W87" t="s">
        <v>490</v>
      </c>
    </row>
    <row r="88" spans="1:23">
      <c r="A88">
        <v>0</v>
      </c>
      <c r="B88" s="2">
        <v>0.20937008815441699</v>
      </c>
      <c r="C88" s="2" t="s">
        <v>28</v>
      </c>
      <c r="D88" s="2">
        <v>4.2309093475341797</v>
      </c>
      <c r="E88" t="s">
        <v>515</v>
      </c>
      <c r="F88">
        <v>35.310149940224001</v>
      </c>
      <c r="G88">
        <v>-120.662267893825</v>
      </c>
      <c r="H88">
        <v>0.222</v>
      </c>
      <c r="I88">
        <v>4.3</v>
      </c>
      <c r="J88" t="s">
        <v>29</v>
      </c>
      <c r="K88">
        <v>1.2039313316345199</v>
      </c>
      <c r="L88" t="s">
        <v>30</v>
      </c>
      <c r="M88" t="s">
        <v>337</v>
      </c>
      <c r="N88" t="s">
        <v>492</v>
      </c>
      <c r="O88" t="s">
        <v>33</v>
      </c>
      <c r="P88" t="s">
        <v>71</v>
      </c>
      <c r="Q88" t="s">
        <v>493</v>
      </c>
      <c r="R88" t="s">
        <v>494</v>
      </c>
      <c r="S88" t="s">
        <v>495</v>
      </c>
      <c r="T88">
        <v>0.236875</v>
      </c>
      <c r="U88">
        <v>0.82825088500976496</v>
      </c>
      <c r="V88">
        <v>0.18781946675437799</v>
      </c>
      <c r="W88" t="s">
        <v>496</v>
      </c>
    </row>
    <row r="89" spans="1:23">
      <c r="A89">
        <v>0</v>
      </c>
      <c r="B89" s="2">
        <v>0.208279034619864</v>
      </c>
      <c r="C89" s="2" t="s">
        <v>28</v>
      </c>
      <c r="D89" s="2">
        <v>7.8108844757079998</v>
      </c>
      <c r="E89" t="s">
        <v>550</v>
      </c>
      <c r="F89">
        <v>35.309532306756999</v>
      </c>
      <c r="G89">
        <v>-120.662962196865</v>
      </c>
      <c r="H89">
        <v>0.219</v>
      </c>
      <c r="I89">
        <v>7.8</v>
      </c>
      <c r="J89" t="s">
        <v>29</v>
      </c>
      <c r="K89">
        <v>1.23638868331909</v>
      </c>
      <c r="L89" t="s">
        <v>30</v>
      </c>
      <c r="M89" t="s">
        <v>337</v>
      </c>
      <c r="N89" t="s">
        <v>498</v>
      </c>
      <c r="O89" t="s">
        <v>33</v>
      </c>
      <c r="P89" t="s">
        <v>71</v>
      </c>
      <c r="Q89" t="s">
        <v>499</v>
      </c>
      <c r="R89" t="s">
        <v>500</v>
      </c>
      <c r="S89" t="s">
        <v>501</v>
      </c>
      <c r="T89">
        <v>0.234002976190476</v>
      </c>
      <c r="U89">
        <v>0.81932747364044101</v>
      </c>
      <c r="V89">
        <v>0.188017597965492</v>
      </c>
      <c r="W89" t="s">
        <v>502</v>
      </c>
    </row>
    <row r="90" spans="1:23">
      <c r="A90">
        <v>0</v>
      </c>
      <c r="B90" s="2">
        <v>0.17403961872036799</v>
      </c>
      <c r="C90" s="2" t="s">
        <v>28</v>
      </c>
      <c r="D90" s="2">
        <v>1.2966169118881199</v>
      </c>
      <c r="E90" t="s">
        <v>556</v>
      </c>
      <c r="F90">
        <v>35.309530478443399</v>
      </c>
      <c r="G90">
        <v>-120.662964451113</v>
      </c>
      <c r="H90">
        <v>0.19500000000000001</v>
      </c>
      <c r="I90">
        <v>1.3</v>
      </c>
      <c r="J90" t="s">
        <v>29</v>
      </c>
      <c r="K90">
        <v>1.07844614982604</v>
      </c>
      <c r="L90" t="s">
        <v>30</v>
      </c>
      <c r="M90" t="s">
        <v>337</v>
      </c>
      <c r="N90" t="s">
        <v>504</v>
      </c>
      <c r="O90" t="s">
        <v>33</v>
      </c>
      <c r="P90" t="s">
        <v>71</v>
      </c>
      <c r="Q90" t="s">
        <v>505</v>
      </c>
      <c r="R90" t="s">
        <v>506</v>
      </c>
      <c r="S90" t="s">
        <v>507</v>
      </c>
      <c r="T90">
        <v>0.241608796296296</v>
      </c>
      <c r="U90">
        <v>0.71141904592514005</v>
      </c>
      <c r="V90">
        <v>0.15703480181287699</v>
      </c>
      <c r="W90" t="s">
        <v>508</v>
      </c>
    </row>
    <row r="91" spans="1:23">
      <c r="A91">
        <v>0</v>
      </c>
      <c r="B91" s="2">
        <v>9.5188062714119101E-2</v>
      </c>
      <c r="C91" s="2" t="s">
        <v>28</v>
      </c>
      <c r="D91" s="2">
        <v>1.0175099372863701</v>
      </c>
      <c r="E91" t="s">
        <v>562</v>
      </c>
      <c r="F91">
        <v>35.309524829018798</v>
      </c>
      <c r="G91">
        <v>-120.662964605105</v>
      </c>
      <c r="H91">
        <v>9.9000000000000005E-2</v>
      </c>
      <c r="I91">
        <v>1.3</v>
      </c>
      <c r="J91" t="s">
        <v>29</v>
      </c>
      <c r="K91">
        <v>1.2511172294616699</v>
      </c>
      <c r="L91" t="s">
        <v>30</v>
      </c>
      <c r="M91" t="s">
        <v>337</v>
      </c>
      <c r="N91" t="s">
        <v>522</v>
      </c>
      <c r="O91" t="s">
        <v>33</v>
      </c>
      <c r="P91" t="s">
        <v>71</v>
      </c>
      <c r="Q91" t="s">
        <v>523</v>
      </c>
      <c r="R91" t="s">
        <v>524</v>
      </c>
      <c r="S91" t="s">
        <v>525</v>
      </c>
      <c r="T91">
        <v>0.221014492753623</v>
      </c>
      <c r="U91">
        <v>0.36817860603332497</v>
      </c>
      <c r="V91">
        <v>8.6112751310757699E-2</v>
      </c>
      <c r="W91" t="s">
        <v>526</v>
      </c>
    </row>
    <row r="92" spans="1:23">
      <c r="A92">
        <v>0</v>
      </c>
      <c r="B92" s="2">
        <v>0.17567112907094201</v>
      </c>
      <c r="C92" s="2" t="s">
        <v>28</v>
      </c>
      <c r="D92" s="2">
        <v>1.2604660987853999</v>
      </c>
      <c r="E92" t="s">
        <v>568</v>
      </c>
      <c r="F92">
        <v>35.309449434549499</v>
      </c>
      <c r="G92">
        <v>-120.66193878658</v>
      </c>
      <c r="H92">
        <v>0.20300000000000001</v>
      </c>
      <c r="I92">
        <v>1.3</v>
      </c>
      <c r="J92" t="s">
        <v>29</v>
      </c>
      <c r="K92">
        <v>0.88878726959228505</v>
      </c>
      <c r="L92" t="s">
        <v>30</v>
      </c>
      <c r="M92" t="s">
        <v>337</v>
      </c>
      <c r="N92" t="s">
        <v>510</v>
      </c>
      <c r="O92" t="s">
        <v>33</v>
      </c>
      <c r="P92" t="s">
        <v>71</v>
      </c>
      <c r="Q92" t="s">
        <v>511</v>
      </c>
      <c r="R92" t="s">
        <v>512</v>
      </c>
      <c r="S92" t="s">
        <v>513</v>
      </c>
      <c r="T92">
        <v>0.229910714285714</v>
      </c>
      <c r="U92">
        <v>0.725355744361877</v>
      </c>
      <c r="V92">
        <v>0.159313381813148</v>
      </c>
      <c r="W92" t="s">
        <v>514</v>
      </c>
    </row>
    <row r="93" spans="1:23">
      <c r="A93">
        <v>0</v>
      </c>
      <c r="B93" s="2">
        <v>8.9052836755893997E-2</v>
      </c>
      <c r="C93" s="2" t="s">
        <v>28</v>
      </c>
      <c r="D93" s="2">
        <v>1.22318875789642</v>
      </c>
      <c r="E93" t="s">
        <v>574</v>
      </c>
      <c r="F93">
        <v>35.3093723997832</v>
      </c>
      <c r="G93">
        <v>-120.661897713622</v>
      </c>
      <c r="H93">
        <v>0.11600000000000001</v>
      </c>
      <c r="I93">
        <v>1.3</v>
      </c>
      <c r="J93" t="s">
        <v>29</v>
      </c>
      <c r="K93">
        <v>1.5841584205627399</v>
      </c>
      <c r="L93" t="s">
        <v>30</v>
      </c>
      <c r="M93" t="s">
        <v>337</v>
      </c>
      <c r="N93" t="s">
        <v>516</v>
      </c>
      <c r="O93" t="s">
        <v>33</v>
      </c>
      <c r="P93" t="s">
        <v>71</v>
      </c>
      <c r="Q93" t="s">
        <v>517</v>
      </c>
      <c r="R93" t="s">
        <v>518</v>
      </c>
      <c r="S93" t="s">
        <v>519</v>
      </c>
      <c r="T93">
        <v>0.23958333333333301</v>
      </c>
      <c r="U93">
        <v>0.37005352973937899</v>
      </c>
      <c r="V93">
        <v>8.0636545739551702E-2</v>
      </c>
      <c r="W93" t="s">
        <v>520</v>
      </c>
    </row>
    <row r="94" spans="1:23">
      <c r="A94">
        <v>0</v>
      </c>
      <c r="B94" s="2">
        <v>0.35785694235348198</v>
      </c>
      <c r="C94" s="2" t="s">
        <v>28</v>
      </c>
      <c r="D94" s="2">
        <v>12.3678483963012</v>
      </c>
      <c r="E94" t="s">
        <v>580</v>
      </c>
      <c r="F94">
        <v>35.309437430543497</v>
      </c>
      <c r="G94">
        <v>-120.66298087113699</v>
      </c>
      <c r="H94">
        <v>0.42499999999999999</v>
      </c>
      <c r="I94">
        <v>12</v>
      </c>
      <c r="J94" t="s">
        <v>29</v>
      </c>
      <c r="K94">
        <v>0.97585868835449197</v>
      </c>
      <c r="L94" t="s">
        <v>30</v>
      </c>
      <c r="M94" t="s">
        <v>337</v>
      </c>
      <c r="N94" t="s">
        <v>528</v>
      </c>
      <c r="O94" t="s">
        <v>33</v>
      </c>
      <c r="P94" t="s">
        <v>71</v>
      </c>
      <c r="Q94" t="s">
        <v>529</v>
      </c>
      <c r="R94" t="s">
        <v>530</v>
      </c>
      <c r="S94" t="s">
        <v>531</v>
      </c>
      <c r="T94">
        <v>0.24479166666666599</v>
      </c>
      <c r="U94">
        <v>1.38577765226364</v>
      </c>
      <c r="V94">
        <v>0.32527846652742598</v>
      </c>
      <c r="W94" t="s">
        <v>532</v>
      </c>
    </row>
    <row r="95" spans="1:23">
      <c r="A95">
        <v>0</v>
      </c>
      <c r="B95" s="2">
        <v>0.160301667269833</v>
      </c>
      <c r="C95" s="2" t="s">
        <v>28</v>
      </c>
      <c r="D95" s="2">
        <v>1.18168628215789</v>
      </c>
      <c r="E95" t="s">
        <v>586</v>
      </c>
      <c r="F95">
        <v>35.309566885012998</v>
      </c>
      <c r="G95">
        <v>-120.662956064117</v>
      </c>
      <c r="H95">
        <v>0.17499999999999999</v>
      </c>
      <c r="I95">
        <v>1.3</v>
      </c>
      <c r="J95" t="s">
        <v>29</v>
      </c>
      <c r="K95">
        <v>1.10728430747985</v>
      </c>
      <c r="L95" t="s">
        <v>30</v>
      </c>
      <c r="M95" t="s">
        <v>337</v>
      </c>
      <c r="N95" t="s">
        <v>534</v>
      </c>
      <c r="O95" t="s">
        <v>33</v>
      </c>
      <c r="P95" t="s">
        <v>71</v>
      </c>
      <c r="Q95" t="s">
        <v>535</v>
      </c>
      <c r="R95" t="s">
        <v>536</v>
      </c>
      <c r="S95" t="s">
        <v>537</v>
      </c>
      <c r="T95">
        <v>0.235416666666666</v>
      </c>
      <c r="U95">
        <v>0.58177995681762695</v>
      </c>
      <c r="V95">
        <v>0.14543365654346499</v>
      </c>
      <c r="W95" t="s">
        <v>538</v>
      </c>
    </row>
    <row r="96" spans="1:23">
      <c r="A96">
        <v>0</v>
      </c>
      <c r="B96" s="2">
        <v>0.229278247209523</v>
      </c>
      <c r="C96" s="2" t="s">
        <v>28</v>
      </c>
      <c r="D96" s="2">
        <v>1.1022537946701001</v>
      </c>
      <c r="E96" t="s">
        <v>592</v>
      </c>
      <c r="F96">
        <v>35.309593003097802</v>
      </c>
      <c r="G96">
        <v>-120.662954044397</v>
      </c>
      <c r="H96">
        <v>0.25</v>
      </c>
      <c r="I96">
        <v>1.3</v>
      </c>
      <c r="J96" t="s">
        <v>29</v>
      </c>
      <c r="K96">
        <v>0.83379626274108798</v>
      </c>
      <c r="L96" t="s">
        <v>30</v>
      </c>
      <c r="M96" t="s">
        <v>337</v>
      </c>
      <c r="N96" t="s">
        <v>540</v>
      </c>
      <c r="O96" t="s">
        <v>33</v>
      </c>
      <c r="P96" t="s">
        <v>71</v>
      </c>
      <c r="Q96" t="s">
        <v>541</v>
      </c>
      <c r="R96" t="s">
        <v>542</v>
      </c>
      <c r="S96" t="s">
        <v>543</v>
      </c>
      <c r="T96">
        <v>0.24917763157894701</v>
      </c>
      <c r="U96">
        <v>0.91616308689117398</v>
      </c>
      <c r="V96">
        <v>0.20790707224305299</v>
      </c>
      <c r="W96" t="s">
        <v>544</v>
      </c>
    </row>
    <row r="97" spans="1:23">
      <c r="A97">
        <v>0</v>
      </c>
      <c r="B97" s="2">
        <v>9.9652277618944102E-2</v>
      </c>
      <c r="C97" s="2" t="s">
        <v>28</v>
      </c>
      <c r="D97" s="2">
        <v>5.5528311729431099</v>
      </c>
      <c r="E97" t="s">
        <v>475</v>
      </c>
      <c r="F97">
        <v>35.309574570789003</v>
      </c>
      <c r="G97">
        <v>-120.662910605517</v>
      </c>
      <c r="H97">
        <v>0.22600000000000001</v>
      </c>
      <c r="I97">
        <v>5.8</v>
      </c>
      <c r="J97" t="s">
        <v>29</v>
      </c>
      <c r="K97">
        <v>1.10614454746246</v>
      </c>
      <c r="L97" t="s">
        <v>30</v>
      </c>
      <c r="M97" t="s">
        <v>337</v>
      </c>
      <c r="N97" t="s">
        <v>593</v>
      </c>
      <c r="O97" t="s">
        <v>33</v>
      </c>
      <c r="P97" t="s">
        <v>100</v>
      </c>
      <c r="Q97" t="s">
        <v>594</v>
      </c>
      <c r="R97" t="s">
        <v>595</v>
      </c>
      <c r="S97" t="s">
        <v>596</v>
      </c>
      <c r="T97">
        <v>0.29340277777777701</v>
      </c>
      <c r="U97">
        <v>0.73376703262329102</v>
      </c>
      <c r="V97">
        <v>9.6141632046730999E-2</v>
      </c>
      <c r="W97" t="s">
        <v>597</v>
      </c>
    </row>
    <row r="98" spans="1:23">
      <c r="A98">
        <v>0</v>
      </c>
      <c r="B98" s="2">
        <v>0.58802634477615301</v>
      </c>
      <c r="C98" s="2" t="s">
        <v>3190</v>
      </c>
      <c r="D98" s="2">
        <v>24.258611679077099</v>
      </c>
      <c r="E98" t="s">
        <v>3191</v>
      </c>
      <c r="F98">
        <v>-13.024706740381299</v>
      </c>
      <c r="G98">
        <v>-48.971087729020397</v>
      </c>
      <c r="J98" t="s">
        <v>3192</v>
      </c>
      <c r="L98" t="s">
        <v>3193</v>
      </c>
      <c r="M98" t="s">
        <v>628</v>
      </c>
      <c r="N98" t="s">
        <v>3194</v>
      </c>
      <c r="O98" t="s">
        <v>3195</v>
      </c>
      <c r="P98" t="s">
        <v>3196</v>
      </c>
      <c r="Q98" t="s">
        <v>3197</v>
      </c>
      <c r="R98" t="s">
        <v>3198</v>
      </c>
      <c r="W98" t="s">
        <v>3199</v>
      </c>
    </row>
    <row r="99" spans="1:23">
      <c r="A99">
        <v>0</v>
      </c>
      <c r="B99" s="2">
        <v>0.54679989814758301</v>
      </c>
      <c r="C99" s="2" t="s">
        <v>3190</v>
      </c>
      <c r="D99" s="2">
        <v>34.506683349609297</v>
      </c>
      <c r="E99" t="s">
        <v>3200</v>
      </c>
      <c r="F99">
        <v>-13.023787736904399</v>
      </c>
      <c r="G99">
        <v>-48.971368689135602</v>
      </c>
      <c r="J99" t="s">
        <v>3192</v>
      </c>
      <c r="L99" t="s">
        <v>3193</v>
      </c>
      <c r="M99" t="s">
        <v>628</v>
      </c>
      <c r="N99" t="s">
        <v>3201</v>
      </c>
      <c r="O99" t="s">
        <v>3195</v>
      </c>
      <c r="P99" t="s">
        <v>3196</v>
      </c>
      <c r="Q99" t="s">
        <v>3202</v>
      </c>
      <c r="R99" t="s">
        <v>3203</v>
      </c>
      <c r="W99" t="s">
        <v>3204</v>
      </c>
    </row>
    <row r="100" spans="1:23">
      <c r="A100">
        <v>0</v>
      </c>
      <c r="B100" s="2">
        <v>0.42027953267097401</v>
      </c>
      <c r="C100" s="2" t="s">
        <v>3190</v>
      </c>
      <c r="D100" s="2">
        <v>33.372623443603501</v>
      </c>
      <c r="E100" t="s">
        <v>3205</v>
      </c>
      <c r="F100">
        <v>-13.0237738781258</v>
      </c>
      <c r="G100">
        <v>-48.9713149714512</v>
      </c>
      <c r="J100" t="s">
        <v>3192</v>
      </c>
      <c r="L100" t="s">
        <v>3193</v>
      </c>
      <c r="M100" t="s">
        <v>628</v>
      </c>
      <c r="N100" t="s">
        <v>3206</v>
      </c>
      <c r="O100" t="s">
        <v>3195</v>
      </c>
      <c r="P100" t="s">
        <v>3196</v>
      </c>
      <c r="Q100" t="s">
        <v>3207</v>
      </c>
      <c r="R100" t="s">
        <v>3208</v>
      </c>
      <c r="W100" t="s">
        <v>3209</v>
      </c>
    </row>
    <row r="101" spans="1:23">
      <c r="A101">
        <v>0</v>
      </c>
      <c r="B101" s="2">
        <v>9.8544499776234695E-2</v>
      </c>
      <c r="C101" s="2" t="s">
        <v>28</v>
      </c>
      <c r="D101" s="2">
        <v>6.8587746620178196</v>
      </c>
      <c r="E101" t="s">
        <v>521</v>
      </c>
      <c r="F101">
        <v>35.309626666835698</v>
      </c>
      <c r="G101">
        <v>-120.662941215773</v>
      </c>
      <c r="H101">
        <v>0.122</v>
      </c>
      <c r="I101">
        <v>5.9</v>
      </c>
      <c r="J101" t="s">
        <v>29</v>
      </c>
      <c r="K101">
        <v>2.09449958801269</v>
      </c>
      <c r="L101" t="s">
        <v>30</v>
      </c>
      <c r="M101" t="s">
        <v>337</v>
      </c>
      <c r="N101" t="s">
        <v>557</v>
      </c>
      <c r="O101" t="s">
        <v>33</v>
      </c>
      <c r="P101" t="s">
        <v>107</v>
      </c>
      <c r="Q101" t="s">
        <v>600</v>
      </c>
      <c r="R101" t="s">
        <v>601</v>
      </c>
      <c r="S101" t="s">
        <v>602</v>
      </c>
      <c r="T101">
        <v>0.25520833333333298</v>
      </c>
      <c r="U101">
        <v>0.38543811440467801</v>
      </c>
      <c r="V101">
        <v>8.9065134143792496E-2</v>
      </c>
      <c r="W101" t="s">
        <v>603</v>
      </c>
    </row>
    <row r="102" spans="1:23">
      <c r="A102">
        <v>0</v>
      </c>
      <c r="B102" s="2">
        <v>3.48902331872235E-2</v>
      </c>
      <c r="C102" s="2" t="s">
        <v>28</v>
      </c>
      <c r="D102" s="2">
        <v>0.63281035423278797</v>
      </c>
      <c r="E102" t="s">
        <v>527</v>
      </c>
      <c r="F102">
        <v>35.309599519209002</v>
      </c>
      <c r="G102">
        <v>-120.662949511957</v>
      </c>
      <c r="H102">
        <v>3.5000000000000003E-2</v>
      </c>
      <c r="I102">
        <v>1.3</v>
      </c>
      <c r="J102" t="s">
        <v>29</v>
      </c>
      <c r="K102">
        <v>1.16773664951324</v>
      </c>
      <c r="L102" t="s">
        <v>30</v>
      </c>
      <c r="M102" t="s">
        <v>337</v>
      </c>
      <c r="N102" t="s">
        <v>581</v>
      </c>
      <c r="O102" t="s">
        <v>33</v>
      </c>
      <c r="P102" t="s">
        <v>107</v>
      </c>
      <c r="Q102" t="s">
        <v>605</v>
      </c>
      <c r="R102" t="s">
        <v>606</v>
      </c>
      <c r="S102" t="s">
        <v>607</v>
      </c>
      <c r="T102">
        <v>0.21316964285714199</v>
      </c>
      <c r="U102">
        <v>1.95187103748321</v>
      </c>
      <c r="V102">
        <v>2.6191648050128101E-2</v>
      </c>
      <c r="W102" t="s">
        <v>608</v>
      </c>
    </row>
    <row r="103" spans="1:23">
      <c r="A103">
        <v>0</v>
      </c>
      <c r="B103" s="2">
        <v>4.6117154475760799E-2</v>
      </c>
      <c r="C103" s="2" t="s">
        <v>28</v>
      </c>
      <c r="D103" s="2">
        <v>1.56762719154357</v>
      </c>
      <c r="E103" t="s">
        <v>533</v>
      </c>
      <c r="F103">
        <v>35.309590530327597</v>
      </c>
      <c r="G103">
        <v>-120.662952983417</v>
      </c>
      <c r="H103">
        <v>0.53</v>
      </c>
      <c r="I103">
        <v>1.3</v>
      </c>
      <c r="J103" t="s">
        <v>29</v>
      </c>
      <c r="K103">
        <v>4.1538639068603498</v>
      </c>
      <c r="L103" t="s">
        <v>30</v>
      </c>
      <c r="M103" t="s">
        <v>337</v>
      </c>
      <c r="N103" t="s">
        <v>610</v>
      </c>
      <c r="O103" t="s">
        <v>33</v>
      </c>
      <c r="P103" t="s">
        <v>107</v>
      </c>
      <c r="Q103" t="s">
        <v>611</v>
      </c>
      <c r="R103" t="s">
        <v>612</v>
      </c>
      <c r="S103" t="s">
        <v>613</v>
      </c>
      <c r="T103">
        <v>0.22463768115942001</v>
      </c>
      <c r="U103">
        <v>1.4727821350097601</v>
      </c>
      <c r="V103">
        <v>5.0116640205203102E-2</v>
      </c>
      <c r="W103" t="s">
        <v>614</v>
      </c>
    </row>
    <row r="104" spans="1:23">
      <c r="A104">
        <v>0</v>
      </c>
      <c r="B104" s="2">
        <v>6.0299719295750398E-2</v>
      </c>
      <c r="C104" s="2" t="s">
        <v>28</v>
      </c>
      <c r="D104" s="2">
        <v>1.6852881908416699</v>
      </c>
      <c r="E104" t="s">
        <v>539</v>
      </c>
      <c r="F104">
        <v>35.3096165902043</v>
      </c>
      <c r="G104">
        <v>-120.66294572347201</v>
      </c>
      <c r="H104">
        <v>5.5E-2</v>
      </c>
      <c r="I104">
        <v>1.3</v>
      </c>
      <c r="J104" t="s">
        <v>29</v>
      </c>
      <c r="K104">
        <v>6.9009189605712802</v>
      </c>
      <c r="L104" t="s">
        <v>30</v>
      </c>
      <c r="M104" t="s">
        <v>337</v>
      </c>
      <c r="N104" t="s">
        <v>563</v>
      </c>
      <c r="O104" t="s">
        <v>33</v>
      </c>
      <c r="P104" t="s">
        <v>107</v>
      </c>
      <c r="Q104" t="s">
        <v>616</v>
      </c>
      <c r="R104" t="s">
        <v>617</v>
      </c>
      <c r="S104" t="s">
        <v>618</v>
      </c>
      <c r="T104">
        <v>0.21417968749999999</v>
      </c>
      <c r="U104">
        <v>0.24994046986103</v>
      </c>
      <c r="V104">
        <v>5.4295383879408202E-2</v>
      </c>
      <c r="W104" t="s">
        <v>619</v>
      </c>
    </row>
    <row r="105" spans="1:23">
      <c r="A105">
        <v>0</v>
      </c>
      <c r="B105" s="2">
        <v>8.1575479689261807E-2</v>
      </c>
      <c r="C105" s="2" t="s">
        <v>28</v>
      </c>
      <c r="D105" s="2">
        <v>24.651197433471602</v>
      </c>
      <c r="E105" t="s">
        <v>545</v>
      </c>
      <c r="F105">
        <v>35.309613479087197</v>
      </c>
      <c r="G105">
        <v>-120.662943288308</v>
      </c>
      <c r="H105">
        <v>9.7000000000000003E-2</v>
      </c>
      <c r="I105">
        <v>1.3</v>
      </c>
      <c r="J105" t="s">
        <v>29</v>
      </c>
      <c r="K105">
        <v>3.0387105941772399</v>
      </c>
      <c r="L105" t="s">
        <v>30</v>
      </c>
      <c r="M105" t="s">
        <v>337</v>
      </c>
      <c r="N105" t="s">
        <v>621</v>
      </c>
      <c r="O105" t="s">
        <v>33</v>
      </c>
      <c r="P105" t="s">
        <v>107</v>
      </c>
      <c r="Q105" t="s">
        <v>622</v>
      </c>
      <c r="R105" t="s">
        <v>623</v>
      </c>
      <c r="S105" t="s">
        <v>624</v>
      </c>
      <c r="T105">
        <v>0.227604166666666</v>
      </c>
      <c r="U105">
        <v>0.32293394207954401</v>
      </c>
      <c r="V105">
        <v>7.3957067173455598E-2</v>
      </c>
      <c r="W105" t="s">
        <v>625</v>
      </c>
    </row>
    <row r="106" spans="1:23">
      <c r="A106">
        <v>0</v>
      </c>
      <c r="B106" s="2">
        <v>3.96455938959559E-2</v>
      </c>
      <c r="C106" s="2" t="s">
        <v>28</v>
      </c>
      <c r="D106" s="2">
        <v>2.44780325889587</v>
      </c>
      <c r="E106" t="s">
        <v>503</v>
      </c>
      <c r="F106">
        <v>35.309662124318898</v>
      </c>
      <c r="G106">
        <v>-120.662899157975</v>
      </c>
      <c r="H106">
        <v>3.9E-2</v>
      </c>
      <c r="I106">
        <v>2.2999999999999998</v>
      </c>
      <c r="J106" t="s">
        <v>29</v>
      </c>
      <c r="K106">
        <v>0.48219740390777499</v>
      </c>
      <c r="L106" t="s">
        <v>30</v>
      </c>
      <c r="M106" t="s">
        <v>337</v>
      </c>
      <c r="N106" t="s">
        <v>350</v>
      </c>
      <c r="O106" t="s">
        <v>33</v>
      </c>
      <c r="P106" t="s">
        <v>78</v>
      </c>
      <c r="Q106" t="s">
        <v>546</v>
      </c>
      <c r="R106" t="s">
        <v>547</v>
      </c>
      <c r="S106" t="s">
        <v>548</v>
      </c>
      <c r="T106">
        <v>0.25701121794871701</v>
      </c>
      <c r="U106">
        <v>0.33494758605956998</v>
      </c>
      <c r="V106">
        <v>3.6670623524988497E-2</v>
      </c>
      <c r="W106" t="s">
        <v>549</v>
      </c>
    </row>
    <row r="107" spans="1:23">
      <c r="A107">
        <v>0</v>
      </c>
      <c r="B107" s="2">
        <v>2.89923818225854E-2</v>
      </c>
      <c r="C107" s="2" t="s">
        <v>28</v>
      </c>
      <c r="D107" s="2">
        <v>2.1457734107971098</v>
      </c>
      <c r="E107" t="s">
        <v>509</v>
      </c>
      <c r="F107">
        <v>35.309606334954701</v>
      </c>
      <c r="G107">
        <v>-120.662958695648</v>
      </c>
      <c r="H107">
        <v>0.48</v>
      </c>
      <c r="I107">
        <v>2.1</v>
      </c>
      <c r="J107" t="s">
        <v>29</v>
      </c>
      <c r="K107">
        <v>0.48563665151596003</v>
      </c>
      <c r="L107" t="s">
        <v>30</v>
      </c>
      <c r="M107" t="s">
        <v>337</v>
      </c>
      <c r="N107" t="s">
        <v>551</v>
      </c>
      <c r="O107" t="s">
        <v>33</v>
      </c>
      <c r="P107" t="s">
        <v>78</v>
      </c>
      <c r="Q107" t="s">
        <v>552</v>
      </c>
      <c r="R107" t="s">
        <v>553</v>
      </c>
      <c r="S107" t="s">
        <v>554</v>
      </c>
      <c r="T107">
        <v>0.29947916666666602</v>
      </c>
      <c r="U107">
        <v>0.40849706530570901</v>
      </c>
      <c r="V107">
        <v>2.3233534291768599E-2</v>
      </c>
      <c r="W107" t="s">
        <v>555</v>
      </c>
    </row>
    <row r="108" spans="1:23">
      <c r="A108">
        <v>0</v>
      </c>
      <c r="B108" s="2">
        <v>0.85712041554906304</v>
      </c>
      <c r="C108" s="2" t="s">
        <v>28</v>
      </c>
      <c r="D108" s="2">
        <v>32.282917022705</v>
      </c>
      <c r="E108" t="s">
        <v>3210</v>
      </c>
      <c r="F108">
        <v>35.310388545411698</v>
      </c>
      <c r="G108">
        <v>-120.662557435784</v>
      </c>
      <c r="J108" t="s">
        <v>29</v>
      </c>
      <c r="K108">
        <v>1.3331652879714899</v>
      </c>
      <c r="L108" t="s">
        <v>30</v>
      </c>
      <c r="M108" t="s">
        <v>31</v>
      </c>
      <c r="O108" t="s">
        <v>33</v>
      </c>
      <c r="Q108" t="s">
        <v>3211</v>
      </c>
      <c r="R108" t="s">
        <v>3212</v>
      </c>
      <c r="S108" t="s">
        <v>3213</v>
      </c>
      <c r="T108">
        <v>0.22916666666666599</v>
      </c>
      <c r="U108">
        <v>3.33632493019104</v>
      </c>
      <c r="V108">
        <v>0.76863181445583995</v>
      </c>
      <c r="W108" t="s">
        <v>3214</v>
      </c>
    </row>
    <row r="109" spans="1:23">
      <c r="A109">
        <v>0</v>
      </c>
      <c r="B109" s="2">
        <v>0.74107102039967798</v>
      </c>
      <c r="C109" s="2" t="s">
        <v>28</v>
      </c>
      <c r="D109" s="2">
        <v>12.301169395446699</v>
      </c>
      <c r="E109" t="s">
        <v>65</v>
      </c>
      <c r="F109">
        <v>35.309630239320803</v>
      </c>
      <c r="G109">
        <v>-120.662930263389</v>
      </c>
      <c r="H109">
        <v>0.78200000000000003</v>
      </c>
      <c r="I109">
        <v>22.8</v>
      </c>
      <c r="J109" t="s">
        <v>29</v>
      </c>
      <c r="K109">
        <v>1.05900561809539</v>
      </c>
      <c r="L109" t="s">
        <v>30</v>
      </c>
      <c r="M109" t="s">
        <v>31</v>
      </c>
      <c r="N109" t="s">
        <v>66</v>
      </c>
      <c r="O109" t="s">
        <v>33</v>
      </c>
      <c r="Q109" t="s">
        <v>67</v>
      </c>
      <c r="R109" t="s">
        <v>68</v>
      </c>
      <c r="S109" t="s">
        <v>69</v>
      </c>
      <c r="T109">
        <v>0.22983186141304299</v>
      </c>
      <c r="U109">
        <v>2.8659631013870199</v>
      </c>
      <c r="V109">
        <v>0.66438343592928195</v>
      </c>
      <c r="W109" t="s">
        <v>70</v>
      </c>
    </row>
    <row r="110" spans="1:23">
      <c r="A110">
        <v>0</v>
      </c>
      <c r="B110" s="2">
        <v>0.25306192931507199</v>
      </c>
      <c r="C110" s="2" t="s">
        <v>28</v>
      </c>
      <c r="D110" s="2">
        <v>22.7179565429687</v>
      </c>
      <c r="E110" t="s">
        <v>72</v>
      </c>
      <c r="F110">
        <v>35.309641944065298</v>
      </c>
      <c r="G110">
        <v>-120.662935826538</v>
      </c>
      <c r="H110">
        <v>0.312</v>
      </c>
      <c r="I110">
        <v>19.2</v>
      </c>
      <c r="J110" t="s">
        <v>29</v>
      </c>
      <c r="K110">
        <v>1.87053942680358</v>
      </c>
      <c r="L110" t="s">
        <v>30</v>
      </c>
      <c r="M110" t="s">
        <v>31</v>
      </c>
      <c r="N110" t="s">
        <v>3215</v>
      </c>
      <c r="O110" t="s">
        <v>33</v>
      </c>
      <c r="Q110" t="s">
        <v>74</v>
      </c>
      <c r="R110" t="s">
        <v>75</v>
      </c>
      <c r="S110" t="s">
        <v>76</v>
      </c>
      <c r="T110">
        <v>0.238839285714285</v>
      </c>
      <c r="U110">
        <v>1.0719571113586399</v>
      </c>
      <c r="V110">
        <v>0.227032884843514</v>
      </c>
      <c r="W110" t="s">
        <v>77</v>
      </c>
    </row>
    <row r="111" spans="1:23">
      <c r="A111">
        <v>0</v>
      </c>
      <c r="B111" s="2">
        <v>0.46266606339849597</v>
      </c>
      <c r="C111" s="2" t="s">
        <v>28</v>
      </c>
      <c r="D111" s="2">
        <v>10.7462711334228</v>
      </c>
      <c r="E111" t="s">
        <v>79</v>
      </c>
      <c r="F111">
        <v>35.310248400169598</v>
      </c>
      <c r="G111">
        <v>-120.66261540287201</v>
      </c>
      <c r="H111">
        <v>0.51900000000000002</v>
      </c>
      <c r="I111">
        <v>19.2</v>
      </c>
      <c r="J111" t="s">
        <v>29</v>
      </c>
      <c r="K111">
        <v>0.73293602466583196</v>
      </c>
      <c r="L111" t="s">
        <v>30</v>
      </c>
      <c r="M111" t="s">
        <v>31</v>
      </c>
      <c r="N111" t="s">
        <v>3216</v>
      </c>
      <c r="O111" t="s">
        <v>33</v>
      </c>
      <c r="Q111" t="s">
        <v>81</v>
      </c>
      <c r="R111" t="s">
        <v>82</v>
      </c>
      <c r="S111" t="s">
        <v>83</v>
      </c>
      <c r="T111">
        <v>0.22421874999999999</v>
      </c>
      <c r="U111">
        <v>1.8091027736663801</v>
      </c>
      <c r="V111">
        <v>0.41484217610514601</v>
      </c>
      <c r="W111" t="s">
        <v>84</v>
      </c>
    </row>
    <row r="112" spans="1:23">
      <c r="A112">
        <v>0</v>
      </c>
      <c r="B112" s="2">
        <v>0.35948565592226001</v>
      </c>
      <c r="C112" s="2" t="s">
        <v>28</v>
      </c>
      <c r="D112" s="2">
        <v>12.241008758544901</v>
      </c>
      <c r="E112" t="s">
        <v>108</v>
      </c>
      <c r="F112">
        <v>35.310337157035796</v>
      </c>
      <c r="G112">
        <v>-120.662977190231</v>
      </c>
      <c r="H112">
        <v>0.38700000000000001</v>
      </c>
      <c r="I112">
        <v>13.2</v>
      </c>
      <c r="J112" t="s">
        <v>29</v>
      </c>
      <c r="K112">
        <v>1.32882320880889</v>
      </c>
      <c r="L112" t="s">
        <v>30</v>
      </c>
      <c r="M112" t="s">
        <v>87</v>
      </c>
      <c r="N112" t="s">
        <v>109</v>
      </c>
      <c r="O112" t="s">
        <v>33</v>
      </c>
      <c r="Q112" t="s">
        <v>110</v>
      </c>
      <c r="R112" t="s">
        <v>111</v>
      </c>
      <c r="S112" t="s">
        <v>112</v>
      </c>
      <c r="T112">
        <v>0.23494336970899399</v>
      </c>
      <c r="U112">
        <v>1.3611381649970999</v>
      </c>
      <c r="V112">
        <v>0.322395944853269</v>
      </c>
      <c r="W112" t="s">
        <v>113</v>
      </c>
    </row>
    <row r="113" spans="1:23">
      <c r="A113">
        <v>0</v>
      </c>
      <c r="B113" s="2">
        <v>0.13822587807469999</v>
      </c>
      <c r="C113" s="2" t="s">
        <v>28</v>
      </c>
      <c r="D113" s="2">
        <v>0.90940701961517301</v>
      </c>
      <c r="E113" t="s">
        <v>114</v>
      </c>
      <c r="F113">
        <v>35.310288297596301</v>
      </c>
      <c r="G113">
        <v>-120.66290984854901</v>
      </c>
      <c r="H113">
        <v>0.14399999999999999</v>
      </c>
      <c r="I113">
        <v>0.95</v>
      </c>
      <c r="J113" t="s">
        <v>29</v>
      </c>
      <c r="K113">
        <v>1.2248132228851301</v>
      </c>
      <c r="L113" t="s">
        <v>30</v>
      </c>
      <c r="M113" t="s">
        <v>87</v>
      </c>
      <c r="N113" t="s">
        <v>115</v>
      </c>
      <c r="O113" t="s">
        <v>33</v>
      </c>
      <c r="Q113" t="s">
        <v>116</v>
      </c>
      <c r="R113" t="s">
        <v>117</v>
      </c>
      <c r="S113" t="s">
        <v>118</v>
      </c>
      <c r="T113">
        <v>0.23611111111111099</v>
      </c>
      <c r="U113">
        <v>0.51099956035614003</v>
      </c>
      <c r="V113">
        <v>0.124053590463027</v>
      </c>
      <c r="W113" t="s">
        <v>119</v>
      </c>
    </row>
    <row r="114" spans="1:23">
      <c r="A114">
        <v>0</v>
      </c>
      <c r="B114" s="2">
        <v>0.128756998007447</v>
      </c>
      <c r="C114" s="2" t="s">
        <v>28</v>
      </c>
      <c r="D114" s="2">
        <v>0.90645694732666005</v>
      </c>
      <c r="E114" t="s">
        <v>3217</v>
      </c>
      <c r="F114">
        <v>35.310295740529497</v>
      </c>
      <c r="G114">
        <v>-120.662932974531</v>
      </c>
      <c r="J114" t="s">
        <v>29</v>
      </c>
      <c r="K114">
        <v>1.2006822824478101</v>
      </c>
      <c r="L114" t="s">
        <v>30</v>
      </c>
      <c r="M114" t="s">
        <v>87</v>
      </c>
      <c r="N114" t="s">
        <v>3218</v>
      </c>
      <c r="O114" t="s">
        <v>33</v>
      </c>
      <c r="Q114" t="s">
        <v>3219</v>
      </c>
      <c r="R114" t="s">
        <v>3220</v>
      </c>
      <c r="S114" t="s">
        <v>3221</v>
      </c>
      <c r="T114">
        <v>0.24772135416666599</v>
      </c>
      <c r="U114">
        <v>0.49117955565452498</v>
      </c>
      <c r="V114">
        <v>0.115493521060533</v>
      </c>
      <c r="W114" t="s">
        <v>3222</v>
      </c>
    </row>
    <row r="115" spans="1:23">
      <c r="A115">
        <v>0</v>
      </c>
      <c r="B115" s="2">
        <v>0.48023154412726898</v>
      </c>
      <c r="C115" s="2" t="s">
        <v>28</v>
      </c>
      <c r="D115" s="2">
        <v>13.1827936172485</v>
      </c>
      <c r="E115" t="s">
        <v>3223</v>
      </c>
      <c r="F115">
        <v>35.309623986972497</v>
      </c>
      <c r="G115">
        <v>-120.662951397904</v>
      </c>
      <c r="J115" t="s">
        <v>29</v>
      </c>
      <c r="K115">
        <v>1.15023446083068</v>
      </c>
      <c r="L115" t="s">
        <v>30</v>
      </c>
      <c r="M115" t="s">
        <v>87</v>
      </c>
      <c r="N115" t="s">
        <v>3133</v>
      </c>
      <c r="O115" t="s">
        <v>33</v>
      </c>
      <c r="Q115" t="s">
        <v>3224</v>
      </c>
      <c r="R115" t="s">
        <v>3225</v>
      </c>
      <c r="S115" t="s">
        <v>3226</v>
      </c>
      <c r="T115">
        <v>0.24630731922398499</v>
      </c>
      <c r="U115">
        <v>1.87465476989746</v>
      </c>
      <c r="V115">
        <v>0.43138793285510502</v>
      </c>
      <c r="W115" t="s">
        <v>3227</v>
      </c>
    </row>
    <row r="116" spans="1:23">
      <c r="A116">
        <v>0</v>
      </c>
      <c r="B116" s="2">
        <v>0.44274463409742099</v>
      </c>
      <c r="C116" s="2" t="s">
        <v>28</v>
      </c>
      <c r="D116" s="2">
        <v>1.0896244049072199</v>
      </c>
      <c r="E116" t="s">
        <v>3228</v>
      </c>
      <c r="F116">
        <v>35.309540269829803</v>
      </c>
      <c r="G116">
        <v>-120.662964587134</v>
      </c>
      <c r="J116" t="s">
        <v>29</v>
      </c>
      <c r="K116">
        <v>1.14904916286468</v>
      </c>
      <c r="L116" t="s">
        <v>30</v>
      </c>
      <c r="M116" t="s">
        <v>87</v>
      </c>
      <c r="N116" t="s">
        <v>1132</v>
      </c>
      <c r="O116" t="s">
        <v>33</v>
      </c>
      <c r="Q116" t="s">
        <v>3229</v>
      </c>
      <c r="R116" t="s">
        <v>3230</v>
      </c>
      <c r="S116" t="s">
        <v>3231</v>
      </c>
      <c r="T116">
        <v>0.22762133699633599</v>
      </c>
      <c r="U116">
        <v>1.69031733274459</v>
      </c>
      <c r="V116">
        <v>0.40192534105130501</v>
      </c>
      <c r="W116" t="s">
        <v>3232</v>
      </c>
    </row>
    <row r="117" spans="1:23">
      <c r="A117">
        <v>0</v>
      </c>
      <c r="B117" s="2">
        <v>0.50968585278216905</v>
      </c>
      <c r="C117" s="2" t="s">
        <v>28</v>
      </c>
      <c r="D117" s="2">
        <v>1.12147009372711</v>
      </c>
      <c r="E117" t="s">
        <v>288</v>
      </c>
      <c r="F117">
        <v>35.309538972311998</v>
      </c>
      <c r="G117">
        <v>-120.66296474310199</v>
      </c>
      <c r="H117">
        <v>0.50600000000000001</v>
      </c>
      <c r="I117">
        <v>13.5</v>
      </c>
      <c r="J117" t="s">
        <v>29</v>
      </c>
      <c r="K117">
        <v>1.0614541769027701</v>
      </c>
      <c r="L117" t="s">
        <v>30</v>
      </c>
      <c r="M117" t="s">
        <v>87</v>
      </c>
      <c r="N117" t="s">
        <v>3233</v>
      </c>
      <c r="O117" t="s">
        <v>33</v>
      </c>
      <c r="Q117" t="s">
        <v>290</v>
      </c>
      <c r="R117" t="s">
        <v>291</v>
      </c>
      <c r="S117" t="s">
        <v>292</v>
      </c>
      <c r="T117">
        <v>0.203887836700336</v>
      </c>
      <c r="U117">
        <v>2.0004316568374598</v>
      </c>
      <c r="V117">
        <v>0.46232146492965498</v>
      </c>
      <c r="W117" t="s">
        <v>293</v>
      </c>
    </row>
    <row r="118" spans="1:23">
      <c r="B118" s="2"/>
      <c r="C118" s="2"/>
      <c r="D118" s="2"/>
    </row>
    <row r="119" spans="1:23">
      <c r="B119" s="2"/>
      <c r="C119" s="2"/>
      <c r="D119" s="2"/>
    </row>
    <row r="120" spans="1:23">
      <c r="B120" s="2"/>
      <c r="C120" s="2"/>
      <c r="D120" s="2"/>
    </row>
    <row r="121" spans="1:23">
      <c r="B121" s="2"/>
      <c r="C121" s="2"/>
      <c r="D121" s="2"/>
    </row>
    <row r="122" spans="1:23">
      <c r="B122" s="2"/>
      <c r="C122" s="2"/>
      <c r="D122" s="2"/>
    </row>
    <row r="123" spans="1:23">
      <c r="B123" s="2"/>
      <c r="C123" s="2"/>
      <c r="D123" s="2"/>
    </row>
    <row r="124" spans="1:23">
      <c r="B124" s="2"/>
      <c r="C124" s="2"/>
      <c r="D124" s="2"/>
    </row>
    <row r="125" spans="1:23">
      <c r="B125" s="2"/>
      <c r="C125" s="2"/>
      <c r="D125" s="2"/>
    </row>
    <row r="126" spans="1:23">
      <c r="B126" s="2"/>
      <c r="C126" s="2"/>
      <c r="D126" s="2"/>
    </row>
    <row r="127" spans="1:23">
      <c r="B127" s="2"/>
      <c r="C127" s="2"/>
      <c r="D127" s="2"/>
    </row>
    <row r="128" spans="1:23">
      <c r="B128" s="2"/>
      <c r="C128" s="2"/>
      <c r="D128" s="2"/>
    </row>
    <row r="129" spans="2:4">
      <c r="B129" s="2"/>
      <c r="C129" s="2"/>
      <c r="D129" s="2"/>
    </row>
    <row r="130" spans="2:4">
      <c r="B130" s="2"/>
      <c r="C130" s="2"/>
      <c r="D130" s="2"/>
    </row>
    <row r="131" spans="2:4">
      <c r="B131" s="2"/>
      <c r="C131" s="2"/>
      <c r="D131" s="2"/>
    </row>
    <row r="132" spans="2:4">
      <c r="B132" s="2"/>
      <c r="C132" s="2"/>
      <c r="D132" s="2"/>
    </row>
    <row r="133" spans="2:4">
      <c r="B133" s="2"/>
      <c r="C133" s="2"/>
      <c r="D133" s="2"/>
    </row>
    <row r="134" spans="2:4">
      <c r="B134" s="2"/>
      <c r="C134" s="2"/>
      <c r="D134" s="2"/>
    </row>
    <row r="135" spans="2:4">
      <c r="B135" s="2"/>
      <c r="C135" s="2"/>
      <c r="D135" s="2"/>
    </row>
    <row r="136" spans="2:4">
      <c r="B136" s="2"/>
      <c r="C136" s="2"/>
      <c r="D136" s="2"/>
    </row>
    <row r="137" spans="2:4">
      <c r="B137" s="2"/>
      <c r="C137" s="2"/>
      <c r="D137" s="2"/>
    </row>
    <row r="138" spans="2:4">
      <c r="B138" s="2"/>
      <c r="C138" s="2"/>
      <c r="D138" s="2"/>
    </row>
    <row r="139" spans="2:4">
      <c r="B139" s="2"/>
      <c r="C139" s="2"/>
      <c r="D139" s="2"/>
    </row>
    <row r="140" spans="2:4">
      <c r="B140" s="2"/>
      <c r="C140" s="2"/>
      <c r="D140" s="2"/>
    </row>
    <row r="141" spans="2:4">
      <c r="B141" s="2"/>
      <c r="C141" s="2"/>
      <c r="D141" s="2"/>
    </row>
    <row r="142" spans="2:4">
      <c r="B142" s="2"/>
      <c r="C142" s="2"/>
      <c r="D142" s="2"/>
    </row>
    <row r="143" spans="2:4">
      <c r="B143" s="2"/>
      <c r="C143" s="2"/>
      <c r="D143" s="2"/>
    </row>
    <row r="144" spans="2:4">
      <c r="B144" s="2"/>
      <c r="C144" s="2"/>
      <c r="D144" s="2"/>
    </row>
    <row r="145" spans="2:4">
      <c r="B145" s="2"/>
      <c r="C145" s="2"/>
      <c r="D145" s="2"/>
    </row>
    <row r="146" spans="2:4">
      <c r="B146" s="2"/>
      <c r="C146" s="2"/>
      <c r="D146" s="2"/>
    </row>
    <row r="147" spans="2:4">
      <c r="B147" s="2"/>
      <c r="C147" s="2"/>
      <c r="D147" s="2"/>
    </row>
    <row r="148" spans="2:4">
      <c r="B148" s="2"/>
      <c r="C148" s="2"/>
      <c r="D148" s="2"/>
    </row>
    <row r="149" spans="2:4">
      <c r="B149" s="2"/>
      <c r="C149" s="2"/>
      <c r="D149" s="2"/>
    </row>
    <row r="150" spans="2:4">
      <c r="B150" s="2"/>
      <c r="C150" s="2"/>
      <c r="D150" s="2"/>
    </row>
    <row r="151" spans="2:4">
      <c r="B151" s="2"/>
      <c r="C151" s="2"/>
      <c r="D151" s="2"/>
    </row>
    <row r="152" spans="2:4">
      <c r="B152" s="2"/>
      <c r="C152" s="2"/>
      <c r="D152" s="2"/>
    </row>
    <row r="153" spans="2:4">
      <c r="B153" s="2"/>
      <c r="C153" s="2"/>
      <c r="D153" s="2"/>
    </row>
    <row r="154" spans="2:4">
      <c r="B154" s="2"/>
      <c r="C154" s="2"/>
      <c r="D154" s="2"/>
    </row>
    <row r="155" spans="2:4">
      <c r="B155" s="2"/>
      <c r="C155" s="2"/>
      <c r="D155" s="2"/>
    </row>
    <row r="156" spans="2:4">
      <c r="B156" s="2"/>
      <c r="C156" s="2"/>
      <c r="D156" s="2"/>
    </row>
    <row r="157" spans="2:4">
      <c r="B157" s="2"/>
      <c r="C157" s="2"/>
      <c r="D157" s="2"/>
    </row>
    <row r="158" spans="2:4">
      <c r="B158" s="2"/>
      <c r="C158" s="2"/>
      <c r="D158" s="2"/>
    </row>
    <row r="159" spans="2:4">
      <c r="B159" s="2"/>
      <c r="C159" s="2"/>
      <c r="D159" s="2"/>
    </row>
    <row r="160" spans="2:4">
      <c r="B160" s="2"/>
      <c r="C160" s="2"/>
      <c r="D160" s="2"/>
    </row>
    <row r="161" spans="2:4">
      <c r="B161" s="2"/>
      <c r="C161" s="2"/>
      <c r="D161" s="2"/>
    </row>
    <row r="162" spans="2:4">
      <c r="B162" s="2"/>
      <c r="C162" s="2"/>
      <c r="D162" s="2"/>
    </row>
    <row r="163" spans="2:4">
      <c r="B163" s="2"/>
      <c r="C163" s="2"/>
      <c r="D163" s="2"/>
    </row>
    <row r="164" spans="2:4">
      <c r="B164" s="2"/>
      <c r="C164" s="2"/>
      <c r="D164" s="2"/>
    </row>
    <row r="165" spans="2:4">
      <c r="B165" s="2"/>
      <c r="C165" s="2"/>
      <c r="D165" s="2"/>
    </row>
    <row r="166" spans="2:4">
      <c r="B166" s="2"/>
      <c r="C166" s="2"/>
      <c r="D166" s="2"/>
    </row>
    <row r="167" spans="2:4">
      <c r="B167" s="2"/>
      <c r="C167" s="2"/>
      <c r="D167" s="2"/>
    </row>
    <row r="168" spans="2:4">
      <c r="B168" s="2"/>
      <c r="C168" s="2"/>
      <c r="D168" s="2"/>
    </row>
    <row r="169" spans="2:4">
      <c r="B169" s="2"/>
      <c r="C169" s="2"/>
      <c r="D169" s="2"/>
    </row>
    <row r="170" spans="2:4">
      <c r="B170" s="2"/>
      <c r="C170" s="2"/>
      <c r="D170" s="2"/>
    </row>
    <row r="171" spans="2:4">
      <c r="B171" s="2"/>
      <c r="C171" s="2"/>
      <c r="D171" s="2"/>
    </row>
    <row r="172" spans="2:4">
      <c r="B172" s="2"/>
      <c r="C172" s="2"/>
      <c r="D172" s="2"/>
    </row>
    <row r="173" spans="2:4">
      <c r="B173" s="2"/>
      <c r="C173" s="2"/>
      <c r="D173" s="2"/>
    </row>
    <row r="174" spans="2:4">
      <c r="B174" s="2"/>
      <c r="C174" s="2"/>
      <c r="D174" s="2"/>
    </row>
    <row r="175" spans="2:4">
      <c r="B175" s="2"/>
      <c r="C175" s="2"/>
      <c r="D175" s="2"/>
    </row>
    <row r="176" spans="2:4">
      <c r="B176" s="2"/>
      <c r="C176" s="2"/>
      <c r="D176" s="2"/>
    </row>
    <row r="177" spans="2:4">
      <c r="B177" s="2"/>
      <c r="C177" s="2"/>
      <c r="D177" s="2"/>
    </row>
    <row r="178" spans="2:4">
      <c r="B178" s="2"/>
      <c r="C178" s="2"/>
      <c r="D178" s="2"/>
    </row>
    <row r="179" spans="2:4">
      <c r="B179" s="2"/>
      <c r="C179" s="2"/>
      <c r="D179" s="2"/>
    </row>
    <row r="180" spans="2:4">
      <c r="B180" s="2"/>
      <c r="C180" s="2"/>
      <c r="D180" s="2"/>
    </row>
    <row r="181" spans="2:4">
      <c r="B181" s="2"/>
      <c r="C181" s="2"/>
      <c r="D181" s="2"/>
    </row>
    <row r="182" spans="2:4">
      <c r="B182" s="2"/>
      <c r="C182" s="2"/>
      <c r="D182" s="2"/>
    </row>
    <row r="183" spans="2:4">
      <c r="B183" s="2"/>
      <c r="C183" s="2"/>
      <c r="D183" s="2"/>
    </row>
    <row r="184" spans="2:4">
      <c r="B184" s="2"/>
      <c r="C184" s="2"/>
      <c r="D184" s="2"/>
    </row>
    <row r="185" spans="2:4">
      <c r="B185" s="2"/>
      <c r="C185" s="2"/>
      <c r="D185" s="2"/>
    </row>
  </sheetData>
  <autoFilter ref="A1:W185" xr:uid="{00000000-0009-0000-0000-000008000000}">
    <sortState xmlns:xlrd2="http://schemas.microsoft.com/office/spreadsheetml/2017/richdata2" ref="A2:W185">
      <sortCondition ref="P1:P18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5b2244-1ce7-4605-8f42-28eaedf52429" xsi:nil="true"/>
    <lcf76f155ced4ddcb4097134ff3c332f xmlns="d9dcd392-3ee9-4d06-88ea-ad776616794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19C75002DEE3429DC7DE240781D046" ma:contentTypeVersion="10" ma:contentTypeDescription="Create a new document." ma:contentTypeScope="" ma:versionID="7974caaf16c7ec78bc328087c33700ac">
  <xsd:schema xmlns:xsd="http://www.w3.org/2001/XMLSchema" xmlns:xs="http://www.w3.org/2001/XMLSchema" xmlns:p="http://schemas.microsoft.com/office/2006/metadata/properties" xmlns:ns2="d9dcd392-3ee9-4d06-88ea-ad7766167949" xmlns:ns3="2c5b2244-1ce7-4605-8f42-28eaedf52429" targetNamespace="http://schemas.microsoft.com/office/2006/metadata/properties" ma:root="true" ma:fieldsID="0b8710de65a56d48cd35105f4476b4f6" ns2:_="" ns3:_="">
    <xsd:import namespace="d9dcd392-3ee9-4d06-88ea-ad7766167949"/>
    <xsd:import namespace="2c5b2244-1ce7-4605-8f42-28eaedf524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d392-3ee9-4d06-88ea-ad7766167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b2244-1ce7-4605-8f42-28eaedf524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ebe93bd-f13e-46c0-ae90-9bf3619edf03}" ma:internalName="TaxCatchAll" ma:showField="CatchAllData" ma:web="2c5b2244-1ce7-4605-8f42-28eaedf524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F0EDEC-BED5-4579-A79F-E5552A560F80}"/>
</file>

<file path=customXml/itemProps2.xml><?xml version="1.0" encoding="utf-8"?>
<ds:datastoreItem xmlns:ds="http://schemas.openxmlformats.org/officeDocument/2006/customXml" ds:itemID="{E7AAEEF6-C247-43CF-B366-9E18C7E7BFFD}"/>
</file>

<file path=customXml/itemProps3.xml><?xml version="1.0" encoding="utf-8"?>
<ds:datastoreItem xmlns:ds="http://schemas.openxmlformats.org/officeDocument/2006/customXml" ds:itemID="{069748D1-E8EF-4152-ABA5-2A571F77A5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davisk10</dc:creator>
  <cp:keywords/>
  <dc:description/>
  <cp:lastModifiedBy>Kara Davis</cp:lastModifiedBy>
  <cp:revision/>
  <dcterms:created xsi:type="dcterms:W3CDTF">2026-04-15T21:21:25Z</dcterms:created>
  <dcterms:modified xsi:type="dcterms:W3CDTF">2026-08-07T23:26:45Z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0x0101008319C75002DEE3429DC7DE240781D046</vt:lpwstr>
  </property>
  <property fmtid="{D5CDD505-2E9C-101B-9397-08002B2CF9AE}" pid="3" name="MediaServiceImageTags">
    <vt:lpwstr/>
  </property>
</Properties>
</file>